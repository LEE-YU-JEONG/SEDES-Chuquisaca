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9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0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1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2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3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4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gilancia Epidemiologica (MALARIA - ARBOVIRUS - CHAGAS)\Vigilancia 2025\VIGILANCIA ARBOVIROSIS 2025\Vigilancia Entomologica 2025\Vigilancia Entomologica dengue 2025\"/>
    </mc:Choice>
  </mc:AlternateContent>
  <bookViews>
    <workbookView xWindow="0" yWindow="0" windowWidth="20490" windowHeight="7620" firstSheet="3" activeTab="5"/>
  </bookViews>
  <sheets>
    <sheet name="Camargo" sheetId="125" r:id="rId1"/>
    <sheet name="Machareti" sheetId="109" r:id="rId2"/>
    <sheet name="Monteagudo" sheetId="1" r:id="rId3"/>
    <sheet name="Huacaya" sheetId="107" r:id="rId4"/>
    <sheet name="Huacareta" sheetId="7" r:id="rId5"/>
    <sheet name="Muyupampa" sheetId="35" r:id="rId6"/>
    <sheet name="Padilla" sheetId="95" r:id="rId7"/>
    <sheet name="Sucre" sheetId="36" r:id="rId8"/>
    <sheet name="Villa Serrano" sheetId="31" r:id="rId9"/>
    <sheet name="Yamparaez" sheetId="122" r:id="rId10"/>
    <sheet name="El Villar" sheetId="124" r:id="rId11"/>
    <sheet name="DatosXMes" sheetId="11" r:id="rId12"/>
    <sheet name="Consolidado" sheetId="12" r:id="rId13"/>
    <sheet name="Gráf_Indice_IV_IB" sheetId="118" r:id="rId14"/>
    <sheet name="Gráf_Indice_IV_IB_gestiones" sheetId="115" r:id="rId15"/>
    <sheet name="Ind_Gestiones_IIV_IB" sheetId="98" state="hidden" r:id="rId16"/>
  </sheets>
  <definedNames>
    <definedName name="_xlnm._FilterDatabase" localSheetId="2" hidden="1">Monteagudo!$A$5:$AO$148</definedName>
    <definedName name="_xlnm._FilterDatabase" localSheetId="9" hidden="1">Yamparaez!$A$5:$AO$24</definedName>
    <definedName name="_xlnm.Print_Area" localSheetId="12">Consolidado!$B$1:$M$90</definedName>
    <definedName name="_xlnm.Print_Area" localSheetId="2">Monteagudo!$A$1:$AZ$148</definedName>
    <definedName name="_xlnm.Print_Area" localSheetId="7">Sucre!$M$56:$AU$118</definedName>
    <definedName name="_xlnm.Print_Titles" localSheetId="12">Consolidado!$1:$4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0" i="31" l="1"/>
  <c r="AU63" i="35"/>
  <c r="AV63" i="35"/>
  <c r="AW63" i="35"/>
  <c r="AX63" i="35"/>
  <c r="AY63" i="35"/>
  <c r="AZ63" i="35"/>
  <c r="BA63" i="35"/>
  <c r="AU64" i="35"/>
  <c r="AV64" i="35"/>
  <c r="AW64" i="35"/>
  <c r="AX64" i="35"/>
  <c r="AY64" i="35"/>
  <c r="AZ64" i="35"/>
  <c r="BA64" i="35"/>
  <c r="AU65" i="35"/>
  <c r="AV65" i="35"/>
  <c r="AW65" i="35"/>
  <c r="AX65" i="35"/>
  <c r="AY65" i="35"/>
  <c r="AZ65" i="35"/>
  <c r="BA65" i="35"/>
  <c r="AU66" i="35"/>
  <c r="AV66" i="35"/>
  <c r="AW66" i="35"/>
  <c r="AX66" i="35"/>
  <c r="AY66" i="35"/>
  <c r="AZ66" i="35"/>
  <c r="BA66" i="35"/>
  <c r="BA62" i="35"/>
  <c r="AZ62" i="35"/>
  <c r="AY62" i="35"/>
  <c r="AX62" i="35"/>
  <c r="AW62" i="35"/>
  <c r="AV62" i="35"/>
  <c r="AU62" i="35"/>
  <c r="AU56" i="35"/>
  <c r="AV56" i="35"/>
  <c r="AW56" i="35"/>
  <c r="AX56" i="35"/>
  <c r="AY56" i="35"/>
  <c r="AZ56" i="35"/>
  <c r="BA56" i="35"/>
  <c r="AU57" i="35"/>
  <c r="AV57" i="35"/>
  <c r="AW57" i="35"/>
  <c r="AX57" i="35"/>
  <c r="AY57" i="35"/>
  <c r="AZ57" i="35"/>
  <c r="BA57" i="35"/>
  <c r="AU58" i="35"/>
  <c r="AV58" i="35"/>
  <c r="AW58" i="35"/>
  <c r="AX58" i="35"/>
  <c r="AY58" i="35"/>
  <c r="AZ58" i="35"/>
  <c r="BA58" i="35"/>
  <c r="AU59" i="35"/>
  <c r="AV59" i="35"/>
  <c r="AW59" i="35"/>
  <c r="AX59" i="35"/>
  <c r="AY59" i="35"/>
  <c r="AZ59" i="35"/>
  <c r="BA59" i="35"/>
  <c r="BA55" i="35"/>
  <c r="AZ55" i="35"/>
  <c r="AY55" i="35"/>
  <c r="AX55" i="35"/>
  <c r="AW55" i="35"/>
  <c r="AV55" i="35"/>
  <c r="AU55" i="35"/>
  <c r="AU49" i="35"/>
  <c r="AV49" i="35"/>
  <c r="AW49" i="35"/>
  <c r="AX49" i="35"/>
  <c r="AY49" i="35"/>
  <c r="AZ49" i="35"/>
  <c r="BA49" i="35"/>
  <c r="AU50" i="35"/>
  <c r="AV50" i="35"/>
  <c r="AW50" i="35"/>
  <c r="AX50" i="35"/>
  <c r="AY50" i="35"/>
  <c r="AZ50" i="35"/>
  <c r="BA50" i="35"/>
  <c r="AU51" i="35"/>
  <c r="AV51" i="35"/>
  <c r="AW51" i="35"/>
  <c r="AX51" i="35"/>
  <c r="AY51" i="35"/>
  <c r="AZ51" i="35"/>
  <c r="BA51" i="35"/>
  <c r="AU52" i="35"/>
  <c r="AV52" i="35"/>
  <c r="AW52" i="35"/>
  <c r="AX52" i="35"/>
  <c r="AY52" i="35"/>
  <c r="AZ52" i="35"/>
  <c r="BA52" i="35"/>
  <c r="BA48" i="35"/>
  <c r="AZ48" i="35"/>
  <c r="AY48" i="35"/>
  <c r="AX48" i="35"/>
  <c r="AW48" i="35"/>
  <c r="AV48" i="35"/>
  <c r="AU48" i="35"/>
  <c r="AU37" i="35"/>
  <c r="AV37" i="35"/>
  <c r="AW37" i="35"/>
  <c r="AX37" i="35"/>
  <c r="AY37" i="35"/>
  <c r="AZ37" i="35"/>
  <c r="BA37" i="35"/>
  <c r="AU38" i="35"/>
  <c r="AV38" i="35"/>
  <c r="AW38" i="35"/>
  <c r="AX38" i="35"/>
  <c r="AY38" i="35"/>
  <c r="AZ38" i="35"/>
  <c r="BA38" i="35"/>
  <c r="AU39" i="35"/>
  <c r="AV39" i="35"/>
  <c r="AW39" i="35"/>
  <c r="AX39" i="35"/>
  <c r="AY39" i="35"/>
  <c r="AZ39" i="35"/>
  <c r="BA39" i="35"/>
  <c r="AU40" i="35"/>
  <c r="AV40" i="35"/>
  <c r="AW40" i="35"/>
  <c r="AX40" i="35"/>
  <c r="AY40" i="35"/>
  <c r="AZ40" i="35"/>
  <c r="BA40" i="35"/>
  <c r="BA36" i="35"/>
  <c r="AZ36" i="35"/>
  <c r="AY36" i="35"/>
  <c r="AX36" i="35"/>
  <c r="AW36" i="35"/>
  <c r="AV36" i="35"/>
  <c r="AU36" i="35"/>
  <c r="AB40" i="7" l="1"/>
  <c r="AB44" i="7"/>
  <c r="N44" i="7"/>
  <c r="I44" i="7"/>
  <c r="F44" i="7"/>
  <c r="H24" i="107"/>
  <c r="G24" i="107"/>
  <c r="F24" i="107"/>
  <c r="C24" i="107"/>
  <c r="D24" i="107"/>
  <c r="F145" i="1"/>
  <c r="D145" i="1"/>
  <c r="E148" i="1"/>
  <c r="D148" i="1"/>
  <c r="E64" i="109"/>
  <c r="D63" i="109"/>
  <c r="D64" i="109"/>
  <c r="C64" i="109"/>
  <c r="K80" i="12" l="1"/>
  <c r="I76" i="12"/>
  <c r="I77" i="12"/>
  <c r="I79" i="12"/>
  <c r="I80" i="12"/>
  <c r="I81" i="12"/>
  <c r="I82" i="12"/>
  <c r="I75" i="12"/>
  <c r="H76" i="12"/>
  <c r="H77" i="12"/>
  <c r="H79" i="12"/>
  <c r="H80" i="12"/>
  <c r="H81" i="12"/>
  <c r="H82" i="12"/>
  <c r="H75" i="12"/>
  <c r="G76" i="12"/>
  <c r="G77" i="12"/>
  <c r="G79" i="12"/>
  <c r="G80" i="12"/>
  <c r="G81" i="12"/>
  <c r="G82" i="12"/>
  <c r="G75" i="12"/>
  <c r="F76" i="12"/>
  <c r="F77" i="12"/>
  <c r="F80" i="12"/>
  <c r="F81" i="12"/>
  <c r="F82" i="12"/>
  <c r="F75" i="12"/>
  <c r="D76" i="12"/>
  <c r="E76" i="12"/>
  <c r="D77" i="12"/>
  <c r="E77" i="12"/>
  <c r="D79" i="12"/>
  <c r="E79" i="12"/>
  <c r="D80" i="12"/>
  <c r="E80" i="12"/>
  <c r="D81" i="12"/>
  <c r="E81" i="12"/>
  <c r="D82" i="12"/>
  <c r="E82" i="12"/>
  <c r="E75" i="12"/>
  <c r="D75" i="12"/>
  <c r="C76" i="12"/>
  <c r="C77" i="12"/>
  <c r="C79" i="12"/>
  <c r="C80" i="12"/>
  <c r="C81" i="12"/>
  <c r="C82" i="12"/>
  <c r="C75" i="12"/>
  <c r="F147" i="1"/>
  <c r="G41" i="7"/>
  <c r="I41" i="7"/>
  <c r="J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F41" i="7"/>
  <c r="C41" i="7"/>
  <c r="G44" i="7"/>
  <c r="G80" i="11" s="1"/>
  <c r="J44" i="7"/>
  <c r="J80" i="11" s="1"/>
  <c r="J85" i="11" s="1"/>
  <c r="L44" i="7"/>
  <c r="M44" i="7"/>
  <c r="N80" i="11"/>
  <c r="N85" i="11" s="1"/>
  <c r="O44" i="7"/>
  <c r="O80" i="11" s="1"/>
  <c r="G78" i="12" s="1"/>
  <c r="G83" i="12" s="1"/>
  <c r="P44" i="7"/>
  <c r="Q44" i="7"/>
  <c r="Q80" i="11" s="1"/>
  <c r="Q85" i="11" s="1"/>
  <c r="R44" i="7"/>
  <c r="R80" i="11" s="1"/>
  <c r="R85" i="11" s="1"/>
  <c r="S44" i="7"/>
  <c r="T44" i="7"/>
  <c r="U44" i="7"/>
  <c r="U80" i="11" s="1"/>
  <c r="U85" i="11" s="1"/>
  <c r="V44" i="7"/>
  <c r="V80" i="11" s="1"/>
  <c r="V85" i="11" s="1"/>
  <c r="W44" i="7"/>
  <c r="W80" i="11" s="1"/>
  <c r="W85" i="11" s="1"/>
  <c r="X44" i="7"/>
  <c r="Y44" i="7"/>
  <c r="Y80" i="11" s="1"/>
  <c r="Y85" i="11" s="1"/>
  <c r="Z44" i="7"/>
  <c r="Z80" i="11" s="1"/>
  <c r="Z85" i="11" s="1"/>
  <c r="AA44" i="7"/>
  <c r="AC44" i="7"/>
  <c r="AD44" i="7"/>
  <c r="AD80" i="11" s="1"/>
  <c r="AD85" i="11" s="1"/>
  <c r="AE44" i="7"/>
  <c r="AF44" i="7"/>
  <c r="AG44" i="7"/>
  <c r="AH44" i="7"/>
  <c r="AH80" i="11" s="1"/>
  <c r="AH85" i="11" s="1"/>
  <c r="AI44" i="7"/>
  <c r="AJ44" i="7"/>
  <c r="AJ80" i="11" s="1"/>
  <c r="AJ85" i="11" s="1"/>
  <c r="C44" i="7"/>
  <c r="D41" i="7"/>
  <c r="D44" i="7" s="1"/>
  <c r="D80" i="11" s="1"/>
  <c r="D78" i="12" s="1"/>
  <c r="D83" i="12" s="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AL84" i="11" s="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J84" i="11"/>
  <c r="B84" i="11"/>
  <c r="C83" i="11"/>
  <c r="D83" i="11"/>
  <c r="E83" i="11"/>
  <c r="F83" i="11"/>
  <c r="G83" i="11"/>
  <c r="H83" i="11"/>
  <c r="AO83" i="11" s="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AK83" i="11" s="1"/>
  <c r="Z83" i="11"/>
  <c r="AA83" i="11"/>
  <c r="AB83" i="11"/>
  <c r="AC83" i="11"/>
  <c r="AD83" i="11"/>
  <c r="AE83" i="11"/>
  <c r="AF83" i="11"/>
  <c r="AG83" i="11"/>
  <c r="AH83" i="11"/>
  <c r="AI83" i="11"/>
  <c r="AJ83" i="11"/>
  <c r="B83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L82" i="11" s="1"/>
  <c r="AA82" i="11"/>
  <c r="AB82" i="11"/>
  <c r="AC82" i="11"/>
  <c r="AD82" i="11"/>
  <c r="AE82" i="11"/>
  <c r="AF82" i="11"/>
  <c r="AG82" i="11"/>
  <c r="AH82" i="11"/>
  <c r="AI82" i="11"/>
  <c r="AJ82" i="11"/>
  <c r="B82" i="11"/>
  <c r="B81" i="11"/>
  <c r="B54" i="36"/>
  <c r="O54" i="36"/>
  <c r="C54" i="36"/>
  <c r="C81" i="11"/>
  <c r="D81" i="11"/>
  <c r="E81" i="11"/>
  <c r="F81" i="11"/>
  <c r="G81" i="11"/>
  <c r="H81" i="11"/>
  <c r="F79" i="12" s="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J81" i="11"/>
  <c r="AO81" i="11"/>
  <c r="C80" i="11"/>
  <c r="F80" i="11"/>
  <c r="I80" i="11"/>
  <c r="I85" i="11" s="1"/>
  <c r="L80" i="11"/>
  <c r="L85" i="11" s="1"/>
  <c r="M80" i="11"/>
  <c r="M85" i="11" s="1"/>
  <c r="P80" i="11"/>
  <c r="P85" i="11" s="1"/>
  <c r="S80" i="11"/>
  <c r="S85" i="11" s="1"/>
  <c r="T80" i="11"/>
  <c r="T85" i="11" s="1"/>
  <c r="X80" i="11"/>
  <c r="X85" i="11" s="1"/>
  <c r="AA80" i="11"/>
  <c r="AA85" i="11" s="1"/>
  <c r="AB80" i="11"/>
  <c r="AB85" i="11" s="1"/>
  <c r="AC80" i="11"/>
  <c r="AC85" i="11" s="1"/>
  <c r="AE80" i="11"/>
  <c r="AE85" i="11" s="1"/>
  <c r="AF80" i="11"/>
  <c r="AF85" i="11" s="1"/>
  <c r="AG80" i="11"/>
  <c r="AG85" i="11" s="1"/>
  <c r="AI80" i="11"/>
  <c r="AI85" i="11" s="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AL79" i="11" s="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J79" i="11"/>
  <c r="B79" i="11"/>
  <c r="E78" i="11"/>
  <c r="F78" i="11"/>
  <c r="G78" i="11"/>
  <c r="H78" i="11"/>
  <c r="I78" i="11"/>
  <c r="J78" i="11"/>
  <c r="K78" i="11"/>
  <c r="L78" i="11"/>
  <c r="M78" i="11"/>
  <c r="N78" i="11"/>
  <c r="O78" i="11"/>
  <c r="AO78" i="11" s="1"/>
  <c r="P78" i="11"/>
  <c r="Q78" i="11"/>
  <c r="R78" i="11"/>
  <c r="S78" i="11"/>
  <c r="AK78" i="11" s="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J78" i="11"/>
  <c r="C78" i="11"/>
  <c r="D78" i="11"/>
  <c r="B78" i="11"/>
  <c r="AO82" i="11"/>
  <c r="AO84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AO77" i="11" s="1"/>
  <c r="P77" i="11"/>
  <c r="AK77" i="11" s="1"/>
  <c r="Q77" i="11"/>
  <c r="AL77" i="11" s="1"/>
  <c r="R77" i="11"/>
  <c r="AN77" i="11" s="1"/>
  <c r="S77" i="11"/>
  <c r="T77" i="11"/>
  <c r="U77" i="11"/>
  <c r="AU77" i="11" s="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Y77" i="11" s="1"/>
  <c r="AH77" i="11"/>
  <c r="AI77" i="11"/>
  <c r="AJ77" i="11"/>
  <c r="B77" i="11"/>
  <c r="AN22" i="31"/>
  <c r="AM22" i="31"/>
  <c r="AL22" i="31"/>
  <c r="AK22" i="31"/>
  <c r="G22" i="31"/>
  <c r="H22" i="31"/>
  <c r="I22" i="31"/>
  <c r="J22" i="31"/>
  <c r="K22" i="31"/>
  <c r="L22" i="31"/>
  <c r="M22" i="31"/>
  <c r="N22" i="31"/>
  <c r="O22" i="31"/>
  <c r="P22" i="31"/>
  <c r="Q22" i="31"/>
  <c r="R22" i="31"/>
  <c r="S22" i="31"/>
  <c r="T22" i="31"/>
  <c r="U22" i="31"/>
  <c r="V22" i="31"/>
  <c r="W22" i="31"/>
  <c r="X22" i="31"/>
  <c r="Y22" i="31"/>
  <c r="Z22" i="31"/>
  <c r="AA22" i="31"/>
  <c r="AB22" i="31"/>
  <c r="AC22" i="31"/>
  <c r="AD22" i="31"/>
  <c r="AE22" i="31"/>
  <c r="AF22" i="31"/>
  <c r="AG22" i="31"/>
  <c r="AH22" i="31"/>
  <c r="AI22" i="31"/>
  <c r="AJ22" i="31"/>
  <c r="F22" i="31"/>
  <c r="B22" i="31"/>
  <c r="C22" i="31"/>
  <c r="AK21" i="31"/>
  <c r="G21" i="31"/>
  <c r="H21" i="31"/>
  <c r="I21" i="31"/>
  <c r="J21" i="31"/>
  <c r="K21" i="31"/>
  <c r="L21" i="31"/>
  <c r="M21" i="31"/>
  <c r="N21" i="31"/>
  <c r="O21" i="31"/>
  <c r="P21" i="31"/>
  <c r="Q21" i="31"/>
  <c r="R21" i="31"/>
  <c r="S21" i="31"/>
  <c r="T21" i="31"/>
  <c r="U21" i="31"/>
  <c r="V21" i="31"/>
  <c r="W21" i="31"/>
  <c r="X21" i="31"/>
  <c r="Y21" i="31"/>
  <c r="Z21" i="31"/>
  <c r="AA21" i="31"/>
  <c r="AB21" i="31"/>
  <c r="AC21" i="31"/>
  <c r="AD21" i="31"/>
  <c r="AE21" i="31"/>
  <c r="AF21" i="31"/>
  <c r="AG21" i="31"/>
  <c r="AH21" i="31"/>
  <c r="AI21" i="31"/>
  <c r="AJ21" i="31"/>
  <c r="F21" i="31"/>
  <c r="E22" i="31"/>
  <c r="D22" i="31"/>
  <c r="B21" i="31"/>
  <c r="E21" i="31"/>
  <c r="D21" i="31"/>
  <c r="C21" i="31"/>
  <c r="G54" i="36"/>
  <c r="H54" i="36"/>
  <c r="I54" i="36"/>
  <c r="J54" i="36"/>
  <c r="K54" i="36"/>
  <c r="L54" i="36"/>
  <c r="M54" i="36"/>
  <c r="N54" i="36"/>
  <c r="P54" i="36"/>
  <c r="Q54" i="36"/>
  <c r="R54" i="36"/>
  <c r="S54" i="36"/>
  <c r="T54" i="36"/>
  <c r="U54" i="36"/>
  <c r="V54" i="36"/>
  <c r="W54" i="36"/>
  <c r="X54" i="36"/>
  <c r="Y54" i="36"/>
  <c r="Z54" i="36"/>
  <c r="AA54" i="36"/>
  <c r="AB54" i="36"/>
  <c r="AC54" i="36"/>
  <c r="AD54" i="36"/>
  <c r="AE54" i="36"/>
  <c r="AF54" i="36"/>
  <c r="AG54" i="36"/>
  <c r="AH54" i="36"/>
  <c r="AI54" i="36"/>
  <c r="AJ54" i="36"/>
  <c r="F54" i="36"/>
  <c r="E54" i="36"/>
  <c r="D54" i="36"/>
  <c r="AM53" i="36"/>
  <c r="AL53" i="36"/>
  <c r="AK53" i="36"/>
  <c r="G53" i="36"/>
  <c r="H53" i="36"/>
  <c r="I53" i="36"/>
  <c r="J53" i="36"/>
  <c r="K53" i="36"/>
  <c r="L53" i="36"/>
  <c r="M53" i="36"/>
  <c r="N53" i="36"/>
  <c r="O53" i="36"/>
  <c r="P53" i="36"/>
  <c r="Q53" i="36"/>
  <c r="R53" i="36"/>
  <c r="S53" i="36"/>
  <c r="T53" i="36"/>
  <c r="U53" i="36"/>
  <c r="V53" i="36"/>
  <c r="W53" i="36"/>
  <c r="X53" i="36"/>
  <c r="Y53" i="36"/>
  <c r="Z53" i="36"/>
  <c r="AA53" i="36"/>
  <c r="AB53" i="36"/>
  <c r="AC53" i="36"/>
  <c r="AD53" i="36"/>
  <c r="AE53" i="36"/>
  <c r="AF53" i="36"/>
  <c r="AG53" i="36"/>
  <c r="AH53" i="36"/>
  <c r="AI53" i="36"/>
  <c r="AJ53" i="36"/>
  <c r="F53" i="36"/>
  <c r="E53" i="36"/>
  <c r="D53" i="36"/>
  <c r="C53" i="36"/>
  <c r="AC30" i="95"/>
  <c r="AN30" i="95"/>
  <c r="AM30" i="95"/>
  <c r="AL30" i="95"/>
  <c r="AK30" i="95"/>
  <c r="G30" i="95"/>
  <c r="H30" i="95"/>
  <c r="I30" i="95"/>
  <c r="J30" i="95"/>
  <c r="K30" i="95"/>
  <c r="L30" i="95"/>
  <c r="M30" i="95"/>
  <c r="N30" i="95"/>
  <c r="O30" i="95"/>
  <c r="P30" i="95"/>
  <c r="Q30" i="95"/>
  <c r="R30" i="95"/>
  <c r="S30" i="95"/>
  <c r="T30" i="95"/>
  <c r="U30" i="95"/>
  <c r="V30" i="95"/>
  <c r="W30" i="95"/>
  <c r="X30" i="95"/>
  <c r="Y30" i="95"/>
  <c r="Z30" i="95"/>
  <c r="AA30" i="95"/>
  <c r="AB30" i="95"/>
  <c r="AD30" i="95"/>
  <c r="AE30" i="95"/>
  <c r="AF30" i="95"/>
  <c r="AG30" i="95"/>
  <c r="AH30" i="95"/>
  <c r="AI30" i="95"/>
  <c r="AJ30" i="95"/>
  <c r="F30" i="95"/>
  <c r="E30" i="95"/>
  <c r="C30" i="95"/>
  <c r="B30" i="95"/>
  <c r="AN29" i="95"/>
  <c r="AM29" i="95"/>
  <c r="AL29" i="95"/>
  <c r="AK29" i="95"/>
  <c r="AM28" i="95"/>
  <c r="AL28" i="95"/>
  <c r="AK28" i="95"/>
  <c r="AK26" i="95"/>
  <c r="AK25" i="95"/>
  <c r="AL25" i="95"/>
  <c r="AL24" i="95"/>
  <c r="AK24" i="95"/>
  <c r="AL21" i="95"/>
  <c r="AK21" i="95"/>
  <c r="AK20" i="95"/>
  <c r="AE29" i="95"/>
  <c r="G29" i="95"/>
  <c r="H29" i="95"/>
  <c r="I29" i="95"/>
  <c r="J29" i="95"/>
  <c r="K29" i="95"/>
  <c r="L29" i="95"/>
  <c r="M29" i="95"/>
  <c r="N29" i="95"/>
  <c r="O29" i="95"/>
  <c r="P29" i="95"/>
  <c r="Q29" i="95"/>
  <c r="R29" i="95"/>
  <c r="S29" i="95"/>
  <c r="T29" i="95"/>
  <c r="U29" i="95"/>
  <c r="V29" i="95"/>
  <c r="W29" i="95"/>
  <c r="X29" i="95"/>
  <c r="Y29" i="95"/>
  <c r="Z29" i="95"/>
  <c r="AA29" i="95"/>
  <c r="AB29" i="95"/>
  <c r="AC29" i="95"/>
  <c r="AD29" i="95"/>
  <c r="AF29" i="95"/>
  <c r="AG29" i="95"/>
  <c r="AH29" i="95"/>
  <c r="AI29" i="95"/>
  <c r="AJ29" i="95"/>
  <c r="F29" i="95"/>
  <c r="C29" i="95"/>
  <c r="C27" i="95"/>
  <c r="D29" i="95"/>
  <c r="G27" i="95"/>
  <c r="H27" i="95"/>
  <c r="I27" i="95"/>
  <c r="J27" i="95"/>
  <c r="K27" i="95"/>
  <c r="L27" i="95"/>
  <c r="M27" i="95"/>
  <c r="N27" i="95"/>
  <c r="O27" i="95"/>
  <c r="P27" i="95"/>
  <c r="Q27" i="95"/>
  <c r="R27" i="95"/>
  <c r="S27" i="95"/>
  <c r="T27" i="95"/>
  <c r="U27" i="95"/>
  <c r="V27" i="95"/>
  <c r="W27" i="95"/>
  <c r="X27" i="95"/>
  <c r="Y27" i="95"/>
  <c r="Z27" i="95"/>
  <c r="AA27" i="95"/>
  <c r="AB27" i="95"/>
  <c r="AC27" i="95"/>
  <c r="AD27" i="95"/>
  <c r="AE27" i="95"/>
  <c r="AF27" i="95"/>
  <c r="AG27" i="95"/>
  <c r="AH27" i="95"/>
  <c r="AI27" i="95"/>
  <c r="AJ27" i="95"/>
  <c r="F27" i="95"/>
  <c r="E27" i="95"/>
  <c r="D27" i="95"/>
  <c r="E29" i="95"/>
  <c r="H68" i="35"/>
  <c r="J68" i="35"/>
  <c r="K68" i="35"/>
  <c r="M68" i="35"/>
  <c r="N68" i="35"/>
  <c r="O68" i="35"/>
  <c r="P68" i="35"/>
  <c r="Q68" i="35"/>
  <c r="R68" i="35"/>
  <c r="S68" i="35"/>
  <c r="T68" i="35"/>
  <c r="U68" i="35"/>
  <c r="V68" i="35"/>
  <c r="W68" i="35"/>
  <c r="X68" i="35"/>
  <c r="Y68" i="35"/>
  <c r="Z68" i="35"/>
  <c r="AA68" i="35"/>
  <c r="AB68" i="35"/>
  <c r="AC68" i="35"/>
  <c r="AD68" i="35"/>
  <c r="AE68" i="35"/>
  <c r="AF68" i="35"/>
  <c r="AG68" i="35"/>
  <c r="AH68" i="35"/>
  <c r="AI68" i="35"/>
  <c r="AJ68" i="35"/>
  <c r="AK68" i="35"/>
  <c r="G68" i="35"/>
  <c r="F68" i="35"/>
  <c r="E68" i="35"/>
  <c r="D68" i="35"/>
  <c r="C68" i="35"/>
  <c r="H67" i="35"/>
  <c r="I67" i="35"/>
  <c r="J67" i="35"/>
  <c r="K67" i="35"/>
  <c r="L67" i="35"/>
  <c r="M67" i="35"/>
  <c r="N67" i="35"/>
  <c r="O67" i="35"/>
  <c r="P67" i="35"/>
  <c r="Q67" i="35"/>
  <c r="R67" i="35"/>
  <c r="S67" i="35"/>
  <c r="T67" i="35"/>
  <c r="U67" i="35"/>
  <c r="V67" i="35"/>
  <c r="W67" i="35"/>
  <c r="X67" i="35"/>
  <c r="Y67" i="35"/>
  <c r="Z67" i="35"/>
  <c r="AA67" i="35"/>
  <c r="AB67" i="35"/>
  <c r="AC67" i="35"/>
  <c r="AD67" i="35"/>
  <c r="AE67" i="35"/>
  <c r="AF67" i="35"/>
  <c r="AG67" i="35"/>
  <c r="AH67" i="35"/>
  <c r="AI67" i="35"/>
  <c r="AJ67" i="35"/>
  <c r="AK67" i="35"/>
  <c r="G67" i="35"/>
  <c r="F67" i="35"/>
  <c r="E67" i="35"/>
  <c r="D67" i="35"/>
  <c r="H61" i="35"/>
  <c r="I61" i="35"/>
  <c r="J61" i="35"/>
  <c r="K61" i="35"/>
  <c r="L61" i="35"/>
  <c r="M61" i="35"/>
  <c r="N61" i="35"/>
  <c r="O61" i="35"/>
  <c r="P61" i="35"/>
  <c r="Q61" i="35"/>
  <c r="R61" i="35"/>
  <c r="S61" i="35"/>
  <c r="T61" i="35"/>
  <c r="U61" i="35"/>
  <c r="V61" i="35"/>
  <c r="W61" i="35"/>
  <c r="X61" i="35"/>
  <c r="Y61" i="35"/>
  <c r="Z61" i="35"/>
  <c r="AA61" i="35"/>
  <c r="AB61" i="35"/>
  <c r="AC61" i="35"/>
  <c r="AD61" i="35"/>
  <c r="AE61" i="35"/>
  <c r="AF61" i="35"/>
  <c r="AG61" i="35"/>
  <c r="AH61" i="35"/>
  <c r="AI61" i="35"/>
  <c r="AJ61" i="35"/>
  <c r="AK61" i="35"/>
  <c r="G61" i="35"/>
  <c r="D61" i="35"/>
  <c r="C67" i="35"/>
  <c r="AJ25" i="107"/>
  <c r="AK25" i="107"/>
  <c r="U25" i="107"/>
  <c r="V25" i="107"/>
  <c r="W25" i="107"/>
  <c r="X25" i="107"/>
  <c r="Y25" i="107"/>
  <c r="Z25" i="107"/>
  <c r="AA25" i="107"/>
  <c r="AB25" i="107"/>
  <c r="AC25" i="107"/>
  <c r="AD25" i="107"/>
  <c r="AE25" i="107"/>
  <c r="AF25" i="107"/>
  <c r="AG25" i="107"/>
  <c r="AH25" i="107"/>
  <c r="AI25" i="107"/>
  <c r="T25" i="107"/>
  <c r="O24" i="107"/>
  <c r="O25" i="107" s="1"/>
  <c r="G25" i="107"/>
  <c r="H25" i="107"/>
  <c r="I25" i="107"/>
  <c r="J25" i="107"/>
  <c r="K25" i="107"/>
  <c r="L25" i="107"/>
  <c r="M25" i="107"/>
  <c r="N25" i="107"/>
  <c r="P25" i="107"/>
  <c r="Q25" i="107"/>
  <c r="R25" i="107"/>
  <c r="S25" i="107"/>
  <c r="F25" i="107"/>
  <c r="B25" i="107"/>
  <c r="E25" i="107"/>
  <c r="D25" i="107"/>
  <c r="C25" i="107"/>
  <c r="I24" i="107"/>
  <c r="J24" i="107"/>
  <c r="K24" i="107"/>
  <c r="L24" i="107"/>
  <c r="M24" i="107"/>
  <c r="N24" i="107"/>
  <c r="P24" i="107"/>
  <c r="Q24" i="107"/>
  <c r="R24" i="107"/>
  <c r="S24" i="107"/>
  <c r="T24" i="107"/>
  <c r="U24" i="107"/>
  <c r="V24" i="107"/>
  <c r="W24" i="107"/>
  <c r="X24" i="107"/>
  <c r="Y24" i="107"/>
  <c r="Z24" i="107"/>
  <c r="AA24" i="107"/>
  <c r="AB24" i="107"/>
  <c r="AC24" i="107"/>
  <c r="AD24" i="107"/>
  <c r="AE24" i="107"/>
  <c r="AF24" i="107"/>
  <c r="AG24" i="107"/>
  <c r="AH24" i="107"/>
  <c r="AI24" i="107"/>
  <c r="AJ24" i="107"/>
  <c r="E24" i="107"/>
  <c r="AM148" i="1"/>
  <c r="AL148" i="1"/>
  <c r="AK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F148" i="1"/>
  <c r="C148" i="1"/>
  <c r="B148" i="1"/>
  <c r="AK147" i="1"/>
  <c r="AL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E147" i="1"/>
  <c r="D147" i="1"/>
  <c r="C147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E145" i="1"/>
  <c r="C145" i="1"/>
  <c r="G64" i="109"/>
  <c r="H64" i="109"/>
  <c r="I64" i="109"/>
  <c r="J64" i="109"/>
  <c r="K64" i="109"/>
  <c r="L64" i="109"/>
  <c r="M64" i="109"/>
  <c r="N64" i="109"/>
  <c r="O64" i="109"/>
  <c r="P64" i="109"/>
  <c r="Q64" i="109"/>
  <c r="R64" i="109"/>
  <c r="S64" i="109"/>
  <c r="T64" i="109"/>
  <c r="U64" i="109"/>
  <c r="V64" i="109"/>
  <c r="W64" i="109"/>
  <c r="X64" i="109"/>
  <c r="Y64" i="109"/>
  <c r="Z64" i="109"/>
  <c r="AA64" i="109"/>
  <c r="AB64" i="109"/>
  <c r="AC64" i="109"/>
  <c r="AD64" i="109"/>
  <c r="AE64" i="109"/>
  <c r="AF64" i="109"/>
  <c r="AG64" i="109"/>
  <c r="AH64" i="109"/>
  <c r="AI64" i="109"/>
  <c r="AJ64" i="109"/>
  <c r="F64" i="109"/>
  <c r="B64" i="109"/>
  <c r="G63" i="109"/>
  <c r="H63" i="109"/>
  <c r="I63" i="109"/>
  <c r="J63" i="109"/>
  <c r="K63" i="109"/>
  <c r="L63" i="109"/>
  <c r="M63" i="109"/>
  <c r="N63" i="109"/>
  <c r="O63" i="109"/>
  <c r="P63" i="109"/>
  <c r="Q63" i="109"/>
  <c r="R63" i="109"/>
  <c r="S63" i="109"/>
  <c r="T63" i="109"/>
  <c r="U63" i="109"/>
  <c r="V63" i="109"/>
  <c r="W63" i="109"/>
  <c r="X63" i="109"/>
  <c r="Y63" i="109"/>
  <c r="Z63" i="109"/>
  <c r="AA63" i="109"/>
  <c r="AB63" i="109"/>
  <c r="AC63" i="109"/>
  <c r="AD63" i="109"/>
  <c r="AE63" i="109"/>
  <c r="AF63" i="109"/>
  <c r="AG63" i="109"/>
  <c r="AH63" i="109"/>
  <c r="AI63" i="109"/>
  <c r="AJ63" i="109"/>
  <c r="E63" i="109"/>
  <c r="F63" i="109"/>
  <c r="C63" i="109"/>
  <c r="F10" i="124"/>
  <c r="C10" i="124"/>
  <c r="F22" i="122"/>
  <c r="E22" i="122"/>
  <c r="F51" i="36"/>
  <c r="H146" i="1"/>
  <c r="C46" i="109"/>
  <c r="C49" i="109"/>
  <c r="C51" i="109" s="1"/>
  <c r="C52" i="109"/>
  <c r="C55" i="109"/>
  <c r="AO147" i="1"/>
  <c r="AL146" i="1"/>
  <c r="F85" i="11" l="1"/>
  <c r="AK85" i="11"/>
  <c r="D85" i="11"/>
  <c r="O85" i="11"/>
  <c r="AL85" i="11"/>
  <c r="AN85" i="11"/>
  <c r="AZ85" i="11" s="1"/>
  <c r="G85" i="11"/>
  <c r="C85" i="11"/>
  <c r="J77" i="12"/>
  <c r="K81" i="12"/>
  <c r="K76" i="12"/>
  <c r="J81" i="12"/>
  <c r="K77" i="12"/>
  <c r="J80" i="12"/>
  <c r="J76" i="12"/>
  <c r="J75" i="12"/>
  <c r="J79" i="12"/>
  <c r="K75" i="12"/>
  <c r="K79" i="12"/>
  <c r="J82" i="12"/>
  <c r="K82" i="12"/>
  <c r="AV85" i="11"/>
  <c r="AZ77" i="11"/>
  <c r="AW77" i="11"/>
  <c r="AN81" i="11"/>
  <c r="AV81" i="11" s="1"/>
  <c r="AO79" i="11"/>
  <c r="AL81" i="11"/>
  <c r="AL83" i="11"/>
  <c r="AM83" i="11" s="1"/>
  <c r="AN80" i="11"/>
  <c r="AU80" i="11" s="1"/>
  <c r="AK79" i="11"/>
  <c r="AM79" i="11" s="1"/>
  <c r="AR79" i="11" s="1"/>
  <c r="AN79" i="11"/>
  <c r="AW79" i="11" s="1"/>
  <c r="AK81" i="11"/>
  <c r="AK82" i="11"/>
  <c r="AM82" i="11" s="1"/>
  <c r="AN82" i="11"/>
  <c r="AV82" i="11" s="1"/>
  <c r="AN78" i="11"/>
  <c r="AZ78" i="11" s="1"/>
  <c r="AL78" i="11"/>
  <c r="AM78" i="11" s="1"/>
  <c r="AN83" i="11"/>
  <c r="AZ83" i="11" s="1"/>
  <c r="AK84" i="11"/>
  <c r="AN84" i="11"/>
  <c r="AW84" i="11" s="1"/>
  <c r="AL80" i="11"/>
  <c r="AK80" i="11"/>
  <c r="AM84" i="11"/>
  <c r="AR84" i="11" s="1"/>
  <c r="AW83" i="11"/>
  <c r="AV83" i="11"/>
  <c r="AW82" i="11"/>
  <c r="AZ82" i="11"/>
  <c r="AM81" i="11"/>
  <c r="AR81" i="11" s="1"/>
  <c r="AW81" i="11"/>
  <c r="AW80" i="11"/>
  <c r="AS79" i="11"/>
  <c r="AW78" i="11"/>
  <c r="AV78" i="11"/>
  <c r="AS81" i="11"/>
  <c r="AZ79" i="11"/>
  <c r="AY84" i="11"/>
  <c r="AY83" i="11"/>
  <c r="AU83" i="11"/>
  <c r="AY82" i="11"/>
  <c r="AU82" i="11"/>
  <c r="AY81" i="11"/>
  <c r="AU81" i="11"/>
  <c r="AY79" i="11"/>
  <c r="AU79" i="11"/>
  <c r="AQ79" i="11"/>
  <c r="AY78" i="11"/>
  <c r="AV79" i="11"/>
  <c r="AX83" i="11"/>
  <c r="AT83" i="11"/>
  <c r="AP83" i="11"/>
  <c r="AX82" i="11"/>
  <c r="AT82" i="11"/>
  <c r="AP82" i="11"/>
  <c r="AX81" i="11"/>
  <c r="AT81" i="11"/>
  <c r="AP81" i="11"/>
  <c r="AX79" i="11"/>
  <c r="AT79" i="11"/>
  <c r="AP79" i="11"/>
  <c r="AX78" i="11"/>
  <c r="AT78" i="11"/>
  <c r="AP78" i="11"/>
  <c r="AP77" i="11"/>
  <c r="AT77" i="11"/>
  <c r="AX77" i="11"/>
  <c r="AM77" i="11"/>
  <c r="AV77" i="11"/>
  <c r="AM80" i="11" l="1"/>
  <c r="I78" i="12" s="1"/>
  <c r="I83" i="12" s="1"/>
  <c r="AM85" i="11"/>
  <c r="AS85" i="11" s="1"/>
  <c r="AX85" i="11"/>
  <c r="AW85" i="11"/>
  <c r="AT85" i="11"/>
  <c r="AU85" i="11"/>
  <c r="AZ80" i="11"/>
  <c r="H78" i="12"/>
  <c r="AY85" i="11"/>
  <c r="AR80" i="11"/>
  <c r="AQ85" i="11"/>
  <c r="AR82" i="11"/>
  <c r="AS82" i="11"/>
  <c r="AQ82" i="11"/>
  <c r="AR78" i="11"/>
  <c r="AS78" i="11"/>
  <c r="AQ78" i="11"/>
  <c r="AR83" i="11"/>
  <c r="AQ83" i="11"/>
  <c r="AY80" i="11"/>
  <c r="AT80" i="11"/>
  <c r="AT84" i="11"/>
  <c r="AU78" i="11"/>
  <c r="AQ81" i="11"/>
  <c r="AV84" i="11"/>
  <c r="AS83" i="11"/>
  <c r="AV80" i="11"/>
  <c r="AP84" i="11"/>
  <c r="AX80" i="11"/>
  <c r="AX84" i="11"/>
  <c r="AQ80" i="11"/>
  <c r="AU84" i="11"/>
  <c r="AZ84" i="11"/>
  <c r="AZ81" i="11"/>
  <c r="AQ84" i="11"/>
  <c r="AS84" i="11"/>
  <c r="AQ77" i="11"/>
  <c r="AS77" i="11"/>
  <c r="AR77" i="11"/>
  <c r="AN146" i="1"/>
  <c r="AZ146" i="1" s="1"/>
  <c r="AK146" i="1"/>
  <c r="AO146" i="1"/>
  <c r="AN147" i="1"/>
  <c r="AM147" i="1"/>
  <c r="AR85" i="11" l="1"/>
  <c r="AS80" i="11"/>
  <c r="H83" i="12"/>
  <c r="AP147" i="1"/>
  <c r="AQ147" i="1"/>
  <c r="AM146" i="1"/>
  <c r="AR146" i="1" s="1"/>
  <c r="AU146" i="1"/>
  <c r="AW146" i="1"/>
  <c r="AY146" i="1"/>
  <c r="AP146" i="1"/>
  <c r="AT146" i="1"/>
  <c r="AV146" i="1"/>
  <c r="AX146" i="1"/>
  <c r="AS147" i="1"/>
  <c r="AW147" i="1"/>
  <c r="H62" i="109"/>
  <c r="K62" i="109" s="1"/>
  <c r="H61" i="109"/>
  <c r="K61" i="109" s="1"/>
  <c r="AK61" i="109"/>
  <c r="AL61" i="109"/>
  <c r="AN61" i="109"/>
  <c r="AT61" i="109" s="1"/>
  <c r="AK62" i="109"/>
  <c r="AL62" i="109"/>
  <c r="AN62" i="109"/>
  <c r="AV62" i="109" s="1"/>
  <c r="AO62" i="109"/>
  <c r="AN60" i="109"/>
  <c r="AL60" i="109"/>
  <c r="AK60" i="109"/>
  <c r="H60" i="109"/>
  <c r="B63" i="109"/>
  <c r="AZ60" i="109" l="1"/>
  <c r="K60" i="109"/>
  <c r="AO60" i="109"/>
  <c r="AT62" i="109"/>
  <c r="AV147" i="1"/>
  <c r="AY147" i="1"/>
  <c r="AZ147" i="1"/>
  <c r="AR147" i="1"/>
  <c r="AQ146" i="1"/>
  <c r="AS146" i="1"/>
  <c r="AU147" i="1"/>
  <c r="AX147" i="1"/>
  <c r="AT147" i="1"/>
  <c r="AX62" i="109"/>
  <c r="AM62" i="109"/>
  <c r="AR62" i="109" s="1"/>
  <c r="AZ62" i="109"/>
  <c r="AP62" i="109"/>
  <c r="AZ61" i="109"/>
  <c r="AV61" i="109"/>
  <c r="AX61" i="109"/>
  <c r="AM61" i="109"/>
  <c r="AR61" i="109" s="1"/>
  <c r="AO61" i="109"/>
  <c r="AP61" i="109"/>
  <c r="AW60" i="109"/>
  <c r="AU60" i="109"/>
  <c r="AY60" i="109"/>
  <c r="AY62" i="109"/>
  <c r="AW62" i="109"/>
  <c r="AU62" i="109"/>
  <c r="AY61" i="109"/>
  <c r="AW61" i="109"/>
  <c r="AU61" i="109"/>
  <c r="AM60" i="109"/>
  <c r="AP60" i="109"/>
  <c r="AT60" i="109"/>
  <c r="AV60" i="109"/>
  <c r="AX60" i="109"/>
  <c r="H28" i="95"/>
  <c r="K28" i="95" s="1"/>
  <c r="AO29" i="95"/>
  <c r="AO28" i="95"/>
  <c r="I63" i="35"/>
  <c r="AP63" i="35" s="1"/>
  <c r="I64" i="35"/>
  <c r="L64" i="35" s="1"/>
  <c r="I65" i="35"/>
  <c r="AP65" i="35" s="1"/>
  <c r="I66" i="35"/>
  <c r="L66" i="35" s="1"/>
  <c r="I62" i="35"/>
  <c r="AL63" i="35"/>
  <c r="AM63" i="35"/>
  <c r="AN63" i="35"/>
  <c r="AO63" i="35"/>
  <c r="AQ63" i="35" s="1"/>
  <c r="AL64" i="35"/>
  <c r="AM64" i="35"/>
  <c r="AN64" i="35"/>
  <c r="AO64" i="35"/>
  <c r="AP64" i="35"/>
  <c r="AL65" i="35"/>
  <c r="AM65" i="35"/>
  <c r="AN65" i="35"/>
  <c r="AO65" i="35"/>
  <c r="AL66" i="35"/>
  <c r="AM66" i="35"/>
  <c r="AN66" i="35"/>
  <c r="AO66" i="35"/>
  <c r="AO62" i="35"/>
  <c r="AN62" i="35"/>
  <c r="AM62" i="35"/>
  <c r="AL62" i="35"/>
  <c r="AS62" i="35" s="1"/>
  <c r="F61" i="35"/>
  <c r="E61" i="35"/>
  <c r="AQ62" i="109" l="1"/>
  <c r="AP62" i="35"/>
  <c r="AQ61" i="109"/>
  <c r="AS64" i="35"/>
  <c r="AS63" i="35"/>
  <c r="AS61" i="109"/>
  <c r="AS62" i="109"/>
  <c r="AN63" i="109"/>
  <c r="AL63" i="109"/>
  <c r="AK63" i="109"/>
  <c r="AO63" i="109"/>
  <c r="AS60" i="109"/>
  <c r="AQ60" i="109"/>
  <c r="AR60" i="109"/>
  <c r="AO27" i="95"/>
  <c r="AP66" i="35"/>
  <c r="AT65" i="35"/>
  <c r="AS66" i="35"/>
  <c r="AP67" i="35"/>
  <c r="AQ66" i="35"/>
  <c r="AT66" i="35"/>
  <c r="AQ64" i="35"/>
  <c r="L62" i="35"/>
  <c r="AL61" i="35"/>
  <c r="AM61" i="35"/>
  <c r="AT62" i="35"/>
  <c r="AR62" i="35"/>
  <c r="AR65" i="35"/>
  <c r="AR64" i="35"/>
  <c r="AT64" i="35"/>
  <c r="AT63" i="35"/>
  <c r="AR63" i="35"/>
  <c r="AS65" i="35"/>
  <c r="AQ65" i="35"/>
  <c r="AL67" i="35"/>
  <c r="AM67" i="35"/>
  <c r="L65" i="35"/>
  <c r="L63" i="35"/>
  <c r="AO67" i="35"/>
  <c r="AR66" i="35"/>
  <c r="AQ62" i="35"/>
  <c r="AO61" i="35"/>
  <c r="AK19" i="31"/>
  <c r="AL19" i="31"/>
  <c r="AN19" i="31"/>
  <c r="AT19" i="31" s="1"/>
  <c r="AK20" i="31"/>
  <c r="AL20" i="31"/>
  <c r="AN20" i="31"/>
  <c r="AW18" i="31"/>
  <c r="AN18" i="31"/>
  <c r="AZ18" i="31" s="1"/>
  <c r="AL18" i="31"/>
  <c r="AK18" i="31"/>
  <c r="AY63" i="109" l="1"/>
  <c r="AY65" i="109" s="1"/>
  <c r="AU18" i="31"/>
  <c r="AY18" i="31"/>
  <c r="AZ20" i="31"/>
  <c r="AM21" i="31"/>
  <c r="AR21" i="31" s="1"/>
  <c r="AL21" i="31"/>
  <c r="AP63" i="109"/>
  <c r="AV63" i="109"/>
  <c r="AT63" i="109"/>
  <c r="AZ63" i="109"/>
  <c r="AW63" i="109"/>
  <c r="AX63" i="109"/>
  <c r="AU63" i="109"/>
  <c r="AM63" i="109"/>
  <c r="AN61" i="35"/>
  <c r="AS61" i="35" s="1"/>
  <c r="AP61" i="35"/>
  <c r="AN67" i="35"/>
  <c r="AT67" i="35" s="1"/>
  <c r="AQ67" i="35"/>
  <c r="AX67" i="35"/>
  <c r="AY67" i="35"/>
  <c r="AU67" i="35"/>
  <c r="BA67" i="35"/>
  <c r="AZ67" i="35"/>
  <c r="AV67" i="35"/>
  <c r="AW67" i="35"/>
  <c r="AQ61" i="35"/>
  <c r="AX61" i="35"/>
  <c r="BA61" i="35"/>
  <c r="AW61" i="35"/>
  <c r="AU61" i="35"/>
  <c r="AZ61" i="35"/>
  <c r="AV61" i="35"/>
  <c r="AY61" i="35"/>
  <c r="AT61" i="35"/>
  <c r="AN21" i="31"/>
  <c r="AV20" i="31"/>
  <c r="AM20" i="31"/>
  <c r="AR20" i="31" s="1"/>
  <c r="AX20" i="31"/>
  <c r="AZ19" i="31"/>
  <c r="AV19" i="31"/>
  <c r="AM19" i="31"/>
  <c r="AR19" i="31" s="1"/>
  <c r="AX19" i="31"/>
  <c r="AQ20" i="31"/>
  <c r="AY20" i="31"/>
  <c r="AW20" i="31"/>
  <c r="AU20" i="31"/>
  <c r="AS20" i="31"/>
  <c r="AY19" i="31"/>
  <c r="AW19" i="31"/>
  <c r="AU19" i="31"/>
  <c r="AM18" i="31"/>
  <c r="AP18" i="31"/>
  <c r="AT18" i="31"/>
  <c r="AV18" i="31"/>
  <c r="AX18" i="31"/>
  <c r="K19" i="31"/>
  <c r="K18" i="31"/>
  <c r="H19" i="31"/>
  <c r="AO19" i="31" s="1"/>
  <c r="H20" i="31"/>
  <c r="AO20" i="31" s="1"/>
  <c r="H18" i="31"/>
  <c r="AK43" i="7"/>
  <c r="AL43" i="7"/>
  <c r="AN43" i="7"/>
  <c r="AP43" i="7" s="1"/>
  <c r="AO42" i="7"/>
  <c r="AN42" i="7"/>
  <c r="AZ42" i="7" s="1"/>
  <c r="AL42" i="7"/>
  <c r="AK42" i="7"/>
  <c r="K43" i="7"/>
  <c r="H43" i="7"/>
  <c r="AO43" i="7" s="1"/>
  <c r="H42" i="7"/>
  <c r="H44" i="7" l="1"/>
  <c r="H80" i="11" s="1"/>
  <c r="H41" i="7"/>
  <c r="AX43" i="7"/>
  <c r="AT43" i="7"/>
  <c r="AZ43" i="7"/>
  <c r="K42" i="7"/>
  <c r="AQ19" i="31"/>
  <c r="AR63" i="109"/>
  <c r="AV43" i="7"/>
  <c r="AO21" i="31"/>
  <c r="AO18" i="31"/>
  <c r="K20" i="31"/>
  <c r="AP19" i="31"/>
  <c r="AP20" i="31"/>
  <c r="AS63" i="109"/>
  <c r="AQ63" i="109"/>
  <c r="AR61" i="35"/>
  <c r="AS67" i="35"/>
  <c r="AR67" i="35"/>
  <c r="AQ21" i="31"/>
  <c r="AW21" i="31"/>
  <c r="AZ21" i="31"/>
  <c r="AV21" i="31"/>
  <c r="AT21" i="31"/>
  <c r="AY21" i="31"/>
  <c r="AU21" i="31"/>
  <c r="AX21" i="31"/>
  <c r="AS21" i="31"/>
  <c r="AS19" i="31"/>
  <c r="AS18" i="31"/>
  <c r="AQ18" i="31"/>
  <c r="AR18" i="31"/>
  <c r="AM43" i="7"/>
  <c r="AS43" i="7" s="1"/>
  <c r="AY43" i="7"/>
  <c r="AW43" i="7"/>
  <c r="AU43" i="7"/>
  <c r="AQ43" i="7"/>
  <c r="AM42" i="7"/>
  <c r="AR42" i="7" s="1"/>
  <c r="AU42" i="7"/>
  <c r="AW42" i="7"/>
  <c r="AY42" i="7"/>
  <c r="AP42" i="7"/>
  <c r="AT42" i="7"/>
  <c r="AV42" i="7"/>
  <c r="AX42" i="7"/>
  <c r="E41" i="7"/>
  <c r="K44" i="7" l="1"/>
  <c r="K80" i="11" s="1"/>
  <c r="K85" i="11" s="1"/>
  <c r="K41" i="7"/>
  <c r="AO44" i="7"/>
  <c r="F78" i="12"/>
  <c r="AO80" i="11"/>
  <c r="H85" i="11"/>
  <c r="AP80" i="11"/>
  <c r="AP21" i="31"/>
  <c r="AR43" i="7"/>
  <c r="AK41" i="7"/>
  <c r="AM41" i="7" s="1"/>
  <c r="AR41" i="7" s="1"/>
  <c r="AL41" i="7"/>
  <c r="AQ42" i="7"/>
  <c r="AS42" i="7"/>
  <c r="AO41" i="7"/>
  <c r="AN41" i="7"/>
  <c r="AK21" i="107"/>
  <c r="AL21" i="107"/>
  <c r="AN21" i="107"/>
  <c r="AZ21" i="107" s="1"/>
  <c r="H22" i="107"/>
  <c r="K22" i="107" s="1"/>
  <c r="H23" i="107"/>
  <c r="K23" i="107" s="1"/>
  <c r="H21" i="107"/>
  <c r="AK23" i="107"/>
  <c r="AL23" i="107"/>
  <c r="AN23" i="107"/>
  <c r="AV23" i="107" s="1"/>
  <c r="AN22" i="107"/>
  <c r="AZ22" i="107" s="1"/>
  <c r="AL22" i="107"/>
  <c r="AK22" i="107"/>
  <c r="F83" i="12" l="1"/>
  <c r="J78" i="12"/>
  <c r="K78" i="12"/>
  <c r="AP85" i="11"/>
  <c r="AO85" i="11"/>
  <c r="AT23" i="107"/>
  <c r="AO23" i="107"/>
  <c r="AO21" i="107"/>
  <c r="K21" i="107"/>
  <c r="AM21" i="107"/>
  <c r="AO22" i="107"/>
  <c r="AP41" i="7"/>
  <c r="AQ41" i="7"/>
  <c r="AW41" i="7"/>
  <c r="AS41" i="7"/>
  <c r="AX41" i="7"/>
  <c r="AT41" i="7"/>
  <c r="AY41" i="7"/>
  <c r="AU41" i="7"/>
  <c r="AZ41" i="7"/>
  <c r="AV41" i="7"/>
  <c r="AX23" i="107"/>
  <c r="AZ23" i="107"/>
  <c r="AM23" i="107"/>
  <c r="AR23" i="107" s="1"/>
  <c r="AU22" i="107"/>
  <c r="AY22" i="107"/>
  <c r="AW22" i="107"/>
  <c r="AW21" i="107"/>
  <c r="AU21" i="107"/>
  <c r="AY21" i="107"/>
  <c r="AP23" i="107"/>
  <c r="AQ23" i="107"/>
  <c r="AY23" i="107"/>
  <c r="AW23" i="107"/>
  <c r="AU23" i="107"/>
  <c r="AS23" i="107"/>
  <c r="AM22" i="107"/>
  <c r="AP22" i="107"/>
  <c r="AT22" i="107"/>
  <c r="AV22" i="107"/>
  <c r="AX22" i="107"/>
  <c r="AP21" i="107"/>
  <c r="AT21" i="107"/>
  <c r="AV21" i="107"/>
  <c r="AX21" i="107"/>
  <c r="J83" i="12" l="1"/>
  <c r="K83" i="12"/>
  <c r="AS22" i="107"/>
  <c r="AQ22" i="107"/>
  <c r="AR22" i="107"/>
  <c r="AS21" i="107"/>
  <c r="AQ21" i="107"/>
  <c r="AR21" i="107"/>
  <c r="AN52" i="36"/>
  <c r="AZ52" i="36" s="1"/>
  <c r="AL52" i="36"/>
  <c r="AK52" i="36"/>
  <c r="H52" i="36"/>
  <c r="AO52" i="36" s="1"/>
  <c r="K52" i="36" l="1"/>
  <c r="AU52" i="36"/>
  <c r="AY52" i="36"/>
  <c r="AW52" i="36"/>
  <c r="AM52" i="36"/>
  <c r="AP52" i="36"/>
  <c r="AT52" i="36"/>
  <c r="AV52" i="36"/>
  <c r="AX52" i="36"/>
  <c r="D20" i="107"/>
  <c r="D72" i="11" s="1"/>
  <c r="D70" i="12" s="1"/>
  <c r="B74" i="11"/>
  <c r="C72" i="12" s="1"/>
  <c r="B73" i="11"/>
  <c r="C71" i="12" s="1"/>
  <c r="B11" i="31"/>
  <c r="G17" i="31"/>
  <c r="G75" i="11" s="1"/>
  <c r="I17" i="31"/>
  <c r="I75" i="11" s="1"/>
  <c r="J17" i="31"/>
  <c r="J75" i="11" s="1"/>
  <c r="L17" i="31"/>
  <c r="L75" i="11" s="1"/>
  <c r="M17" i="31"/>
  <c r="M75" i="11" s="1"/>
  <c r="N17" i="31"/>
  <c r="N75" i="11" s="1"/>
  <c r="O17" i="31"/>
  <c r="O75" i="11" s="1"/>
  <c r="G73" i="12" s="1"/>
  <c r="P17" i="31"/>
  <c r="P75" i="11" s="1"/>
  <c r="Q17" i="31"/>
  <c r="Q75" i="11" s="1"/>
  <c r="R17" i="31"/>
  <c r="R75" i="11" s="1"/>
  <c r="S17" i="31"/>
  <c r="S75" i="11" s="1"/>
  <c r="T17" i="31"/>
  <c r="T75" i="11" s="1"/>
  <c r="U17" i="31"/>
  <c r="U75" i="11" s="1"/>
  <c r="V17" i="31"/>
  <c r="V75" i="11" s="1"/>
  <c r="W17" i="31"/>
  <c r="W75" i="11" s="1"/>
  <c r="X17" i="31"/>
  <c r="X75" i="11" s="1"/>
  <c r="Y17" i="31"/>
  <c r="Y75" i="11" s="1"/>
  <c r="Z17" i="31"/>
  <c r="Z75" i="11" s="1"/>
  <c r="AA17" i="31"/>
  <c r="AA75" i="11" s="1"/>
  <c r="AB17" i="31"/>
  <c r="AB75" i="11" s="1"/>
  <c r="AC17" i="31"/>
  <c r="AC75" i="11" s="1"/>
  <c r="AD17" i="31"/>
  <c r="AD75" i="11" s="1"/>
  <c r="AE17" i="31"/>
  <c r="AE75" i="11" s="1"/>
  <c r="AF17" i="31"/>
  <c r="AF75" i="11" s="1"/>
  <c r="AG17" i="31"/>
  <c r="AG75" i="11" s="1"/>
  <c r="AH17" i="31"/>
  <c r="AH75" i="11" s="1"/>
  <c r="AI17" i="31"/>
  <c r="AI75" i="11" s="1"/>
  <c r="AJ17" i="31"/>
  <c r="AJ75" i="11" s="1"/>
  <c r="F17" i="31"/>
  <c r="F75" i="11" s="1"/>
  <c r="E17" i="31"/>
  <c r="E75" i="11" s="1"/>
  <c r="E73" i="12" s="1"/>
  <c r="C17" i="31"/>
  <c r="C75" i="11" s="1"/>
  <c r="D17" i="31"/>
  <c r="D75" i="11" s="1"/>
  <c r="D73" i="12" s="1"/>
  <c r="AJ51" i="36"/>
  <c r="N51" i="36"/>
  <c r="G51" i="36"/>
  <c r="I51" i="36"/>
  <c r="I73" i="11" s="1"/>
  <c r="J51" i="36"/>
  <c r="L51" i="36"/>
  <c r="M51" i="36"/>
  <c r="O51" i="36"/>
  <c r="O73" i="11" s="1"/>
  <c r="G71" i="12" s="1"/>
  <c r="P51" i="36"/>
  <c r="Q51" i="36"/>
  <c r="Q73" i="11" s="1"/>
  <c r="R51" i="36"/>
  <c r="S51" i="36"/>
  <c r="S73" i="11" s="1"/>
  <c r="T51" i="36"/>
  <c r="U51" i="36"/>
  <c r="U73" i="11" s="1"/>
  <c r="V51" i="36"/>
  <c r="W51" i="36"/>
  <c r="W73" i="11" s="1"/>
  <c r="X51" i="36"/>
  <c r="Y51" i="36"/>
  <c r="Y73" i="11" s="1"/>
  <c r="Z51" i="36"/>
  <c r="AA51" i="36"/>
  <c r="AA73" i="11" s="1"/>
  <c r="AB51" i="36"/>
  <c r="AC51" i="36"/>
  <c r="AC73" i="11" s="1"/>
  <c r="AD51" i="36"/>
  <c r="AE51" i="36"/>
  <c r="AE73" i="11" s="1"/>
  <c r="AF51" i="36"/>
  <c r="AG51" i="36"/>
  <c r="AG73" i="11" s="1"/>
  <c r="AH51" i="36"/>
  <c r="AI51" i="36"/>
  <c r="AI73" i="11" s="1"/>
  <c r="E51" i="36"/>
  <c r="D51" i="36"/>
  <c r="C51" i="36"/>
  <c r="F23" i="95"/>
  <c r="F26" i="95" s="1"/>
  <c r="F74" i="11" s="1"/>
  <c r="C23" i="95"/>
  <c r="C26" i="95" s="1"/>
  <c r="C74" i="11" s="1"/>
  <c r="G54" i="35"/>
  <c r="G60" i="35" s="1"/>
  <c r="F69" i="11" s="1"/>
  <c r="F54" i="35"/>
  <c r="E54" i="35"/>
  <c r="D54" i="35"/>
  <c r="D60" i="35" s="1"/>
  <c r="C69" i="11" s="1"/>
  <c r="G40" i="7"/>
  <c r="I40" i="7"/>
  <c r="I71" i="11" s="1"/>
  <c r="J40" i="7"/>
  <c r="L40" i="7"/>
  <c r="M40" i="7"/>
  <c r="N40" i="7"/>
  <c r="N71" i="11" s="1"/>
  <c r="O40" i="7"/>
  <c r="O71" i="11" s="1"/>
  <c r="P40" i="7"/>
  <c r="Q40" i="7"/>
  <c r="R40" i="7"/>
  <c r="S40" i="7"/>
  <c r="S71" i="11" s="1"/>
  <c r="T40" i="7"/>
  <c r="T71" i="11" s="1"/>
  <c r="U40" i="7"/>
  <c r="U71" i="11" s="1"/>
  <c r="V40" i="7"/>
  <c r="V71" i="11" s="1"/>
  <c r="W40" i="7"/>
  <c r="W71" i="11" s="1"/>
  <c r="X40" i="7"/>
  <c r="X71" i="11" s="1"/>
  <c r="Y40" i="7"/>
  <c r="Y71" i="11" s="1"/>
  <c r="Z40" i="7"/>
  <c r="Z71" i="11" s="1"/>
  <c r="AA40" i="7"/>
  <c r="AB71" i="11"/>
  <c r="AC40" i="7"/>
  <c r="AC71" i="11" s="1"/>
  <c r="AD40" i="7"/>
  <c r="AD71" i="11" s="1"/>
  <c r="AE40" i="7"/>
  <c r="AE71" i="11" s="1"/>
  <c r="AF40" i="7"/>
  <c r="AF71" i="11" s="1"/>
  <c r="AG40" i="7"/>
  <c r="AH40" i="7"/>
  <c r="AI40" i="7"/>
  <c r="AJ40" i="7"/>
  <c r="F40" i="7"/>
  <c r="E40" i="7"/>
  <c r="D40" i="7"/>
  <c r="C40" i="7"/>
  <c r="C71" i="11" s="1"/>
  <c r="B40" i="7"/>
  <c r="G35" i="7"/>
  <c r="I35" i="7"/>
  <c r="J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F35" i="7"/>
  <c r="E35" i="7"/>
  <c r="D35" i="7"/>
  <c r="C35" i="7"/>
  <c r="AN37" i="7"/>
  <c r="AZ37" i="7" s="1"/>
  <c r="AL37" i="7"/>
  <c r="AK37" i="7"/>
  <c r="H37" i="7"/>
  <c r="K37" i="7" s="1"/>
  <c r="F137" i="1"/>
  <c r="B144" i="1"/>
  <c r="B68" i="11" s="1"/>
  <c r="C66" i="12" s="1"/>
  <c r="G137" i="1"/>
  <c r="I137" i="1"/>
  <c r="J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E137" i="1"/>
  <c r="E144" i="1" s="1"/>
  <c r="E68" i="11" s="1"/>
  <c r="E66" i="12" s="1"/>
  <c r="D137" i="1"/>
  <c r="D144" i="1" s="1"/>
  <c r="D68" i="11" s="1"/>
  <c r="D66" i="12" s="1"/>
  <c r="C137" i="1"/>
  <c r="G133" i="1"/>
  <c r="I133" i="1"/>
  <c r="J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F133" i="1"/>
  <c r="C133" i="1"/>
  <c r="C144" i="1" s="1"/>
  <c r="C68" i="11" s="1"/>
  <c r="AN143" i="1"/>
  <c r="AZ143" i="1" s="1"/>
  <c r="AL143" i="1"/>
  <c r="AK143" i="1"/>
  <c r="K143" i="1"/>
  <c r="H143" i="1"/>
  <c r="AO143" i="1" s="1"/>
  <c r="AN136" i="1"/>
  <c r="AZ136" i="1" s="1"/>
  <c r="AL136" i="1"/>
  <c r="AK136" i="1"/>
  <c r="K136" i="1"/>
  <c r="H136" i="1"/>
  <c r="AO136" i="1" s="1"/>
  <c r="AN135" i="1"/>
  <c r="AZ135" i="1" s="1"/>
  <c r="AL135" i="1"/>
  <c r="AK135" i="1"/>
  <c r="K135" i="1"/>
  <c r="H135" i="1"/>
  <c r="AO135" i="1" s="1"/>
  <c r="G59" i="109"/>
  <c r="G70" i="11" s="1"/>
  <c r="Q59" i="109"/>
  <c r="Q70" i="11" s="1"/>
  <c r="Y59" i="109"/>
  <c r="Y70" i="11" s="1"/>
  <c r="AG59" i="109"/>
  <c r="AG70" i="11" s="1"/>
  <c r="B59" i="109"/>
  <c r="B70" i="11" s="1"/>
  <c r="C68" i="12" s="1"/>
  <c r="G55" i="109"/>
  <c r="I55" i="109"/>
  <c r="I59" i="109" s="1"/>
  <c r="I70" i="11" s="1"/>
  <c r="J55" i="109"/>
  <c r="J59" i="109" s="1"/>
  <c r="J70" i="11" s="1"/>
  <c r="L55" i="109"/>
  <c r="L59" i="109" s="1"/>
  <c r="L70" i="11" s="1"/>
  <c r="M55" i="109"/>
  <c r="M59" i="109" s="1"/>
  <c r="M70" i="11" s="1"/>
  <c r="N55" i="109"/>
  <c r="N59" i="109" s="1"/>
  <c r="N70" i="11" s="1"/>
  <c r="O55" i="109"/>
  <c r="O59" i="109" s="1"/>
  <c r="O70" i="11" s="1"/>
  <c r="G68" i="12" s="1"/>
  <c r="P55" i="109"/>
  <c r="P59" i="109" s="1"/>
  <c r="P70" i="11" s="1"/>
  <c r="Q55" i="109"/>
  <c r="R55" i="109"/>
  <c r="R59" i="109" s="1"/>
  <c r="R70" i="11" s="1"/>
  <c r="S55" i="109"/>
  <c r="S59" i="109" s="1"/>
  <c r="S70" i="11" s="1"/>
  <c r="T55" i="109"/>
  <c r="T59" i="109" s="1"/>
  <c r="T70" i="11" s="1"/>
  <c r="U55" i="109"/>
  <c r="U59" i="109" s="1"/>
  <c r="U70" i="11" s="1"/>
  <c r="V55" i="109"/>
  <c r="V59" i="109" s="1"/>
  <c r="V70" i="11" s="1"/>
  <c r="W55" i="109"/>
  <c r="W59" i="109" s="1"/>
  <c r="W70" i="11" s="1"/>
  <c r="X55" i="109"/>
  <c r="X59" i="109" s="1"/>
  <c r="X70" i="11" s="1"/>
  <c r="Y55" i="109"/>
  <c r="Z55" i="109"/>
  <c r="Z59" i="109" s="1"/>
  <c r="Z70" i="11" s="1"/>
  <c r="AA55" i="109"/>
  <c r="AA59" i="109" s="1"/>
  <c r="AA70" i="11" s="1"/>
  <c r="AB55" i="109"/>
  <c r="AB59" i="109" s="1"/>
  <c r="AB70" i="11" s="1"/>
  <c r="AC55" i="109"/>
  <c r="AC59" i="109" s="1"/>
  <c r="AC70" i="11" s="1"/>
  <c r="AD55" i="109"/>
  <c r="AD59" i="109" s="1"/>
  <c r="AD70" i="11" s="1"/>
  <c r="AE55" i="109"/>
  <c r="AE59" i="109" s="1"/>
  <c r="AE70" i="11" s="1"/>
  <c r="AF55" i="109"/>
  <c r="AF59" i="109" s="1"/>
  <c r="AF70" i="11" s="1"/>
  <c r="AG55" i="109"/>
  <c r="AH55" i="109"/>
  <c r="AH59" i="109" s="1"/>
  <c r="AH70" i="11" s="1"/>
  <c r="AI55" i="109"/>
  <c r="AI59" i="109" s="1"/>
  <c r="AI70" i="11" s="1"/>
  <c r="AJ55" i="109"/>
  <c r="AJ59" i="109" s="1"/>
  <c r="AJ70" i="11" s="1"/>
  <c r="F55" i="109"/>
  <c r="F59" i="109" s="1"/>
  <c r="F70" i="11" s="1"/>
  <c r="E55" i="109"/>
  <c r="E59" i="109" s="1"/>
  <c r="E70" i="11" s="1"/>
  <c r="E68" i="12" s="1"/>
  <c r="D55" i="109"/>
  <c r="D59" i="109" s="1"/>
  <c r="D70" i="11" s="1"/>
  <c r="D68" i="12" s="1"/>
  <c r="C59" i="109"/>
  <c r="C70" i="11" s="1"/>
  <c r="P71" i="11" l="1"/>
  <c r="AK44" i="7"/>
  <c r="L71" i="11"/>
  <c r="D71" i="11"/>
  <c r="D69" i="12" s="1"/>
  <c r="AA71" i="11"/>
  <c r="J71" i="11"/>
  <c r="E71" i="11"/>
  <c r="E69" i="12" s="1"/>
  <c r="E44" i="7"/>
  <c r="E80" i="11" s="1"/>
  <c r="R71" i="11"/>
  <c r="AH71" i="11"/>
  <c r="B44" i="7"/>
  <c r="B80" i="11" s="1"/>
  <c r="F71" i="11"/>
  <c r="AG71" i="11"/>
  <c r="Q71" i="11"/>
  <c r="AL44" i="7"/>
  <c r="M71" i="11"/>
  <c r="G71" i="11"/>
  <c r="AN70" i="11"/>
  <c r="AV70" i="11" s="1"/>
  <c r="AK70" i="11"/>
  <c r="AL70" i="11"/>
  <c r="F144" i="1"/>
  <c r="F68" i="11" s="1"/>
  <c r="AI144" i="1"/>
  <c r="AG144" i="1"/>
  <c r="AG68" i="11" s="1"/>
  <c r="AE144" i="1"/>
  <c r="AE68" i="11" s="1"/>
  <c r="AC144" i="1"/>
  <c r="AC68" i="11" s="1"/>
  <c r="AA144" i="1"/>
  <c r="AA68" i="11" s="1"/>
  <c r="Y144" i="1"/>
  <c r="Y68" i="11" s="1"/>
  <c r="W144" i="1"/>
  <c r="W68" i="11" s="1"/>
  <c r="U144" i="1"/>
  <c r="U68" i="11" s="1"/>
  <c r="S144" i="1"/>
  <c r="Q144" i="1"/>
  <c r="Q68" i="11" s="1"/>
  <c r="O144" i="1"/>
  <c r="O68" i="11" s="1"/>
  <c r="G66" i="12" s="1"/>
  <c r="M144" i="1"/>
  <c r="M68" i="11" s="1"/>
  <c r="J144" i="1"/>
  <c r="J68" i="11" s="1"/>
  <c r="G144" i="1"/>
  <c r="AJ144" i="1"/>
  <c r="AJ68" i="11" s="1"/>
  <c r="AH144" i="1"/>
  <c r="AH68" i="11" s="1"/>
  <c r="AF144" i="1"/>
  <c r="AF68" i="11" s="1"/>
  <c r="AD144" i="1"/>
  <c r="AD68" i="11" s="1"/>
  <c r="AB144" i="1"/>
  <c r="AB68" i="11" s="1"/>
  <c r="Z144" i="1"/>
  <c r="Z68" i="11" s="1"/>
  <c r="X144" i="1"/>
  <c r="X68" i="11" s="1"/>
  <c r="V144" i="1"/>
  <c r="V68" i="11" s="1"/>
  <c r="T144" i="1"/>
  <c r="T68" i="11" s="1"/>
  <c r="R144" i="1"/>
  <c r="R68" i="11" s="1"/>
  <c r="P144" i="1"/>
  <c r="P68" i="11" s="1"/>
  <c r="N144" i="1"/>
  <c r="N68" i="11" s="1"/>
  <c r="L144" i="1"/>
  <c r="L68" i="11" s="1"/>
  <c r="I144" i="1"/>
  <c r="I68" i="11" s="1"/>
  <c r="AI68" i="11"/>
  <c r="S68" i="11"/>
  <c r="G68" i="11"/>
  <c r="M73" i="11"/>
  <c r="G73" i="11"/>
  <c r="E73" i="11"/>
  <c r="E71" i="12" s="1"/>
  <c r="C73" i="11"/>
  <c r="AJ73" i="11"/>
  <c r="AH73" i="11"/>
  <c r="AF73" i="11"/>
  <c r="AD73" i="11"/>
  <c r="AB73" i="11"/>
  <c r="Z73" i="11"/>
  <c r="X73" i="11"/>
  <c r="V73" i="11"/>
  <c r="T73" i="11"/>
  <c r="R73" i="11"/>
  <c r="P73" i="11"/>
  <c r="N73" i="11"/>
  <c r="L73" i="11"/>
  <c r="J73" i="11"/>
  <c r="F73" i="11"/>
  <c r="D73" i="11"/>
  <c r="D71" i="12" s="1"/>
  <c r="AN75" i="11"/>
  <c r="AV75" i="11" s="1"/>
  <c r="AK75" i="11"/>
  <c r="AL75" i="11"/>
  <c r="AM75" i="11" s="1"/>
  <c r="I73" i="12" s="1"/>
  <c r="H73" i="12"/>
  <c r="G69" i="12"/>
  <c r="AI71" i="11"/>
  <c r="B71" i="11"/>
  <c r="C69" i="12" s="1"/>
  <c r="AJ71" i="11"/>
  <c r="AS52" i="36"/>
  <c r="AQ52" i="36"/>
  <c r="AR52" i="36"/>
  <c r="AY75" i="11"/>
  <c r="AK51" i="36"/>
  <c r="AL51" i="36"/>
  <c r="AN51" i="36"/>
  <c r="AU37" i="7"/>
  <c r="AT37" i="7"/>
  <c r="AO37" i="7"/>
  <c r="AW37" i="7"/>
  <c r="AP37" i="7"/>
  <c r="AY37" i="7"/>
  <c r="AX37" i="7"/>
  <c r="AM37" i="7"/>
  <c r="AV37" i="7"/>
  <c r="AP135" i="1"/>
  <c r="AT135" i="1"/>
  <c r="AW143" i="1"/>
  <c r="AP143" i="1"/>
  <c r="AT143" i="1"/>
  <c r="AX143" i="1"/>
  <c r="AM143" i="1"/>
  <c r="AS143" i="1" s="1"/>
  <c r="AU143" i="1"/>
  <c r="AY143" i="1"/>
  <c r="AV143" i="1"/>
  <c r="AW136" i="1"/>
  <c r="AP136" i="1"/>
  <c r="AT136" i="1"/>
  <c r="AX136" i="1"/>
  <c r="AM136" i="1"/>
  <c r="AS136" i="1" s="1"/>
  <c r="AU136" i="1"/>
  <c r="AY136" i="1"/>
  <c r="AV136" i="1"/>
  <c r="AW135" i="1"/>
  <c r="AX135" i="1"/>
  <c r="AM135" i="1"/>
  <c r="AS135" i="1" s="1"/>
  <c r="AU135" i="1"/>
  <c r="AY135" i="1"/>
  <c r="AV135" i="1"/>
  <c r="AK43" i="36"/>
  <c r="H43" i="36"/>
  <c r="K43" i="36" s="1"/>
  <c r="H44" i="36"/>
  <c r="H45" i="36"/>
  <c r="K45" i="36" s="1"/>
  <c r="H46" i="36"/>
  <c r="AO46" i="36" s="1"/>
  <c r="H47" i="36"/>
  <c r="K47" i="36" s="1"/>
  <c r="H48" i="36"/>
  <c r="AO48" i="36" s="1"/>
  <c r="H49" i="36"/>
  <c r="K49" i="36" s="1"/>
  <c r="H50" i="36"/>
  <c r="AO50" i="36" s="1"/>
  <c r="AL43" i="36"/>
  <c r="AN43" i="36"/>
  <c r="AT43" i="36" s="1"/>
  <c r="AK44" i="36"/>
  <c r="AL44" i="36"/>
  <c r="AN44" i="36"/>
  <c r="AT44" i="36" s="1"/>
  <c r="AK45" i="36"/>
  <c r="AL45" i="36"/>
  <c r="AN45" i="36"/>
  <c r="AV45" i="36" s="1"/>
  <c r="AK46" i="36"/>
  <c r="AL46" i="36"/>
  <c r="AN46" i="36"/>
  <c r="AT46" i="36" s="1"/>
  <c r="AK47" i="36"/>
  <c r="AL47" i="36"/>
  <c r="AN47" i="36"/>
  <c r="AT47" i="36" s="1"/>
  <c r="AK48" i="36"/>
  <c r="AL48" i="36"/>
  <c r="AN48" i="36"/>
  <c r="AX48" i="36" s="1"/>
  <c r="AK49" i="36"/>
  <c r="AL49" i="36"/>
  <c r="AN49" i="36"/>
  <c r="AT49" i="36" s="1"/>
  <c r="AK50" i="36"/>
  <c r="AL50" i="36"/>
  <c r="AN50" i="36"/>
  <c r="AN42" i="36"/>
  <c r="AZ42" i="36" s="1"/>
  <c r="AL42" i="36"/>
  <c r="AK42" i="36"/>
  <c r="H42" i="36"/>
  <c r="H39" i="7"/>
  <c r="AO39" i="7" s="1"/>
  <c r="AN39" i="7"/>
  <c r="AY39" i="7" s="1"/>
  <c r="AL39" i="7"/>
  <c r="AK39" i="7"/>
  <c r="AN38" i="7"/>
  <c r="AZ38" i="7" s="1"/>
  <c r="AL38" i="7"/>
  <c r="AK38" i="7"/>
  <c r="AN36" i="7"/>
  <c r="AZ36" i="7" s="1"/>
  <c r="AL36" i="7"/>
  <c r="AK36" i="7"/>
  <c r="H38" i="7"/>
  <c r="K38" i="7" s="1"/>
  <c r="H36" i="7"/>
  <c r="E78" i="12" l="1"/>
  <c r="E83" i="12" s="1"/>
  <c r="E85" i="11"/>
  <c r="C78" i="12"/>
  <c r="C83" i="12" s="1"/>
  <c r="B85" i="11"/>
  <c r="AK71" i="11"/>
  <c r="AT75" i="11"/>
  <c r="AW75" i="11"/>
  <c r="AZ75" i="11"/>
  <c r="AU75" i="11"/>
  <c r="AX75" i="11"/>
  <c r="AN71" i="11"/>
  <c r="AU71" i="11" s="1"/>
  <c r="AT70" i="11"/>
  <c r="AU70" i="11"/>
  <c r="AL73" i="11"/>
  <c r="AW44" i="7"/>
  <c r="H68" i="12"/>
  <c r="AN44" i="7"/>
  <c r="AY44" i="7" s="1"/>
  <c r="AM44" i="7"/>
  <c r="AS44" i="7" s="1"/>
  <c r="AL68" i="11"/>
  <c r="AX70" i="11"/>
  <c r="AY70" i="11"/>
  <c r="AZ70" i="11"/>
  <c r="AW70" i="11"/>
  <c r="AM70" i="11"/>
  <c r="I68" i="12" s="1"/>
  <c r="AN68" i="11"/>
  <c r="AW68" i="11" s="1"/>
  <c r="AK68" i="11"/>
  <c r="AU68" i="11"/>
  <c r="AQ136" i="1"/>
  <c r="AK73" i="11"/>
  <c r="AN73" i="11"/>
  <c r="AY73" i="11" s="1"/>
  <c r="AO44" i="36"/>
  <c r="AM45" i="36"/>
  <c r="AR45" i="36" s="1"/>
  <c r="AN53" i="36"/>
  <c r="AR75" i="11"/>
  <c r="AQ75" i="11"/>
  <c r="AS75" i="11"/>
  <c r="AL71" i="11"/>
  <c r="AM51" i="36"/>
  <c r="AQ51" i="36" s="1"/>
  <c r="AX46" i="36"/>
  <c r="AO43" i="36"/>
  <c r="AZ46" i="36"/>
  <c r="AV46" i="36"/>
  <c r="AM49" i="36"/>
  <c r="AR49" i="36" s="1"/>
  <c r="AP50" i="36"/>
  <c r="AO45" i="36"/>
  <c r="AO42" i="36"/>
  <c r="H51" i="36"/>
  <c r="H73" i="11" s="1"/>
  <c r="AO36" i="7"/>
  <c r="H35" i="7"/>
  <c r="H40" i="7"/>
  <c r="H71" i="11" s="1"/>
  <c r="AO38" i="7"/>
  <c r="AQ37" i="7"/>
  <c r="AS37" i="7"/>
  <c r="AR37" i="7"/>
  <c r="AQ135" i="1"/>
  <c r="AQ143" i="1"/>
  <c r="AR143" i="1"/>
  <c r="AR136" i="1"/>
  <c r="AR135" i="1"/>
  <c r="AP49" i="36"/>
  <c r="AO49" i="36"/>
  <c r="AP47" i="36"/>
  <c r="AX45" i="36"/>
  <c r="AP48" i="36"/>
  <c r="AO47" i="36"/>
  <c r="AT45" i="36"/>
  <c r="AP43" i="36"/>
  <c r="AX50" i="36"/>
  <c r="AT50" i="36"/>
  <c r="AZ50" i="36"/>
  <c r="AV50" i="36"/>
  <c r="AM50" i="36"/>
  <c r="AR50" i="36" s="1"/>
  <c r="AZ49" i="36"/>
  <c r="AV49" i="36"/>
  <c r="AX49" i="36"/>
  <c r="AT48" i="36"/>
  <c r="AZ48" i="36"/>
  <c r="AV48" i="36"/>
  <c r="AM48" i="36"/>
  <c r="AR48" i="36" s="1"/>
  <c r="AZ47" i="36"/>
  <c r="AV47" i="36"/>
  <c r="AX47" i="36"/>
  <c r="AM47" i="36"/>
  <c r="AR47" i="36" s="1"/>
  <c r="AM46" i="36"/>
  <c r="AR46" i="36" s="1"/>
  <c r="AZ45" i="36"/>
  <c r="AZ44" i="36"/>
  <c r="AV44" i="36"/>
  <c r="AX44" i="36"/>
  <c r="AM44" i="36"/>
  <c r="AR44" i="36" s="1"/>
  <c r="AM43" i="36"/>
  <c r="AR43" i="36" s="1"/>
  <c r="AZ43" i="36"/>
  <c r="AV43" i="36"/>
  <c r="AX43" i="36"/>
  <c r="AY42" i="36"/>
  <c r="AU42" i="36"/>
  <c r="AW42" i="36"/>
  <c r="K42" i="36"/>
  <c r="AP46" i="36"/>
  <c r="AP44" i="36"/>
  <c r="K50" i="36"/>
  <c r="K48" i="36"/>
  <c r="K46" i="36"/>
  <c r="AP45" i="36"/>
  <c r="K44" i="36"/>
  <c r="AY50" i="36"/>
  <c r="AW50" i="36"/>
  <c r="AU50" i="36"/>
  <c r="AY49" i="36"/>
  <c r="AW49" i="36"/>
  <c r="AU49" i="36"/>
  <c r="AY48" i="36"/>
  <c r="AW48" i="36"/>
  <c r="AU48" i="36"/>
  <c r="AY47" i="36"/>
  <c r="AW47" i="36"/>
  <c r="AU47" i="36"/>
  <c r="AY46" i="36"/>
  <c r="AW46" i="36"/>
  <c r="AU46" i="36"/>
  <c r="AY45" i="36"/>
  <c r="AW45" i="36"/>
  <c r="AU45" i="36"/>
  <c r="AY44" i="36"/>
  <c r="AW44" i="36"/>
  <c r="AU44" i="36"/>
  <c r="AY43" i="36"/>
  <c r="AW43" i="36"/>
  <c r="AU43" i="36"/>
  <c r="AM42" i="36"/>
  <c r="AP42" i="36"/>
  <c r="AT42" i="36"/>
  <c r="AV42" i="36"/>
  <c r="AX42" i="36"/>
  <c r="AU51" i="36"/>
  <c r="AM39" i="7"/>
  <c r="AR39" i="7" s="1"/>
  <c r="K39" i="7"/>
  <c r="AW38" i="7"/>
  <c r="AU38" i="7"/>
  <c r="AY38" i="7"/>
  <c r="AW36" i="7"/>
  <c r="AU36" i="7"/>
  <c r="AY36" i="7"/>
  <c r="K36" i="7"/>
  <c r="AP39" i="7"/>
  <c r="AT39" i="7"/>
  <c r="AV39" i="7"/>
  <c r="AX39" i="7"/>
  <c r="AZ39" i="7"/>
  <c r="AU39" i="7"/>
  <c r="AW39" i="7"/>
  <c r="AM38" i="7"/>
  <c r="AP38" i="7"/>
  <c r="AT38" i="7"/>
  <c r="AV38" i="7"/>
  <c r="AX38" i="7"/>
  <c r="AM36" i="7"/>
  <c r="AR36" i="7" s="1"/>
  <c r="AP36" i="7"/>
  <c r="AT36" i="7"/>
  <c r="AV36" i="7"/>
  <c r="AX36" i="7"/>
  <c r="H15" i="31"/>
  <c r="K15" i="31" s="1"/>
  <c r="H16" i="31"/>
  <c r="AO16" i="31" s="1"/>
  <c r="AK15" i="31"/>
  <c r="AL15" i="31"/>
  <c r="AN15" i="31"/>
  <c r="AT15" i="31" s="1"/>
  <c r="AK16" i="31"/>
  <c r="AL16" i="31"/>
  <c r="AN16" i="31"/>
  <c r="AN14" i="31"/>
  <c r="AZ14" i="31" s="1"/>
  <c r="AL14" i="31"/>
  <c r="AK14" i="31"/>
  <c r="H14" i="31"/>
  <c r="B17" i="31"/>
  <c r="B75" i="11" s="1"/>
  <c r="C73" i="12" s="1"/>
  <c r="AJ23" i="95"/>
  <c r="AJ26" i="95" s="1"/>
  <c r="AI23" i="95"/>
  <c r="AI26" i="95" s="1"/>
  <c r="AH23" i="95"/>
  <c r="AH26" i="95" s="1"/>
  <c r="AG23" i="95"/>
  <c r="AG26" i="95" s="1"/>
  <c r="AF23" i="95"/>
  <c r="AF26" i="95" s="1"/>
  <c r="AF74" i="11" s="1"/>
  <c r="AE23" i="95"/>
  <c r="AE26" i="95" s="1"/>
  <c r="AE74" i="11" s="1"/>
  <c r="AD23" i="95"/>
  <c r="AD26" i="95" s="1"/>
  <c r="AD74" i="11" s="1"/>
  <c r="AC23" i="95"/>
  <c r="AC26" i="95" s="1"/>
  <c r="AC74" i="11" s="1"/>
  <c r="AB23" i="95"/>
  <c r="AB26" i="95" s="1"/>
  <c r="AB74" i="11" s="1"/>
  <c r="AA23" i="95"/>
  <c r="AA26" i="95" s="1"/>
  <c r="Z23" i="95"/>
  <c r="Z26" i="95" s="1"/>
  <c r="Z74" i="11" s="1"/>
  <c r="Y23" i="95"/>
  <c r="Y26" i="95" s="1"/>
  <c r="X23" i="95"/>
  <c r="X26" i="95" s="1"/>
  <c r="W23" i="95"/>
  <c r="W26" i="95" s="1"/>
  <c r="W74" i="11" s="1"/>
  <c r="V23" i="95"/>
  <c r="V26" i="95" s="1"/>
  <c r="V74" i="11" s="1"/>
  <c r="U23" i="95"/>
  <c r="U26" i="95" s="1"/>
  <c r="U74" i="11" s="1"/>
  <c r="T23" i="95"/>
  <c r="T26" i="95" s="1"/>
  <c r="T74" i="11" s="1"/>
  <c r="S23" i="95"/>
  <c r="R23" i="95"/>
  <c r="R26" i="95" s="1"/>
  <c r="Q23" i="95"/>
  <c r="Q26" i="95" s="1"/>
  <c r="Q74" i="11" s="1"/>
  <c r="P23" i="95"/>
  <c r="P26" i="95" s="1"/>
  <c r="O23" i="95"/>
  <c r="O26" i="95" s="1"/>
  <c r="O74" i="11" s="1"/>
  <c r="G72" i="12" s="1"/>
  <c r="N23" i="95"/>
  <c r="N26" i="95" s="1"/>
  <c r="N74" i="11" s="1"/>
  <c r="M23" i="95"/>
  <c r="M26" i="95" s="1"/>
  <c r="L23" i="95"/>
  <c r="L26" i="95" s="1"/>
  <c r="J23" i="95"/>
  <c r="J26" i="95" s="1"/>
  <c r="I23" i="95"/>
  <c r="I26" i="95" s="1"/>
  <c r="I74" i="11" s="1"/>
  <c r="G23" i="95"/>
  <c r="G26" i="95" s="1"/>
  <c r="E23" i="95"/>
  <c r="E26" i="95" s="1"/>
  <c r="D23" i="95"/>
  <c r="D26" i="95" s="1"/>
  <c r="AN25" i="95"/>
  <c r="AZ25" i="95" s="1"/>
  <c r="H25" i="95"/>
  <c r="K25" i="95" s="1"/>
  <c r="H24" i="95"/>
  <c r="AO25" i="95" s="1"/>
  <c r="H57" i="109"/>
  <c r="K57" i="109" s="1"/>
  <c r="H58" i="109"/>
  <c r="AO58" i="109" s="1"/>
  <c r="AK57" i="109"/>
  <c r="AL57" i="109"/>
  <c r="AN57" i="109"/>
  <c r="AT57" i="109" s="1"/>
  <c r="AK58" i="109"/>
  <c r="AL58" i="109"/>
  <c r="AN58" i="109"/>
  <c r="AN56" i="109"/>
  <c r="AZ56" i="109" s="1"/>
  <c r="AL56" i="109"/>
  <c r="AK56" i="109"/>
  <c r="H56" i="109"/>
  <c r="AL55" i="109"/>
  <c r="I56" i="35"/>
  <c r="L56" i="35" s="1"/>
  <c r="I57" i="35"/>
  <c r="I58" i="35"/>
  <c r="AP58" i="35" s="1"/>
  <c r="I59" i="35"/>
  <c r="AP59" i="35" s="1"/>
  <c r="L57" i="35"/>
  <c r="L58" i="35"/>
  <c r="L59" i="35"/>
  <c r="AL56" i="35"/>
  <c r="AM56" i="35"/>
  <c r="AN56" i="35"/>
  <c r="AO56" i="35"/>
  <c r="AL57" i="35"/>
  <c r="AM57" i="35"/>
  <c r="AN57" i="35"/>
  <c r="AO57" i="35"/>
  <c r="AL58" i="35"/>
  <c r="AM58" i="35"/>
  <c r="AN58" i="35"/>
  <c r="AO58" i="35"/>
  <c r="AL59" i="35"/>
  <c r="AM59" i="35"/>
  <c r="AN59" i="35"/>
  <c r="AO59" i="35"/>
  <c r="AO55" i="35"/>
  <c r="AN55" i="35"/>
  <c r="AM55" i="35"/>
  <c r="AL55" i="35"/>
  <c r="AS55" i="35" s="1"/>
  <c r="I55" i="35"/>
  <c r="AP55" i="35" s="1"/>
  <c r="AK54" i="35"/>
  <c r="AK60" i="35" s="1"/>
  <c r="AJ69" i="11" s="1"/>
  <c r="AJ54" i="35"/>
  <c r="AJ60" i="35" s="1"/>
  <c r="AI69" i="11" s="1"/>
  <c r="AI54" i="35"/>
  <c r="AI60" i="35" s="1"/>
  <c r="AH69" i="11" s="1"/>
  <c r="AH54" i="35"/>
  <c r="AH60" i="35" s="1"/>
  <c r="AG69" i="11" s="1"/>
  <c r="AG54" i="35"/>
  <c r="AG60" i="35" s="1"/>
  <c r="AF69" i="11" s="1"/>
  <c r="AF54" i="35"/>
  <c r="AF60" i="35" s="1"/>
  <c r="AE69" i="11" s="1"/>
  <c r="AE54" i="35"/>
  <c r="AE60" i="35" s="1"/>
  <c r="AD69" i="11" s="1"/>
  <c r="AD54" i="35"/>
  <c r="AD60" i="35" s="1"/>
  <c r="AC69" i="11" s="1"/>
  <c r="AC54" i="35"/>
  <c r="AC60" i="35" s="1"/>
  <c r="AB69" i="11" s="1"/>
  <c r="AB54" i="35"/>
  <c r="AB60" i="35" s="1"/>
  <c r="AA69" i="11" s="1"/>
  <c r="AA54" i="35"/>
  <c r="AA60" i="35" s="1"/>
  <c r="Z69" i="11" s="1"/>
  <c r="Z54" i="35"/>
  <c r="Z60" i="35" s="1"/>
  <c r="Y69" i="11" s="1"/>
  <c r="Y54" i="35"/>
  <c r="Y60" i="35" s="1"/>
  <c r="X69" i="11" s="1"/>
  <c r="X54" i="35"/>
  <c r="X60" i="35" s="1"/>
  <c r="W69" i="11" s="1"/>
  <c r="W54" i="35"/>
  <c r="W60" i="35" s="1"/>
  <c r="V69" i="11" s="1"/>
  <c r="V54" i="35"/>
  <c r="V60" i="35" s="1"/>
  <c r="U69" i="11" s="1"/>
  <c r="U54" i="35"/>
  <c r="U60" i="35" s="1"/>
  <c r="T69" i="11" s="1"/>
  <c r="T54" i="35"/>
  <c r="T60" i="35" s="1"/>
  <c r="S69" i="11" s="1"/>
  <c r="S54" i="35"/>
  <c r="S60" i="35" s="1"/>
  <c r="R69" i="11" s="1"/>
  <c r="R54" i="35"/>
  <c r="R60" i="35" s="1"/>
  <c r="Q69" i="11" s="1"/>
  <c r="Q54" i="35"/>
  <c r="Q60" i="35" s="1"/>
  <c r="P69" i="11" s="1"/>
  <c r="P54" i="35"/>
  <c r="P60" i="35" s="1"/>
  <c r="O69" i="11" s="1"/>
  <c r="G67" i="12" s="1"/>
  <c r="O54" i="35"/>
  <c r="O60" i="35" s="1"/>
  <c r="N69" i="11" s="1"/>
  <c r="N54" i="35"/>
  <c r="N60" i="35" s="1"/>
  <c r="M69" i="11" s="1"/>
  <c r="M54" i="35"/>
  <c r="M60" i="35" s="1"/>
  <c r="L69" i="11" s="1"/>
  <c r="K54" i="35"/>
  <c r="K60" i="35" s="1"/>
  <c r="J69" i="11" s="1"/>
  <c r="J54" i="35"/>
  <c r="J60" i="35" s="1"/>
  <c r="I69" i="11" s="1"/>
  <c r="H54" i="35"/>
  <c r="H60" i="35" s="1"/>
  <c r="G69" i="11" s="1"/>
  <c r="F60" i="35"/>
  <c r="E69" i="11" s="1"/>
  <c r="E67" i="12" s="1"/>
  <c r="E60" i="35"/>
  <c r="D69" i="11" s="1"/>
  <c r="C60" i="35"/>
  <c r="B69" i="11" s="1"/>
  <c r="C67" i="12" s="1"/>
  <c r="K139" i="1"/>
  <c r="K140" i="1"/>
  <c r="K141" i="1"/>
  <c r="K142" i="1"/>
  <c r="H139" i="1"/>
  <c r="H140" i="1"/>
  <c r="AO140" i="1" s="1"/>
  <c r="H141" i="1"/>
  <c r="AO141" i="1" s="1"/>
  <c r="H142" i="1"/>
  <c r="AO142" i="1" s="1"/>
  <c r="AK139" i="1"/>
  <c r="AL139" i="1"/>
  <c r="AN139" i="1"/>
  <c r="AT139" i="1" s="1"/>
  <c r="AK140" i="1"/>
  <c r="AL140" i="1"/>
  <c r="AN140" i="1"/>
  <c r="AV140" i="1" s="1"/>
  <c r="AK141" i="1"/>
  <c r="AL141" i="1"/>
  <c r="AN141" i="1"/>
  <c r="AT141" i="1" s="1"/>
  <c r="AK142" i="1"/>
  <c r="AL142" i="1"/>
  <c r="AN142" i="1"/>
  <c r="AP142" i="1" s="1"/>
  <c r="AN138" i="1"/>
  <c r="AZ138" i="1" s="1"/>
  <c r="AL138" i="1"/>
  <c r="AK138" i="1"/>
  <c r="K138" i="1"/>
  <c r="H138" i="1"/>
  <c r="AO138" i="1" s="1"/>
  <c r="AN134" i="1"/>
  <c r="AZ134" i="1" s="1"/>
  <c r="AL134" i="1"/>
  <c r="AK134" i="1"/>
  <c r="H134" i="1"/>
  <c r="H133" i="1" s="1"/>
  <c r="K134" i="1"/>
  <c r="K133" i="1" s="1"/>
  <c r="E133" i="1"/>
  <c r="D133" i="1"/>
  <c r="AO19" i="107"/>
  <c r="AN19" i="107"/>
  <c r="AZ19" i="107" s="1"/>
  <c r="AL19" i="107"/>
  <c r="AK19" i="107"/>
  <c r="K19" i="107"/>
  <c r="AT44" i="7" l="1"/>
  <c r="AZ71" i="11"/>
  <c r="H69" i="12"/>
  <c r="AW71" i="11"/>
  <c r="AY71" i="11"/>
  <c r="AX71" i="11"/>
  <c r="AV71" i="11"/>
  <c r="AT71" i="11"/>
  <c r="AT68" i="11"/>
  <c r="R74" i="11"/>
  <c r="AH74" i="11"/>
  <c r="AQ49" i="36"/>
  <c r="AT73" i="11"/>
  <c r="AM73" i="11"/>
  <c r="AS73" i="11" s="1"/>
  <c r="AR70" i="11"/>
  <c r="AU44" i="7"/>
  <c r="AV44" i="7"/>
  <c r="AX44" i="7"/>
  <c r="AP44" i="7"/>
  <c r="AQ44" i="7"/>
  <c r="AZ44" i="7"/>
  <c r="P74" i="11"/>
  <c r="D74" i="11"/>
  <c r="D72" i="12" s="1"/>
  <c r="J74" i="11"/>
  <c r="AK23" i="95"/>
  <c r="S26" i="95"/>
  <c r="S74" i="11" s="1"/>
  <c r="AA74" i="11"/>
  <c r="AI74" i="11"/>
  <c r="AL74" i="11" s="1"/>
  <c r="AX73" i="11"/>
  <c r="AS70" i="11"/>
  <c r="AR44" i="7"/>
  <c r="E74" i="11"/>
  <c r="E72" i="12" s="1"/>
  <c r="X74" i="11"/>
  <c r="AJ74" i="11"/>
  <c r="AP56" i="35"/>
  <c r="L74" i="11"/>
  <c r="G74" i="11"/>
  <c r="M74" i="11"/>
  <c r="Y74" i="11"/>
  <c r="AG74" i="11"/>
  <c r="AX68" i="11"/>
  <c r="AM68" i="11"/>
  <c r="AS68" i="11" s="1"/>
  <c r="AQ70" i="11"/>
  <c r="AZ57" i="109"/>
  <c r="H55" i="109"/>
  <c r="H59" i="109" s="1"/>
  <c r="H70" i="11" s="1"/>
  <c r="AO70" i="11" s="1"/>
  <c r="AO57" i="109"/>
  <c r="AK69" i="11"/>
  <c r="AN69" i="11"/>
  <c r="AV69" i="11" s="1"/>
  <c r="D67" i="12"/>
  <c r="AL69" i="11"/>
  <c r="AR59" i="35"/>
  <c r="AT59" i="35"/>
  <c r="H66" i="12"/>
  <c r="AY68" i="11"/>
  <c r="AV68" i="11"/>
  <c r="AZ68" i="11"/>
  <c r="AU73" i="11"/>
  <c r="AW73" i="11"/>
  <c r="AS49" i="36"/>
  <c r="AZ73" i="11"/>
  <c r="AV73" i="11"/>
  <c r="H71" i="12"/>
  <c r="AS43" i="36"/>
  <c r="AR53" i="36"/>
  <c r="F71" i="12"/>
  <c r="J71" i="12" s="1"/>
  <c r="AO73" i="11"/>
  <c r="AS44" i="36"/>
  <c r="AS45" i="36"/>
  <c r="AQ45" i="36"/>
  <c r="AP73" i="11"/>
  <c r="AW53" i="36"/>
  <c r="AV53" i="36"/>
  <c r="AT53" i="36"/>
  <c r="AU53" i="36"/>
  <c r="AZ53" i="36"/>
  <c r="AX53" i="36"/>
  <c r="AY53" i="36"/>
  <c r="AO53" i="36"/>
  <c r="H17" i="31"/>
  <c r="H75" i="11" s="1"/>
  <c r="AO75" i="11" s="1"/>
  <c r="K14" i="31"/>
  <c r="AO14" i="31"/>
  <c r="AZ15" i="31"/>
  <c r="AW19" i="107"/>
  <c r="F69" i="12"/>
  <c r="K69" i="12" s="1"/>
  <c r="AO71" i="11"/>
  <c r="AM71" i="11"/>
  <c r="AP71" i="11"/>
  <c r="AO51" i="36"/>
  <c r="AP51" i="36"/>
  <c r="K51" i="36"/>
  <c r="K73" i="11" s="1"/>
  <c r="AQ47" i="36"/>
  <c r="K40" i="7"/>
  <c r="K71" i="11" s="1"/>
  <c r="K35" i="7"/>
  <c r="AO139" i="1"/>
  <c r="H137" i="1"/>
  <c r="H144" i="1" s="1"/>
  <c r="H68" i="11" s="1"/>
  <c r="K137" i="1"/>
  <c r="K144" i="1" s="1"/>
  <c r="K68" i="11" s="1"/>
  <c r="AV139" i="1"/>
  <c r="AZ139" i="1"/>
  <c r="AP139" i="1"/>
  <c r="H23" i="95"/>
  <c r="AP16" i="31"/>
  <c r="AY19" i="107"/>
  <c r="AU19" i="107"/>
  <c r="K56" i="109"/>
  <c r="AO56" i="109"/>
  <c r="K58" i="109"/>
  <c r="AL23" i="95"/>
  <c r="AM23" i="95" s="1"/>
  <c r="AS23" i="95" s="1"/>
  <c r="AN24" i="95"/>
  <c r="AV24" i="95" s="1"/>
  <c r="AP58" i="109"/>
  <c r="AP57" i="109"/>
  <c r="AQ43" i="36"/>
  <c r="AS47" i="36"/>
  <c r="AS48" i="36"/>
  <c r="AS50" i="36"/>
  <c r="AQ50" i="36"/>
  <c r="AS51" i="36"/>
  <c r="AY51" i="36"/>
  <c r="AZ51" i="36"/>
  <c r="AV51" i="36"/>
  <c r="AQ48" i="36"/>
  <c r="AS46" i="36"/>
  <c r="AQ46" i="36"/>
  <c r="AQ44" i="36"/>
  <c r="AS42" i="36"/>
  <c r="AQ42" i="36"/>
  <c r="AR42" i="36"/>
  <c r="AX51" i="36"/>
  <c r="AT51" i="36"/>
  <c r="AW51" i="36"/>
  <c r="AQ39" i="7"/>
  <c r="AS39" i="7"/>
  <c r="AL40" i="7"/>
  <c r="AK40" i="7"/>
  <c r="AS38" i="7"/>
  <c r="AQ38" i="7"/>
  <c r="AR38" i="7"/>
  <c r="AS36" i="7"/>
  <c r="AQ36" i="7"/>
  <c r="AO40" i="7"/>
  <c r="AN40" i="7"/>
  <c r="AV40" i="7" s="1"/>
  <c r="AM15" i="31"/>
  <c r="AR15" i="31" s="1"/>
  <c r="AV15" i="31"/>
  <c r="AX16" i="31"/>
  <c r="AT16" i="31"/>
  <c r="AX15" i="31"/>
  <c r="AZ16" i="31"/>
  <c r="AV16" i="31"/>
  <c r="AW14" i="31"/>
  <c r="AM16" i="31"/>
  <c r="AR16" i="31" s="1"/>
  <c r="AU14" i="31"/>
  <c r="AY14" i="31"/>
  <c r="AP15" i="31"/>
  <c r="K16" i="31"/>
  <c r="AO15" i="31"/>
  <c r="AY16" i="31"/>
  <c r="AW16" i="31"/>
  <c r="AU16" i="31"/>
  <c r="AY15" i="31"/>
  <c r="AW15" i="31"/>
  <c r="AU15" i="31"/>
  <c r="AS15" i="31"/>
  <c r="AM14" i="31"/>
  <c r="AP14" i="31"/>
  <c r="AT14" i="31"/>
  <c r="AV14" i="31"/>
  <c r="AX14" i="31"/>
  <c r="AL17" i="31"/>
  <c r="AK17" i="31"/>
  <c r="AN17" i="31"/>
  <c r="AU17" i="31" s="1"/>
  <c r="AN23" i="95"/>
  <c r="AT24" i="95"/>
  <c r="AX24" i="95"/>
  <c r="AW25" i="95"/>
  <c r="K24" i="95"/>
  <c r="K23" i="95" s="1"/>
  <c r="K26" i="95" s="1"/>
  <c r="K74" i="11" s="1"/>
  <c r="AW24" i="95"/>
  <c r="AU24" i="95"/>
  <c r="AL26" i="95"/>
  <c r="AU25" i="95"/>
  <c r="AY25" i="95"/>
  <c r="AM25" i="95"/>
  <c r="AP25" i="95"/>
  <c r="AT25" i="95"/>
  <c r="AV25" i="95"/>
  <c r="AX25" i="95"/>
  <c r="AN26" i="95"/>
  <c r="AU26" i="95" s="1"/>
  <c r="AM58" i="109"/>
  <c r="AR58" i="109" s="1"/>
  <c r="AX58" i="109"/>
  <c r="AT58" i="109"/>
  <c r="AV57" i="109"/>
  <c r="AM57" i="109"/>
  <c r="AR57" i="109" s="1"/>
  <c r="AX57" i="109"/>
  <c r="AK59" i="109"/>
  <c r="AL59" i="109"/>
  <c r="AZ58" i="109"/>
  <c r="AV58" i="109"/>
  <c r="AK55" i="109"/>
  <c r="AM55" i="109" s="1"/>
  <c r="AY58" i="109"/>
  <c r="AW58" i="109"/>
  <c r="AU58" i="109"/>
  <c r="AY57" i="109"/>
  <c r="AW57" i="109"/>
  <c r="AU57" i="109"/>
  <c r="AM56" i="109"/>
  <c r="AR56" i="109" s="1"/>
  <c r="AU56" i="109"/>
  <c r="AW56" i="109"/>
  <c r="AY56" i="109"/>
  <c r="AP56" i="109"/>
  <c r="AT56" i="109"/>
  <c r="AV56" i="109"/>
  <c r="AX56" i="109"/>
  <c r="AN55" i="109"/>
  <c r="AY55" i="109" s="1"/>
  <c r="AN59" i="109"/>
  <c r="AU59" i="109" s="1"/>
  <c r="AO134" i="1"/>
  <c r="AS59" i="35"/>
  <c r="AR58" i="35"/>
  <c r="AQ58" i="35"/>
  <c r="AS58" i="35"/>
  <c r="AT58" i="35"/>
  <c r="AR57" i="35"/>
  <c r="AT57" i="35"/>
  <c r="AQ57" i="35"/>
  <c r="AS57" i="35"/>
  <c r="AR56" i="35"/>
  <c r="AQ56" i="35"/>
  <c r="AT56" i="35"/>
  <c r="AS56" i="35"/>
  <c r="AT55" i="35"/>
  <c r="AR55" i="35"/>
  <c r="AL54" i="35"/>
  <c r="AM54" i="35"/>
  <c r="AQ59" i="35"/>
  <c r="AP57" i="35"/>
  <c r="I54" i="35"/>
  <c r="L55" i="35"/>
  <c r="L54" i="35" s="1"/>
  <c r="L60" i="35" s="1"/>
  <c r="K69" i="11" s="1"/>
  <c r="AQ55" i="35"/>
  <c r="AO54" i="35"/>
  <c r="AM60" i="35"/>
  <c r="AL60" i="35"/>
  <c r="AO60" i="35"/>
  <c r="AV60" i="35" s="1"/>
  <c r="AZ141" i="1"/>
  <c r="AX139" i="1"/>
  <c r="AV141" i="1"/>
  <c r="AZ140" i="1"/>
  <c r="AM139" i="1"/>
  <c r="AR139" i="1" s="1"/>
  <c r="AX142" i="1"/>
  <c r="AX141" i="1"/>
  <c r="AM141" i="1"/>
  <c r="AR141" i="1" s="1"/>
  <c r="AY138" i="1"/>
  <c r="AU138" i="1"/>
  <c r="AT142" i="1"/>
  <c r="AK137" i="1"/>
  <c r="AL137" i="1"/>
  <c r="AZ142" i="1"/>
  <c r="AV142" i="1"/>
  <c r="AM142" i="1"/>
  <c r="AR142" i="1" s="1"/>
  <c r="AX140" i="1"/>
  <c r="AT140" i="1"/>
  <c r="AM140" i="1"/>
  <c r="AR140" i="1" s="1"/>
  <c r="AW138" i="1"/>
  <c r="AP140" i="1"/>
  <c r="AP141" i="1"/>
  <c r="AO137" i="1"/>
  <c r="AY142" i="1"/>
  <c r="AW142" i="1"/>
  <c r="AU142" i="1"/>
  <c r="AY141" i="1"/>
  <c r="AW141" i="1"/>
  <c r="AU141" i="1"/>
  <c r="AY140" i="1"/>
  <c r="AW140" i="1"/>
  <c r="AU140" i="1"/>
  <c r="AY139" i="1"/>
  <c r="AW139" i="1"/>
  <c r="AU139" i="1"/>
  <c r="AM138" i="1"/>
  <c r="AP138" i="1"/>
  <c r="AT138" i="1"/>
  <c r="AV138" i="1"/>
  <c r="AX138" i="1"/>
  <c r="AL133" i="1"/>
  <c r="AK144" i="1"/>
  <c r="AU134" i="1"/>
  <c r="AY134" i="1"/>
  <c r="AW134" i="1"/>
  <c r="AL144" i="1"/>
  <c r="AK133" i="1"/>
  <c r="AM134" i="1"/>
  <c r="AR134" i="1" s="1"/>
  <c r="AP134" i="1"/>
  <c r="AT134" i="1"/>
  <c r="AV134" i="1"/>
  <c r="AX134" i="1"/>
  <c r="AO133" i="1"/>
  <c r="AN144" i="1"/>
  <c r="AZ144" i="1" s="1"/>
  <c r="AN137" i="1"/>
  <c r="AW137" i="1" s="1"/>
  <c r="AN133" i="1"/>
  <c r="AY133" i="1" s="1"/>
  <c r="AM19" i="107"/>
  <c r="AP19" i="107"/>
  <c r="AT19" i="107"/>
  <c r="AV19" i="107"/>
  <c r="AX19" i="107"/>
  <c r="B66" i="11"/>
  <c r="C64" i="12" s="1"/>
  <c r="B64" i="11"/>
  <c r="C62" i="12" s="1"/>
  <c r="B60" i="11"/>
  <c r="B61" i="11" s="1"/>
  <c r="C58" i="12" s="1"/>
  <c r="C59" i="12" s="1"/>
  <c r="G41" i="36"/>
  <c r="G66" i="11" s="1"/>
  <c r="I41" i="36"/>
  <c r="I66" i="11" s="1"/>
  <c r="J41" i="36"/>
  <c r="J66" i="11" s="1"/>
  <c r="L41" i="36"/>
  <c r="L66" i="11" s="1"/>
  <c r="M41" i="36"/>
  <c r="M66" i="11" s="1"/>
  <c r="N41" i="36"/>
  <c r="N66" i="11" s="1"/>
  <c r="O41" i="36"/>
  <c r="O66" i="11" s="1"/>
  <c r="P41" i="36"/>
  <c r="P66" i="11" s="1"/>
  <c r="Q41" i="36"/>
  <c r="Q66" i="11" s="1"/>
  <c r="R41" i="36"/>
  <c r="R66" i="11" s="1"/>
  <c r="S41" i="36"/>
  <c r="S66" i="11" s="1"/>
  <c r="T41" i="36"/>
  <c r="T66" i="11" s="1"/>
  <c r="U41" i="36"/>
  <c r="U66" i="11" s="1"/>
  <c r="V41" i="36"/>
  <c r="V66" i="11" s="1"/>
  <c r="W41" i="36"/>
  <c r="W66" i="11" s="1"/>
  <c r="X41" i="36"/>
  <c r="X66" i="11" s="1"/>
  <c r="Y41" i="36"/>
  <c r="Y66" i="11" s="1"/>
  <c r="Z41" i="36"/>
  <c r="Z66" i="11" s="1"/>
  <c r="AA41" i="36"/>
  <c r="AA66" i="11" s="1"/>
  <c r="AB41" i="36"/>
  <c r="AB66" i="11" s="1"/>
  <c r="AC41" i="36"/>
  <c r="AC66" i="11" s="1"/>
  <c r="AD41" i="36"/>
  <c r="AD66" i="11" s="1"/>
  <c r="AE41" i="36"/>
  <c r="AE66" i="11" s="1"/>
  <c r="AF41" i="36"/>
  <c r="AF66" i="11" s="1"/>
  <c r="AG41" i="36"/>
  <c r="AG66" i="11" s="1"/>
  <c r="AH41" i="36"/>
  <c r="AH66" i="11" s="1"/>
  <c r="AI41" i="36"/>
  <c r="AI66" i="11" s="1"/>
  <c r="AJ41" i="36"/>
  <c r="AJ66" i="11" s="1"/>
  <c r="F41" i="36"/>
  <c r="F66" i="11" s="1"/>
  <c r="E41" i="36"/>
  <c r="E66" i="11" s="1"/>
  <c r="E64" i="12" s="1"/>
  <c r="D41" i="36"/>
  <c r="D66" i="11" s="1"/>
  <c r="C41" i="36"/>
  <c r="C66" i="11" s="1"/>
  <c r="K71" i="12" l="1"/>
  <c r="AM69" i="11"/>
  <c r="AR68" i="11"/>
  <c r="D76" i="11"/>
  <c r="AQ73" i="11"/>
  <c r="AR73" i="11"/>
  <c r="F73" i="12"/>
  <c r="K73" i="12" s="1"/>
  <c r="I71" i="12"/>
  <c r="D74" i="12"/>
  <c r="AK74" i="11"/>
  <c r="AM74" i="11" s="1"/>
  <c r="I72" i="12" s="1"/>
  <c r="AP75" i="11"/>
  <c r="AX69" i="11"/>
  <c r="AQ68" i="11"/>
  <c r="I66" i="12"/>
  <c r="AQ57" i="109"/>
  <c r="AM26" i="95"/>
  <c r="AS26" i="95" s="1"/>
  <c r="F68" i="12"/>
  <c r="K68" i="12" s="1"/>
  <c r="AZ29" i="95"/>
  <c r="AN74" i="11"/>
  <c r="AY74" i="11" s="1"/>
  <c r="AV29" i="95"/>
  <c r="AT29" i="95"/>
  <c r="AS53" i="36"/>
  <c r="AS58" i="109"/>
  <c r="AP70" i="11"/>
  <c r="AO55" i="109"/>
  <c r="AO59" i="109"/>
  <c r="K55" i="109"/>
  <c r="K59" i="109" s="1"/>
  <c r="K70" i="11" s="1"/>
  <c r="AO23" i="95"/>
  <c r="H26" i="95"/>
  <c r="H74" i="11" s="1"/>
  <c r="AO24" i="95"/>
  <c r="AS69" i="11"/>
  <c r="I67" i="12"/>
  <c r="AW69" i="11"/>
  <c r="AY69" i="11"/>
  <c r="AQ69" i="11"/>
  <c r="AT69" i="11"/>
  <c r="H67" i="12"/>
  <c r="AZ69" i="11"/>
  <c r="AU69" i="11"/>
  <c r="AR69" i="11"/>
  <c r="I60" i="35"/>
  <c r="H69" i="11" s="1"/>
  <c r="F66" i="12"/>
  <c r="AO68" i="11"/>
  <c r="AP68" i="11"/>
  <c r="AQ53" i="36"/>
  <c r="AP53" i="36"/>
  <c r="K17" i="31"/>
  <c r="K75" i="11" s="1"/>
  <c r="I69" i="12"/>
  <c r="AR71" i="11"/>
  <c r="AQ71" i="11"/>
  <c r="AS71" i="11"/>
  <c r="J69" i="12"/>
  <c r="AZ26" i="95"/>
  <c r="AY26" i="95"/>
  <c r="AK35" i="7"/>
  <c r="AO35" i="7"/>
  <c r="AM133" i="1"/>
  <c r="AS133" i="1" s="1"/>
  <c r="AM24" i="95"/>
  <c r="AR24" i="95" s="1"/>
  <c r="AY24" i="95"/>
  <c r="AZ24" i="95"/>
  <c r="AP24" i="95"/>
  <c r="AR23" i="95"/>
  <c r="AO17" i="31"/>
  <c r="AR51" i="36"/>
  <c r="AM40" i="7"/>
  <c r="AS40" i="7" s="1"/>
  <c r="AU40" i="7"/>
  <c r="AZ40" i="7"/>
  <c r="AY40" i="7"/>
  <c r="AP40" i="7"/>
  <c r="AW40" i="7"/>
  <c r="AX40" i="7"/>
  <c r="AT40" i="7"/>
  <c r="AM17" i="31"/>
  <c r="AS17" i="31" s="1"/>
  <c r="AQ15" i="31"/>
  <c r="AS16" i="31"/>
  <c r="AQ16" i="31"/>
  <c r="AS14" i="31"/>
  <c r="AQ14" i="31"/>
  <c r="AR14" i="31"/>
  <c r="AZ17" i="31"/>
  <c r="AV17" i="31"/>
  <c r="AY17" i="31"/>
  <c r="AP17" i="31"/>
  <c r="AX17" i="31"/>
  <c r="AT17" i="31"/>
  <c r="AW17" i="31"/>
  <c r="AP23" i="95"/>
  <c r="AQ23" i="95"/>
  <c r="AU23" i="95"/>
  <c r="AW23" i="95"/>
  <c r="AZ23" i="95"/>
  <c r="AV23" i="95"/>
  <c r="AY23" i="95"/>
  <c r="AX23" i="95"/>
  <c r="AT23" i="95"/>
  <c r="AS24" i="95"/>
  <c r="AV26" i="95"/>
  <c r="AR26" i="95"/>
  <c r="AS25" i="95"/>
  <c r="AQ25" i="95"/>
  <c r="AR25" i="95"/>
  <c r="AQ26" i="95"/>
  <c r="AX26" i="95"/>
  <c r="AT26" i="95"/>
  <c r="AW26" i="95"/>
  <c r="AQ58" i="109"/>
  <c r="AS57" i="109"/>
  <c r="AZ59" i="109"/>
  <c r="AM59" i="109"/>
  <c r="AS59" i="109" s="1"/>
  <c r="AY59" i="109"/>
  <c r="AV59" i="109"/>
  <c r="AV55" i="109"/>
  <c r="AU55" i="109"/>
  <c r="AZ55" i="109"/>
  <c r="AS55" i="109"/>
  <c r="AR55" i="109"/>
  <c r="AQ56" i="109"/>
  <c r="AS56" i="109"/>
  <c r="AP55" i="109"/>
  <c r="AQ55" i="109"/>
  <c r="AX55" i="109"/>
  <c r="AT55" i="109"/>
  <c r="AW55" i="109"/>
  <c r="AP59" i="109"/>
  <c r="AX59" i="109"/>
  <c r="AT59" i="109"/>
  <c r="AW59" i="109"/>
  <c r="AN54" i="35"/>
  <c r="AS54" i="35" s="1"/>
  <c r="AN60" i="35"/>
  <c r="AT60" i="35" s="1"/>
  <c r="AP54" i="35"/>
  <c r="AQ54" i="35"/>
  <c r="AX54" i="35"/>
  <c r="BA54" i="35"/>
  <c r="AW54" i="35"/>
  <c r="AU54" i="35"/>
  <c r="AZ54" i="35"/>
  <c r="AV54" i="35"/>
  <c r="AY54" i="35"/>
  <c r="BA60" i="35"/>
  <c r="AW60" i="35"/>
  <c r="AZ60" i="35"/>
  <c r="AY60" i="35"/>
  <c r="AU60" i="35"/>
  <c r="AX60" i="35"/>
  <c r="AQ139" i="1"/>
  <c r="AS142" i="1"/>
  <c r="AQ142" i="1"/>
  <c r="AS140" i="1"/>
  <c r="AS139" i="1"/>
  <c r="AM137" i="1"/>
  <c r="AR137" i="1" s="1"/>
  <c r="AS141" i="1"/>
  <c r="AQ141" i="1"/>
  <c r="AQ140" i="1"/>
  <c r="AS138" i="1"/>
  <c r="AQ138" i="1"/>
  <c r="AR138" i="1"/>
  <c r="AM144" i="1"/>
  <c r="AS144" i="1" s="1"/>
  <c r="AY144" i="1"/>
  <c r="AV144" i="1"/>
  <c r="AV133" i="1"/>
  <c r="AU133" i="1"/>
  <c r="AZ133" i="1"/>
  <c r="AU144" i="1"/>
  <c r="AS134" i="1"/>
  <c r="AQ134" i="1"/>
  <c r="AW144" i="1"/>
  <c r="AX144" i="1"/>
  <c r="AT144" i="1"/>
  <c r="AZ137" i="1"/>
  <c r="AV137" i="1"/>
  <c r="AT137" i="1"/>
  <c r="AP137" i="1"/>
  <c r="AX137" i="1"/>
  <c r="AY137" i="1"/>
  <c r="AU137" i="1"/>
  <c r="AP133" i="1"/>
  <c r="AX133" i="1"/>
  <c r="AT133" i="1"/>
  <c r="AW133" i="1"/>
  <c r="AS19" i="107"/>
  <c r="AQ19" i="107"/>
  <c r="AR19" i="107"/>
  <c r="D64" i="12"/>
  <c r="AN66" i="11"/>
  <c r="AU66" i="11" s="1"/>
  <c r="AL66" i="11"/>
  <c r="AK66" i="11"/>
  <c r="G64" i="12"/>
  <c r="D47" i="35"/>
  <c r="D53" i="35" s="1"/>
  <c r="C63" i="11" s="1"/>
  <c r="C53" i="35"/>
  <c r="G47" i="35"/>
  <c r="G53" i="35" s="1"/>
  <c r="F63" i="11" s="1"/>
  <c r="E34" i="7"/>
  <c r="G34" i="7"/>
  <c r="I34" i="7"/>
  <c r="J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F34" i="7"/>
  <c r="D34" i="7"/>
  <c r="C34" i="7"/>
  <c r="B34" i="7"/>
  <c r="B65" i="11" s="1"/>
  <c r="C63" i="12" s="1"/>
  <c r="G123" i="1"/>
  <c r="F123" i="1"/>
  <c r="B132" i="1"/>
  <c r="I123" i="1"/>
  <c r="J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E123" i="1"/>
  <c r="D123" i="1"/>
  <c r="C123" i="1"/>
  <c r="F52" i="109"/>
  <c r="F54" i="109" s="1"/>
  <c r="F64" i="11" s="1"/>
  <c r="D52" i="109"/>
  <c r="D54" i="109" s="1"/>
  <c r="D64" i="11" s="1"/>
  <c r="D62" i="12" s="1"/>
  <c r="F49" i="109"/>
  <c r="F51" i="109" s="1"/>
  <c r="F60" i="11" s="1"/>
  <c r="F61" i="11" s="1"/>
  <c r="J68" i="12" l="1"/>
  <c r="J73" i="12"/>
  <c r="AQ24" i="95"/>
  <c r="AN28" i="95"/>
  <c r="AT28" i="95" s="1"/>
  <c r="AN27" i="95"/>
  <c r="AT27" i="95" s="1"/>
  <c r="H72" i="12"/>
  <c r="AQ74" i="11"/>
  <c r="AU74" i="11"/>
  <c r="AX74" i="11"/>
  <c r="AW28" i="95"/>
  <c r="AW27" i="95"/>
  <c r="AR74" i="11"/>
  <c r="AZ27" i="95"/>
  <c r="AS29" i="95"/>
  <c r="AR29" i="95"/>
  <c r="AZ74" i="11"/>
  <c r="AL27" i="95"/>
  <c r="AK27" i="95"/>
  <c r="AS74" i="11"/>
  <c r="AQ17" i="31"/>
  <c r="AY29" i="95"/>
  <c r="AP29" i="95"/>
  <c r="AU29" i="95"/>
  <c r="AX29" i="95"/>
  <c r="AW74" i="11"/>
  <c r="AT74" i="11"/>
  <c r="AV74" i="11"/>
  <c r="AW29" i="95"/>
  <c r="F72" i="12"/>
  <c r="AO74" i="11"/>
  <c r="AP74" i="11"/>
  <c r="AQ60" i="35"/>
  <c r="AP60" i="35"/>
  <c r="F67" i="12"/>
  <c r="AO69" i="11"/>
  <c r="AP69" i="11"/>
  <c r="AR133" i="1"/>
  <c r="AQ137" i="1"/>
  <c r="J66" i="12"/>
  <c r="K66" i="12"/>
  <c r="AR17" i="31"/>
  <c r="AY66" i="11"/>
  <c r="AN35" i="7"/>
  <c r="AQ133" i="1"/>
  <c r="F65" i="11"/>
  <c r="F32" i="7"/>
  <c r="AG65" i="11"/>
  <c r="AG32" i="7"/>
  <c r="AC65" i="11"/>
  <c r="AC32" i="7"/>
  <c r="Y65" i="11"/>
  <c r="Y32" i="7"/>
  <c r="U65" i="11"/>
  <c r="U32" i="7"/>
  <c r="Q65" i="11"/>
  <c r="Q32" i="7"/>
  <c r="M65" i="11"/>
  <c r="M32" i="7"/>
  <c r="G65" i="11"/>
  <c r="G32" i="7"/>
  <c r="AJ65" i="11"/>
  <c r="AJ32" i="7"/>
  <c r="AF65" i="11"/>
  <c r="AF32" i="7"/>
  <c r="AB65" i="11"/>
  <c r="AB32" i="7"/>
  <c r="X65" i="11"/>
  <c r="X32" i="7"/>
  <c r="T65" i="11"/>
  <c r="T32" i="7"/>
  <c r="P65" i="11"/>
  <c r="P32" i="7"/>
  <c r="L65" i="11"/>
  <c r="L32" i="7"/>
  <c r="E65" i="11"/>
  <c r="E63" i="12" s="1"/>
  <c r="E32" i="7"/>
  <c r="C65" i="11"/>
  <c r="C32" i="7"/>
  <c r="AI65" i="11"/>
  <c r="AI32" i="7"/>
  <c r="AE65" i="11"/>
  <c r="AE32" i="7"/>
  <c r="AA65" i="11"/>
  <c r="AA32" i="7"/>
  <c r="W65" i="11"/>
  <c r="W32" i="7"/>
  <c r="S65" i="11"/>
  <c r="S32" i="7"/>
  <c r="O65" i="11"/>
  <c r="G63" i="12" s="1"/>
  <c r="O32" i="7"/>
  <c r="J65" i="11"/>
  <c r="J32" i="7"/>
  <c r="D65" i="11"/>
  <c r="D63" i="12" s="1"/>
  <c r="D32" i="7"/>
  <c r="AH65" i="11"/>
  <c r="AH32" i="7"/>
  <c r="AD65" i="11"/>
  <c r="AD32" i="7"/>
  <c r="Z65" i="11"/>
  <c r="Z32" i="7"/>
  <c r="V65" i="11"/>
  <c r="V32" i="7"/>
  <c r="R65" i="11"/>
  <c r="R32" i="7"/>
  <c r="N65" i="11"/>
  <c r="N32" i="7"/>
  <c r="I65" i="11"/>
  <c r="I32" i="7"/>
  <c r="AQ40" i="7"/>
  <c r="AR40" i="7"/>
  <c r="AQ59" i="109"/>
  <c r="AR59" i="109"/>
  <c r="AT54" i="35"/>
  <c r="AR60" i="35"/>
  <c r="AR54" i="35"/>
  <c r="AS60" i="35"/>
  <c r="AS137" i="1"/>
  <c r="B62" i="11"/>
  <c r="C60" i="12" s="1"/>
  <c r="AN123" i="1"/>
  <c r="AW123" i="1" s="1"/>
  <c r="AL123" i="1"/>
  <c r="AK123" i="1"/>
  <c r="AQ144" i="1"/>
  <c r="AR144" i="1"/>
  <c r="B63" i="11"/>
  <c r="AT66" i="11"/>
  <c r="AX66" i="11"/>
  <c r="AZ66" i="11"/>
  <c r="AV66" i="11"/>
  <c r="AW66" i="11"/>
  <c r="H64" i="12"/>
  <c r="AM66" i="11"/>
  <c r="AQ66" i="11" s="1"/>
  <c r="AN50" i="109"/>
  <c r="AZ50" i="109" s="1"/>
  <c r="AL50" i="109"/>
  <c r="AK50" i="109"/>
  <c r="H50" i="109"/>
  <c r="K50" i="109" s="1"/>
  <c r="K49" i="109" s="1"/>
  <c r="K51" i="109" s="1"/>
  <c r="K60" i="11" s="1"/>
  <c r="K61" i="11" s="1"/>
  <c r="AJ49" i="109"/>
  <c r="AJ51" i="109" s="1"/>
  <c r="AJ60" i="11" s="1"/>
  <c r="AJ61" i="11" s="1"/>
  <c r="AI49" i="109"/>
  <c r="AI51" i="109" s="1"/>
  <c r="AI60" i="11" s="1"/>
  <c r="AI61" i="11" s="1"/>
  <c r="AH49" i="109"/>
  <c r="AH51" i="109" s="1"/>
  <c r="AH60" i="11" s="1"/>
  <c r="AH61" i="11" s="1"/>
  <c r="AG49" i="109"/>
  <c r="AF49" i="109"/>
  <c r="AF51" i="109" s="1"/>
  <c r="AF60" i="11" s="1"/>
  <c r="AF61" i="11" s="1"/>
  <c r="AE49" i="109"/>
  <c r="AE51" i="109" s="1"/>
  <c r="AE60" i="11" s="1"/>
  <c r="AE61" i="11" s="1"/>
  <c r="AD49" i="109"/>
  <c r="AD51" i="109" s="1"/>
  <c r="AD60" i="11" s="1"/>
  <c r="AC49" i="109"/>
  <c r="AB49" i="109"/>
  <c r="AB51" i="109" s="1"/>
  <c r="AB60" i="11" s="1"/>
  <c r="AB61" i="11" s="1"/>
  <c r="AA49" i="109"/>
  <c r="AA51" i="109" s="1"/>
  <c r="AA60" i="11" s="1"/>
  <c r="AA61" i="11" s="1"/>
  <c r="Z49" i="109"/>
  <c r="Z51" i="109" s="1"/>
  <c r="Z60" i="11" s="1"/>
  <c r="Z61" i="11" s="1"/>
  <c r="Y49" i="109"/>
  <c r="X49" i="109"/>
  <c r="X51" i="109" s="1"/>
  <c r="X60" i="11" s="1"/>
  <c r="W49" i="109"/>
  <c r="W51" i="109" s="1"/>
  <c r="W60" i="11" s="1"/>
  <c r="W61" i="11" s="1"/>
  <c r="V49" i="109"/>
  <c r="V51" i="109" s="1"/>
  <c r="V60" i="11" s="1"/>
  <c r="V61" i="11" s="1"/>
  <c r="U49" i="109"/>
  <c r="T49" i="109"/>
  <c r="T51" i="109" s="1"/>
  <c r="T60" i="11" s="1"/>
  <c r="T61" i="11" s="1"/>
  <c r="S49" i="109"/>
  <c r="S51" i="109" s="1"/>
  <c r="S60" i="11" s="1"/>
  <c r="S61" i="11" s="1"/>
  <c r="R49" i="109"/>
  <c r="R51" i="109" s="1"/>
  <c r="R60" i="11" s="1"/>
  <c r="Q49" i="109"/>
  <c r="P49" i="109"/>
  <c r="P51" i="109" s="1"/>
  <c r="P60" i="11" s="1"/>
  <c r="O49" i="109"/>
  <c r="O51" i="109" s="1"/>
  <c r="O60" i="11" s="1"/>
  <c r="N49" i="109"/>
  <c r="N51" i="109" s="1"/>
  <c r="N60" i="11" s="1"/>
  <c r="N61" i="11" s="1"/>
  <c r="M49" i="109"/>
  <c r="L49" i="109"/>
  <c r="L51" i="109" s="1"/>
  <c r="L60" i="11" s="1"/>
  <c r="L61" i="11" s="1"/>
  <c r="J49" i="109"/>
  <c r="J51" i="109" s="1"/>
  <c r="J60" i="11" s="1"/>
  <c r="J61" i="11" s="1"/>
  <c r="I49" i="109"/>
  <c r="H49" i="109"/>
  <c r="H51" i="109" s="1"/>
  <c r="H60" i="11" s="1"/>
  <c r="H61" i="11" s="1"/>
  <c r="F58" i="12" s="1"/>
  <c r="F59" i="12" s="1"/>
  <c r="G49" i="109"/>
  <c r="G51" i="109" s="1"/>
  <c r="G60" i="11" s="1"/>
  <c r="G61" i="11" s="1"/>
  <c r="E49" i="109"/>
  <c r="E51" i="109" s="1"/>
  <c r="E60" i="11" s="1"/>
  <c r="E61" i="11" s="1"/>
  <c r="E58" i="12" s="1"/>
  <c r="E59" i="12" s="1"/>
  <c r="D49" i="109"/>
  <c r="C60" i="11"/>
  <c r="C61" i="11" s="1"/>
  <c r="AG51" i="109"/>
  <c r="AG60" i="11" s="1"/>
  <c r="AG61" i="11" s="1"/>
  <c r="AC51" i="109"/>
  <c r="AC60" i="11" s="1"/>
  <c r="AC61" i="11" s="1"/>
  <c r="Y51" i="109"/>
  <c r="Y60" i="11" s="1"/>
  <c r="Y61" i="11" s="1"/>
  <c r="U51" i="109"/>
  <c r="U60" i="11" s="1"/>
  <c r="U61" i="11" s="1"/>
  <c r="Q51" i="109"/>
  <c r="Q60" i="11" s="1"/>
  <c r="M51" i="109"/>
  <c r="M60" i="11" s="1"/>
  <c r="M61" i="11" s="1"/>
  <c r="I51" i="109"/>
  <c r="I60" i="11" s="1"/>
  <c r="I61" i="11" s="1"/>
  <c r="D51" i="109"/>
  <c r="D60" i="11" s="1"/>
  <c r="D61" i="11" s="1"/>
  <c r="D58" i="12" s="1"/>
  <c r="D59" i="12" s="1"/>
  <c r="AQ29" i="95" l="1"/>
  <c r="AW50" i="109"/>
  <c r="AM27" i="95"/>
  <c r="AS27" i="95" s="1"/>
  <c r="AV28" i="95"/>
  <c r="AS28" i="95"/>
  <c r="AY27" i="95"/>
  <c r="AP27" i="95"/>
  <c r="AX27" i="95"/>
  <c r="AU27" i="95"/>
  <c r="AR28" i="95"/>
  <c r="AV27" i="95"/>
  <c r="AZ28" i="95"/>
  <c r="AP28" i="95"/>
  <c r="AX28" i="95"/>
  <c r="AU28" i="95"/>
  <c r="AQ28" i="95"/>
  <c r="AY28" i="95"/>
  <c r="J72" i="12"/>
  <c r="K72" i="12"/>
  <c r="J67" i="12"/>
  <c r="K67" i="12"/>
  <c r="AN65" i="11"/>
  <c r="AZ65" i="11" s="1"/>
  <c r="AZ35" i="7"/>
  <c r="AT35" i="7"/>
  <c r="AX35" i="7"/>
  <c r="AV35" i="7"/>
  <c r="AP35" i="7"/>
  <c r="AW35" i="7"/>
  <c r="AY35" i="7"/>
  <c r="AU35" i="7"/>
  <c r="AL65" i="11"/>
  <c r="AK65" i="11"/>
  <c r="AX123" i="1"/>
  <c r="AY123" i="1"/>
  <c r="AV123" i="1"/>
  <c r="AK60" i="11"/>
  <c r="P61" i="11"/>
  <c r="AK61" i="11" s="1"/>
  <c r="X61" i="11"/>
  <c r="R61" i="11"/>
  <c r="AN60" i="11"/>
  <c r="AT60" i="11" s="1"/>
  <c r="AD61" i="11"/>
  <c r="O61" i="11"/>
  <c r="AO60" i="11"/>
  <c r="AO50" i="109"/>
  <c r="AN32" i="7"/>
  <c r="AT32" i="7" s="1"/>
  <c r="AK32" i="7"/>
  <c r="AL32" i="7"/>
  <c r="AU50" i="109"/>
  <c r="AT123" i="1"/>
  <c r="AZ123" i="1"/>
  <c r="Q61" i="11"/>
  <c r="AL61" i="11" s="1"/>
  <c r="AL60" i="11"/>
  <c r="AX32" i="7"/>
  <c r="AY50" i="109"/>
  <c r="AU123" i="1"/>
  <c r="AM123" i="1"/>
  <c r="AS123" i="1" s="1"/>
  <c r="AL35" i="7"/>
  <c r="AM35" i="7" s="1"/>
  <c r="C61" i="12"/>
  <c r="C65" i="12" s="1"/>
  <c r="B67" i="11"/>
  <c r="I64" i="12"/>
  <c r="AR66" i="11"/>
  <c r="AS66" i="11"/>
  <c r="AO49" i="109"/>
  <c r="AO51" i="109"/>
  <c r="AM50" i="109"/>
  <c r="AR50" i="109" s="1"/>
  <c r="AP50" i="109"/>
  <c r="AT50" i="109"/>
  <c r="AV50" i="109"/>
  <c r="AX50" i="109"/>
  <c r="AL51" i="109"/>
  <c r="AL49" i="109"/>
  <c r="AK51" i="109"/>
  <c r="AK49" i="109"/>
  <c r="AN49" i="109"/>
  <c r="AU49" i="109" s="1"/>
  <c r="AN51" i="109"/>
  <c r="AZ51" i="109" s="1"/>
  <c r="AN131" i="1"/>
  <c r="AZ131" i="1" s="1"/>
  <c r="AL131" i="1"/>
  <c r="AK131" i="1"/>
  <c r="AK125" i="1"/>
  <c r="AL125" i="1"/>
  <c r="AN125" i="1"/>
  <c r="AT125" i="1" s="1"/>
  <c r="AK126" i="1"/>
  <c r="AL126" i="1"/>
  <c r="AN126" i="1"/>
  <c r="AT126" i="1" s="1"/>
  <c r="AK127" i="1"/>
  <c r="AL127" i="1"/>
  <c r="AN127" i="1"/>
  <c r="AT127" i="1" s="1"/>
  <c r="AK128" i="1"/>
  <c r="AL128" i="1"/>
  <c r="AN128" i="1"/>
  <c r="AT128" i="1" s="1"/>
  <c r="AK129" i="1"/>
  <c r="AL129" i="1"/>
  <c r="AN129" i="1"/>
  <c r="AT129" i="1" s="1"/>
  <c r="AN124" i="1"/>
  <c r="AZ124" i="1" s="1"/>
  <c r="AL124" i="1"/>
  <c r="AK124" i="1"/>
  <c r="K131" i="1"/>
  <c r="K130" i="1" s="1"/>
  <c r="H131" i="1"/>
  <c r="H130" i="1" s="1"/>
  <c r="H129" i="1"/>
  <c r="AO129" i="1" s="1"/>
  <c r="H125" i="1"/>
  <c r="K125" i="1" s="1"/>
  <c r="H126" i="1"/>
  <c r="K126" i="1" s="1"/>
  <c r="H127" i="1"/>
  <c r="H128" i="1"/>
  <c r="H124" i="1"/>
  <c r="AJ130" i="1"/>
  <c r="AJ132" i="1" s="1"/>
  <c r="AJ62" i="11" s="1"/>
  <c r="AI130" i="1"/>
  <c r="AI132" i="1" s="1"/>
  <c r="AI62" i="11" s="1"/>
  <c r="AH130" i="1"/>
  <c r="AH132" i="1" s="1"/>
  <c r="AH62" i="11" s="1"/>
  <c r="AG130" i="1"/>
  <c r="AG132" i="1" s="1"/>
  <c r="AF130" i="1"/>
  <c r="AF132" i="1" s="1"/>
  <c r="AF62" i="11" s="1"/>
  <c r="AE130" i="1"/>
  <c r="AE132" i="1" s="1"/>
  <c r="AE62" i="11" s="1"/>
  <c r="AD130" i="1"/>
  <c r="AD132" i="1" s="1"/>
  <c r="AC130" i="1"/>
  <c r="AC132" i="1" s="1"/>
  <c r="AC62" i="11" s="1"/>
  <c r="AB130" i="1"/>
  <c r="AB132" i="1" s="1"/>
  <c r="AB62" i="11" s="1"/>
  <c r="AA130" i="1"/>
  <c r="AA132" i="1" s="1"/>
  <c r="Z130" i="1"/>
  <c r="Z132" i="1" s="1"/>
  <c r="Z62" i="11" s="1"/>
  <c r="Y130" i="1"/>
  <c r="Y132" i="1" s="1"/>
  <c r="Y62" i="11" s="1"/>
  <c r="X130" i="1"/>
  <c r="X132" i="1" s="1"/>
  <c r="W130" i="1"/>
  <c r="W132" i="1" s="1"/>
  <c r="W62" i="11" s="1"/>
  <c r="V130" i="1"/>
  <c r="V132" i="1" s="1"/>
  <c r="V62" i="11" s="1"/>
  <c r="U130" i="1"/>
  <c r="U132" i="1" s="1"/>
  <c r="T130" i="1"/>
  <c r="T132" i="1" s="1"/>
  <c r="T62" i="11" s="1"/>
  <c r="S130" i="1"/>
  <c r="S132" i="1" s="1"/>
  <c r="S62" i="11" s="1"/>
  <c r="R130" i="1"/>
  <c r="R132" i="1" s="1"/>
  <c r="Q130" i="1"/>
  <c r="Q132" i="1" s="1"/>
  <c r="P130" i="1"/>
  <c r="P132" i="1" s="1"/>
  <c r="O130" i="1"/>
  <c r="O132" i="1" s="1"/>
  <c r="O62" i="11" s="1"/>
  <c r="G60" i="12" s="1"/>
  <c r="N130" i="1"/>
  <c r="N132" i="1" s="1"/>
  <c r="N62" i="11" s="1"/>
  <c r="M130" i="1"/>
  <c r="M132" i="1" s="1"/>
  <c r="M62" i="11" s="1"/>
  <c r="L130" i="1"/>
  <c r="L132" i="1" s="1"/>
  <c r="L62" i="11" s="1"/>
  <c r="J130" i="1"/>
  <c r="J132" i="1" s="1"/>
  <c r="J62" i="11" s="1"/>
  <c r="I130" i="1"/>
  <c r="I132" i="1" s="1"/>
  <c r="I62" i="11" s="1"/>
  <c r="G130" i="1"/>
  <c r="G132" i="1" s="1"/>
  <c r="G62" i="11" s="1"/>
  <c r="F130" i="1"/>
  <c r="F132" i="1" s="1"/>
  <c r="F62" i="11" s="1"/>
  <c r="F67" i="11" s="1"/>
  <c r="E130" i="1"/>
  <c r="D130" i="1"/>
  <c r="C130" i="1"/>
  <c r="C132" i="1" s="1"/>
  <c r="C62" i="11" s="1"/>
  <c r="AQ27" i="95" l="1"/>
  <c r="AR123" i="1"/>
  <c r="AR27" i="95"/>
  <c r="AM60" i="11"/>
  <c r="AS60" i="11" s="1"/>
  <c r="AY60" i="11"/>
  <c r="AV65" i="11"/>
  <c r="H63" i="12"/>
  <c r="AW65" i="11"/>
  <c r="AX65" i="11"/>
  <c r="AY65" i="11"/>
  <c r="AU65" i="11"/>
  <c r="AT65" i="11"/>
  <c r="AM65" i="11"/>
  <c r="I63" i="12" s="1"/>
  <c r="AZ32" i="7"/>
  <c r="AV32" i="7"/>
  <c r="AW32" i="7"/>
  <c r="AU32" i="7"/>
  <c r="AY32" i="7"/>
  <c r="AQ123" i="1"/>
  <c r="AV60" i="11"/>
  <c r="AW131" i="1"/>
  <c r="AW60" i="11"/>
  <c r="G58" i="12"/>
  <c r="AO61" i="11"/>
  <c r="AZ60" i="11"/>
  <c r="AP60" i="11"/>
  <c r="AM61" i="11"/>
  <c r="AR61" i="11" s="1"/>
  <c r="AM32" i="7"/>
  <c r="AS32" i="7" s="1"/>
  <c r="AU60" i="11"/>
  <c r="AX60" i="11"/>
  <c r="AN61" i="11"/>
  <c r="AS35" i="7"/>
  <c r="AQ35" i="7"/>
  <c r="AR35" i="7"/>
  <c r="D132" i="1"/>
  <c r="D62" i="11" s="1"/>
  <c r="D60" i="12" s="1"/>
  <c r="P62" i="11"/>
  <c r="AK62" i="11" s="1"/>
  <c r="AK132" i="1"/>
  <c r="R62" i="11"/>
  <c r="AN132" i="1"/>
  <c r="AW132" i="1" s="1"/>
  <c r="X62" i="11"/>
  <c r="AD62" i="11"/>
  <c r="E132" i="1"/>
  <c r="E62" i="11" s="1"/>
  <c r="E60" i="12" s="1"/>
  <c r="Q62" i="11"/>
  <c r="AL62" i="11" s="1"/>
  <c r="AL132" i="1"/>
  <c r="U62" i="11"/>
  <c r="AA62" i="11"/>
  <c r="AG62" i="11"/>
  <c r="K127" i="1"/>
  <c r="AW127" i="1"/>
  <c r="AW125" i="1"/>
  <c r="AY125" i="1"/>
  <c r="AU125" i="1"/>
  <c r="AM125" i="1"/>
  <c r="AS125" i="1" s="1"/>
  <c r="AY127" i="1"/>
  <c r="AU127" i="1"/>
  <c r="AZ127" i="1"/>
  <c r="AX127" i="1"/>
  <c r="AV127" i="1"/>
  <c r="AW126" i="1"/>
  <c r="AM126" i="1"/>
  <c r="AS126" i="1" s="1"/>
  <c r="AZ125" i="1"/>
  <c r="AX125" i="1"/>
  <c r="AV125" i="1"/>
  <c r="K124" i="1"/>
  <c r="H123" i="1"/>
  <c r="AO127" i="1"/>
  <c r="AO124" i="1"/>
  <c r="AZ129" i="1"/>
  <c r="AZ126" i="1"/>
  <c r="AV126" i="1"/>
  <c r="AP125" i="1"/>
  <c r="AY131" i="1"/>
  <c r="AY124" i="1"/>
  <c r="AU124" i="1"/>
  <c r="AX129" i="1"/>
  <c r="AM127" i="1"/>
  <c r="AR127" i="1" s="1"/>
  <c r="AY126" i="1"/>
  <c r="AU126" i="1"/>
  <c r="AP126" i="1"/>
  <c r="AO125" i="1"/>
  <c r="AR125" i="1"/>
  <c r="AO131" i="1"/>
  <c r="AW124" i="1"/>
  <c r="AV129" i="1"/>
  <c r="AP127" i="1"/>
  <c r="AX126" i="1"/>
  <c r="AO126" i="1"/>
  <c r="AU131" i="1"/>
  <c r="AS50" i="109"/>
  <c r="AQ50" i="109"/>
  <c r="AM51" i="109"/>
  <c r="AS51" i="109" s="1"/>
  <c r="AZ49" i="109"/>
  <c r="AM49" i="109"/>
  <c r="AS49" i="109" s="1"/>
  <c r="AY49" i="109"/>
  <c r="AV49" i="109"/>
  <c r="AP49" i="109"/>
  <c r="AX49" i="109"/>
  <c r="AT49" i="109"/>
  <c r="AW49" i="109"/>
  <c r="AU51" i="109"/>
  <c r="AV51" i="109"/>
  <c r="AY51" i="109"/>
  <c r="AP51" i="109"/>
  <c r="AW51" i="109"/>
  <c r="AX51" i="109"/>
  <c r="AT51" i="109"/>
  <c r="AM131" i="1"/>
  <c r="AP131" i="1"/>
  <c r="AT131" i="1"/>
  <c r="AV131" i="1"/>
  <c r="AX131" i="1"/>
  <c r="AL130" i="1"/>
  <c r="AO130" i="1"/>
  <c r="AY129" i="1"/>
  <c r="AW129" i="1"/>
  <c r="AU129" i="1"/>
  <c r="AM129" i="1"/>
  <c r="AQ129" i="1" s="1"/>
  <c r="AP129" i="1"/>
  <c r="K129" i="1"/>
  <c r="AW128" i="1"/>
  <c r="AY128" i="1"/>
  <c r="AU128" i="1"/>
  <c r="AP128" i="1"/>
  <c r="AZ128" i="1"/>
  <c r="AX128" i="1"/>
  <c r="AV128" i="1"/>
  <c r="AM128" i="1"/>
  <c r="AS128" i="1" s="1"/>
  <c r="AO128" i="1"/>
  <c r="K128" i="1"/>
  <c r="AM124" i="1"/>
  <c r="AP124" i="1"/>
  <c r="AT124" i="1"/>
  <c r="AV124" i="1"/>
  <c r="AX124" i="1"/>
  <c r="AK130" i="1"/>
  <c r="AN130" i="1"/>
  <c r="AN53" i="109"/>
  <c r="AZ53" i="109" s="1"/>
  <c r="AL53" i="109"/>
  <c r="AK53" i="109"/>
  <c r="H53" i="109"/>
  <c r="AO53" i="109" s="1"/>
  <c r="AJ52" i="109"/>
  <c r="AJ54" i="109" s="1"/>
  <c r="AJ64" i="11" s="1"/>
  <c r="AI52" i="109"/>
  <c r="AI54" i="109" s="1"/>
  <c r="AI64" i="11" s="1"/>
  <c r="AH52" i="109"/>
  <c r="AH54" i="109" s="1"/>
  <c r="AH64" i="11" s="1"/>
  <c r="AG52" i="109"/>
  <c r="AG54" i="109" s="1"/>
  <c r="AG64" i="11" s="1"/>
  <c r="AF52" i="109"/>
  <c r="AF54" i="109" s="1"/>
  <c r="AF64" i="11" s="1"/>
  <c r="AE52" i="109"/>
  <c r="AE54" i="109" s="1"/>
  <c r="AE64" i="11" s="1"/>
  <c r="AD52" i="109"/>
  <c r="AD54" i="109" s="1"/>
  <c r="AD64" i="11" s="1"/>
  <c r="AC52" i="109"/>
  <c r="AC54" i="109" s="1"/>
  <c r="AC64" i="11" s="1"/>
  <c r="AB52" i="109"/>
  <c r="AB54" i="109" s="1"/>
  <c r="AB64" i="11" s="1"/>
  <c r="AA52" i="109"/>
  <c r="AA54" i="109" s="1"/>
  <c r="AA64" i="11" s="1"/>
  <c r="Z52" i="109"/>
  <c r="Z54" i="109" s="1"/>
  <c r="Z64" i="11" s="1"/>
  <c r="Y52" i="109"/>
  <c r="Y54" i="109" s="1"/>
  <c r="Y64" i="11" s="1"/>
  <c r="X52" i="109"/>
  <c r="X54" i="109" s="1"/>
  <c r="X64" i="11" s="1"/>
  <c r="W52" i="109"/>
  <c r="W54" i="109" s="1"/>
  <c r="W64" i="11" s="1"/>
  <c r="V52" i="109"/>
  <c r="V54" i="109" s="1"/>
  <c r="V64" i="11" s="1"/>
  <c r="U52" i="109"/>
  <c r="U54" i="109" s="1"/>
  <c r="U64" i="11" s="1"/>
  <c r="T52" i="109"/>
  <c r="T54" i="109" s="1"/>
  <c r="T64" i="11" s="1"/>
  <c r="S52" i="109"/>
  <c r="S54" i="109" s="1"/>
  <c r="S64" i="11" s="1"/>
  <c r="R52" i="109"/>
  <c r="R54" i="109" s="1"/>
  <c r="R64" i="11" s="1"/>
  <c r="Q52" i="109"/>
  <c r="Q54" i="109" s="1"/>
  <c r="Q64" i="11" s="1"/>
  <c r="P52" i="109"/>
  <c r="P54" i="109" s="1"/>
  <c r="P64" i="11" s="1"/>
  <c r="O52" i="109"/>
  <c r="O54" i="109" s="1"/>
  <c r="O64" i="11" s="1"/>
  <c r="N52" i="109"/>
  <c r="N54" i="109" s="1"/>
  <c r="N64" i="11" s="1"/>
  <c r="M52" i="109"/>
  <c r="M54" i="109" s="1"/>
  <c r="M64" i="11" s="1"/>
  <c r="L52" i="109"/>
  <c r="L54" i="109" s="1"/>
  <c r="L64" i="11" s="1"/>
  <c r="J52" i="109"/>
  <c r="J54" i="109" s="1"/>
  <c r="J64" i="11" s="1"/>
  <c r="I52" i="109"/>
  <c r="I54" i="109" s="1"/>
  <c r="I64" i="11" s="1"/>
  <c r="H52" i="109"/>
  <c r="H54" i="109" s="1"/>
  <c r="H64" i="11" s="1"/>
  <c r="F62" i="12" s="1"/>
  <c r="G52" i="109"/>
  <c r="G54" i="109" s="1"/>
  <c r="G64" i="11" s="1"/>
  <c r="E52" i="109"/>
  <c r="E54" i="109" s="1"/>
  <c r="E64" i="11" s="1"/>
  <c r="E62" i="12" s="1"/>
  <c r="C54" i="109"/>
  <c r="C64" i="11" s="1"/>
  <c r="C67" i="11" s="1"/>
  <c r="AL49" i="35"/>
  <c r="AM49" i="35"/>
  <c r="AN49" i="35"/>
  <c r="AO49" i="35"/>
  <c r="AL50" i="35"/>
  <c r="AM50" i="35"/>
  <c r="AN50" i="35"/>
  <c r="AO50" i="35"/>
  <c r="AL51" i="35"/>
  <c r="AM51" i="35"/>
  <c r="AN51" i="35"/>
  <c r="AO51" i="35"/>
  <c r="AL52" i="35"/>
  <c r="AM52" i="35"/>
  <c r="AN52" i="35"/>
  <c r="AO52" i="35"/>
  <c r="AO48" i="35"/>
  <c r="AN48" i="35"/>
  <c r="AM48" i="35"/>
  <c r="AL48" i="35"/>
  <c r="AS48" i="35" s="1"/>
  <c r="I49" i="35"/>
  <c r="L49" i="35" s="1"/>
  <c r="I50" i="35"/>
  <c r="I51" i="35"/>
  <c r="AP51" i="35" s="1"/>
  <c r="I52" i="35"/>
  <c r="I48" i="35"/>
  <c r="L48" i="35" s="1"/>
  <c r="AK47" i="35"/>
  <c r="AK53" i="35" s="1"/>
  <c r="AJ63" i="11" s="1"/>
  <c r="AJ47" i="35"/>
  <c r="AJ53" i="35" s="1"/>
  <c r="AI63" i="11" s="1"/>
  <c r="AI67" i="11" s="1"/>
  <c r="AI47" i="35"/>
  <c r="AI53" i="35" s="1"/>
  <c r="AH63" i="11" s="1"/>
  <c r="AH67" i="11" s="1"/>
  <c r="AH47" i="35"/>
  <c r="AH53" i="35" s="1"/>
  <c r="AG63" i="11" s="1"/>
  <c r="AG47" i="35"/>
  <c r="AG53" i="35" s="1"/>
  <c r="AF63" i="11" s="1"/>
  <c r="AF67" i="11" s="1"/>
  <c r="AF47" i="35"/>
  <c r="AF53" i="35" s="1"/>
  <c r="AE63" i="11" s="1"/>
  <c r="AE67" i="11" s="1"/>
  <c r="AE47" i="35"/>
  <c r="AE53" i="35" s="1"/>
  <c r="AD63" i="11" s="1"/>
  <c r="AD47" i="35"/>
  <c r="AD53" i="35" s="1"/>
  <c r="AC63" i="11" s="1"/>
  <c r="AC47" i="35"/>
  <c r="AC53" i="35" s="1"/>
  <c r="AB63" i="11" s="1"/>
  <c r="AB67" i="11" s="1"/>
  <c r="AB47" i="35"/>
  <c r="AB53" i="35" s="1"/>
  <c r="AA63" i="11" s="1"/>
  <c r="AA47" i="35"/>
  <c r="AA53" i="35" s="1"/>
  <c r="Z63" i="11" s="1"/>
  <c r="Z67" i="11" s="1"/>
  <c r="Z47" i="35"/>
  <c r="Z53" i="35" s="1"/>
  <c r="Y63" i="11" s="1"/>
  <c r="Y67" i="11" s="1"/>
  <c r="Y47" i="35"/>
  <c r="Y53" i="35" s="1"/>
  <c r="X63" i="11" s="1"/>
  <c r="X47" i="35"/>
  <c r="X53" i="35" s="1"/>
  <c r="W63" i="11" s="1"/>
  <c r="W67" i="11" s="1"/>
  <c r="W47" i="35"/>
  <c r="W53" i="35" s="1"/>
  <c r="V63" i="11" s="1"/>
  <c r="V67" i="11" s="1"/>
  <c r="V47" i="35"/>
  <c r="V53" i="35" s="1"/>
  <c r="U63" i="11" s="1"/>
  <c r="U47" i="35"/>
  <c r="U53" i="35" s="1"/>
  <c r="T63" i="11" s="1"/>
  <c r="T67" i="11" s="1"/>
  <c r="T47" i="35"/>
  <c r="T53" i="35" s="1"/>
  <c r="S63" i="11" s="1"/>
  <c r="S67" i="11" s="1"/>
  <c r="S47" i="35"/>
  <c r="S53" i="35" s="1"/>
  <c r="R63" i="11" s="1"/>
  <c r="R47" i="35"/>
  <c r="R53" i="35" s="1"/>
  <c r="Q63" i="11" s="1"/>
  <c r="Q47" i="35"/>
  <c r="Q53" i="35" s="1"/>
  <c r="P63" i="11" s="1"/>
  <c r="P47" i="35"/>
  <c r="P53" i="35" s="1"/>
  <c r="O63" i="11" s="1"/>
  <c r="O47" i="35"/>
  <c r="O53" i="35" s="1"/>
  <c r="N63" i="11" s="1"/>
  <c r="N67" i="11" s="1"/>
  <c r="N47" i="35"/>
  <c r="N53" i="35" s="1"/>
  <c r="M63" i="11" s="1"/>
  <c r="M67" i="11" s="1"/>
  <c r="M47" i="35"/>
  <c r="M53" i="35" s="1"/>
  <c r="L63" i="11" s="1"/>
  <c r="L67" i="11" s="1"/>
  <c r="K47" i="35"/>
  <c r="K53" i="35" s="1"/>
  <c r="J63" i="11" s="1"/>
  <c r="J67" i="11" s="1"/>
  <c r="J47" i="35"/>
  <c r="J53" i="35" s="1"/>
  <c r="I63" i="11" s="1"/>
  <c r="I67" i="11" s="1"/>
  <c r="H47" i="35"/>
  <c r="H53" i="35" s="1"/>
  <c r="G63" i="11" s="1"/>
  <c r="F47" i="35"/>
  <c r="F53" i="35" s="1"/>
  <c r="E63" i="11" s="1"/>
  <c r="E47" i="35"/>
  <c r="E53" i="35" s="1"/>
  <c r="D63" i="11" s="1"/>
  <c r="AK40" i="36"/>
  <c r="AL40" i="36"/>
  <c r="AN40" i="36"/>
  <c r="AT40" i="36" s="1"/>
  <c r="AN39" i="36"/>
  <c r="AZ39" i="36" s="1"/>
  <c r="AL39" i="36"/>
  <c r="AK39" i="36"/>
  <c r="H40" i="36"/>
  <c r="H39" i="36"/>
  <c r="AN33" i="7"/>
  <c r="AZ33" i="7" s="1"/>
  <c r="AL33" i="7"/>
  <c r="AK33" i="7"/>
  <c r="H33" i="7"/>
  <c r="AL34" i="7"/>
  <c r="AQ51" i="109" l="1"/>
  <c r="K53" i="109"/>
  <c r="K52" i="109" s="1"/>
  <c r="K54" i="109" s="1"/>
  <c r="K64" i="11" s="1"/>
  <c r="AR60" i="11"/>
  <c r="AQ60" i="11"/>
  <c r="AC67" i="11"/>
  <c r="G67" i="11"/>
  <c r="AL64" i="11"/>
  <c r="AQ65" i="11"/>
  <c r="AS65" i="11"/>
  <c r="AR65" i="11"/>
  <c r="AQ125" i="1"/>
  <c r="AN64" i="11"/>
  <c r="AX64" i="11" s="1"/>
  <c r="AY132" i="1"/>
  <c r="AU132" i="1"/>
  <c r="AR32" i="7"/>
  <c r="G59" i="12"/>
  <c r="J59" i="12" s="1"/>
  <c r="J58" i="12"/>
  <c r="AS49" i="35"/>
  <c r="G62" i="12"/>
  <c r="J62" i="12" s="1"/>
  <c r="AO64" i="11"/>
  <c r="H58" i="12"/>
  <c r="AZ61" i="11"/>
  <c r="AU61" i="11"/>
  <c r="AW61" i="11"/>
  <c r="AP61" i="11"/>
  <c r="AV61" i="11"/>
  <c r="AQ61" i="11"/>
  <c r="AT61" i="11"/>
  <c r="AY61" i="11"/>
  <c r="AQ32" i="7"/>
  <c r="AK64" i="11"/>
  <c r="I58" i="12"/>
  <c r="I59" i="12" s="1"/>
  <c r="AS61" i="11"/>
  <c r="AX61" i="11"/>
  <c r="AX40" i="36"/>
  <c r="AQ52" i="35"/>
  <c r="AT48" i="35"/>
  <c r="AP48" i="35"/>
  <c r="AT50" i="35"/>
  <c r="AR52" i="35"/>
  <c r="AT52" i="35"/>
  <c r="AR51" i="35"/>
  <c r="AT51" i="35"/>
  <c r="AZ132" i="1"/>
  <c r="AM132" i="1"/>
  <c r="AS132" i="1" s="1"/>
  <c r="AX132" i="1"/>
  <c r="AV132" i="1"/>
  <c r="AT132" i="1"/>
  <c r="AN62" i="11"/>
  <c r="AM62" i="11"/>
  <c r="AO144" i="1"/>
  <c r="AP144" i="1"/>
  <c r="AR126" i="1"/>
  <c r="AQ126" i="1"/>
  <c r="H132" i="1"/>
  <c r="AO123" i="1"/>
  <c r="AP123" i="1"/>
  <c r="K123" i="1"/>
  <c r="K132" i="1" s="1"/>
  <c r="K62" i="11" s="1"/>
  <c r="AO33" i="7"/>
  <c r="H34" i="7"/>
  <c r="H65" i="11" s="1"/>
  <c r="D61" i="12"/>
  <c r="D65" i="12" s="1"/>
  <c r="D67" i="11"/>
  <c r="G61" i="12"/>
  <c r="O67" i="11"/>
  <c r="AA67" i="11"/>
  <c r="AS52" i="35"/>
  <c r="AS51" i="35"/>
  <c r="X67" i="11"/>
  <c r="AJ67" i="11"/>
  <c r="AN63" i="11"/>
  <c r="AV63" i="11" s="1"/>
  <c r="R67" i="11"/>
  <c r="AD67" i="11"/>
  <c r="E61" i="12"/>
  <c r="E65" i="12" s="1"/>
  <c r="E67" i="11"/>
  <c r="AK63" i="11"/>
  <c r="P67" i="11"/>
  <c r="AK67" i="11" s="1"/>
  <c r="Q67" i="11"/>
  <c r="AL67" i="11" s="1"/>
  <c r="AL63" i="11"/>
  <c r="U67" i="11"/>
  <c r="AG67" i="11"/>
  <c r="AQ50" i="35"/>
  <c r="AO39" i="36"/>
  <c r="H41" i="36"/>
  <c r="H66" i="11" s="1"/>
  <c r="L51" i="35"/>
  <c r="AR50" i="35"/>
  <c r="AQ49" i="35"/>
  <c r="AT49" i="35"/>
  <c r="AY33" i="7"/>
  <c r="AP52" i="35"/>
  <c r="I47" i="35"/>
  <c r="I53" i="35" s="1"/>
  <c r="H63" i="11" s="1"/>
  <c r="F61" i="12" s="1"/>
  <c r="L50" i="35"/>
  <c r="AQ51" i="35"/>
  <c r="AP49" i="35"/>
  <c r="AR49" i="109"/>
  <c r="L52" i="35"/>
  <c r="K33" i="7"/>
  <c r="AK34" i="7"/>
  <c r="AM34" i="7" s="1"/>
  <c r="AS34" i="7" s="1"/>
  <c r="AU33" i="7"/>
  <c r="AW33" i="7"/>
  <c r="AP40" i="36"/>
  <c r="AZ40" i="36"/>
  <c r="AQ48" i="35"/>
  <c r="AP50" i="35"/>
  <c r="AS50" i="35"/>
  <c r="AR49" i="35"/>
  <c r="AQ49" i="109"/>
  <c r="AQ127" i="1"/>
  <c r="AS127" i="1"/>
  <c r="AR51" i="109"/>
  <c r="AS131" i="1"/>
  <c r="AQ131" i="1"/>
  <c r="AR131" i="1"/>
  <c r="AM130" i="1"/>
  <c r="AS130" i="1" s="1"/>
  <c r="AS129" i="1"/>
  <c r="AR129" i="1"/>
  <c r="AR128" i="1"/>
  <c r="AQ128" i="1"/>
  <c r="AS124" i="1"/>
  <c r="AQ124" i="1"/>
  <c r="AR124" i="1"/>
  <c r="AP130" i="1"/>
  <c r="AZ130" i="1"/>
  <c r="AV130" i="1"/>
  <c r="AY130" i="1"/>
  <c r="AU130" i="1"/>
  <c r="AX130" i="1"/>
  <c r="AT130" i="1"/>
  <c r="AW130" i="1"/>
  <c r="AM53" i="109"/>
  <c r="AR53" i="109" s="1"/>
  <c r="AU53" i="109"/>
  <c r="AW53" i="109"/>
  <c r="AY53" i="109"/>
  <c r="AP53" i="109"/>
  <c r="AT53" i="109"/>
  <c r="AV53" i="109"/>
  <c r="AX53" i="109"/>
  <c r="AK52" i="109"/>
  <c r="AL52" i="109"/>
  <c r="AO52" i="109"/>
  <c r="AN52" i="109"/>
  <c r="AR48" i="35"/>
  <c r="AM47" i="35"/>
  <c r="AM53" i="35"/>
  <c r="AL53" i="35"/>
  <c r="AL47" i="35"/>
  <c r="AP47" i="35"/>
  <c r="AO53" i="35"/>
  <c r="AV53" i="35" s="1"/>
  <c r="AO47" i="35"/>
  <c r="AZ47" i="35" s="1"/>
  <c r="AV40" i="36"/>
  <c r="AM40" i="36"/>
  <c r="AR40" i="36" s="1"/>
  <c r="AO40" i="36"/>
  <c r="K40" i="36"/>
  <c r="AW39" i="36"/>
  <c r="AU39" i="36"/>
  <c r="AY39" i="36"/>
  <c r="K39" i="36"/>
  <c r="K41" i="36" s="1"/>
  <c r="K66" i="11" s="1"/>
  <c r="AY40" i="36"/>
  <c r="AW40" i="36"/>
  <c r="AU40" i="36"/>
  <c r="AM39" i="36"/>
  <c r="AP39" i="36"/>
  <c r="AT39" i="36"/>
  <c r="AV39" i="36"/>
  <c r="AX39" i="36"/>
  <c r="AM33" i="7"/>
  <c r="AR33" i="7" s="1"/>
  <c r="AP33" i="7"/>
  <c r="AT33" i="7"/>
  <c r="AV33" i="7"/>
  <c r="AX33" i="7"/>
  <c r="AN34" i="7"/>
  <c r="AV34" i="7" s="1"/>
  <c r="B58" i="11"/>
  <c r="C56" i="12" s="1"/>
  <c r="AU64" i="11" l="1"/>
  <c r="AZ64" i="11"/>
  <c r="AY63" i="11"/>
  <c r="AU63" i="11"/>
  <c r="H59" i="12"/>
  <c r="K59" i="12" s="1"/>
  <c r="K58" i="12"/>
  <c r="H62" i="12"/>
  <c r="K62" i="12" s="1"/>
  <c r="AP64" i="11"/>
  <c r="AV64" i="11"/>
  <c r="AW64" i="11"/>
  <c r="AY64" i="11"/>
  <c r="AM64" i="11"/>
  <c r="AR64" i="11" s="1"/>
  <c r="AT64" i="11"/>
  <c r="AS40" i="36"/>
  <c r="AQ40" i="36"/>
  <c r="K34" i="7"/>
  <c r="K65" i="11" s="1"/>
  <c r="H32" i="7"/>
  <c r="L47" i="35"/>
  <c r="L53" i="35" s="1"/>
  <c r="K63" i="11" s="1"/>
  <c r="AS62" i="11"/>
  <c r="I60" i="12"/>
  <c r="AW62" i="11"/>
  <c r="H60" i="12"/>
  <c r="AQ62" i="11"/>
  <c r="AZ62" i="11"/>
  <c r="AY62" i="11"/>
  <c r="AX62" i="11"/>
  <c r="AR62" i="11"/>
  <c r="AT62" i="11"/>
  <c r="AU62" i="11"/>
  <c r="AR132" i="1"/>
  <c r="AQ132" i="1"/>
  <c r="AV62" i="11"/>
  <c r="H62" i="11"/>
  <c r="H67" i="11" s="1"/>
  <c r="AO132" i="1"/>
  <c r="AP132" i="1"/>
  <c r="AR34" i="7"/>
  <c r="F63" i="12"/>
  <c r="AP65" i="11"/>
  <c r="AO65" i="11"/>
  <c r="AN67" i="11"/>
  <c r="AT67" i="11" s="1"/>
  <c r="AP53" i="35"/>
  <c r="AM67" i="11"/>
  <c r="AS67" i="11" s="1"/>
  <c r="AT63" i="11"/>
  <c r="J61" i="12"/>
  <c r="G65" i="12"/>
  <c r="H61" i="12"/>
  <c r="AP63" i="11"/>
  <c r="AW63" i="11"/>
  <c r="AM63" i="11"/>
  <c r="I61" i="12" s="1"/>
  <c r="AX63" i="11"/>
  <c r="AZ63" i="11"/>
  <c r="AO63" i="11"/>
  <c r="F64" i="12"/>
  <c r="AO66" i="11"/>
  <c r="AP66" i="11"/>
  <c r="AY34" i="7"/>
  <c r="AZ34" i="7"/>
  <c r="AU34" i="7"/>
  <c r="AR130" i="1"/>
  <c r="AQ130" i="1"/>
  <c r="AQ53" i="109"/>
  <c r="AS53" i="109"/>
  <c r="AM52" i="109"/>
  <c r="AR52" i="109" s="1"/>
  <c r="AP52" i="109"/>
  <c r="AW52" i="109"/>
  <c r="AZ52" i="109"/>
  <c r="AV52" i="109"/>
  <c r="AT52" i="109"/>
  <c r="AY52" i="109"/>
  <c r="AU52" i="109"/>
  <c r="AX52" i="109"/>
  <c r="AN47" i="35"/>
  <c r="AT47" i="35" s="1"/>
  <c r="AN53" i="35"/>
  <c r="AT53" i="35" s="1"/>
  <c r="AW47" i="35"/>
  <c r="AV47" i="35"/>
  <c r="BA47" i="35"/>
  <c r="BA53" i="35"/>
  <c r="AW53" i="35"/>
  <c r="AZ53" i="35"/>
  <c r="AQ53" i="35"/>
  <c r="AY53" i="35"/>
  <c r="AU53" i="35"/>
  <c r="AX53" i="35"/>
  <c r="AQ47" i="35"/>
  <c r="AY47" i="35"/>
  <c r="AU47" i="35"/>
  <c r="AX47" i="35"/>
  <c r="AS39" i="36"/>
  <c r="AQ39" i="36"/>
  <c r="AR39" i="36"/>
  <c r="AS33" i="7"/>
  <c r="AQ33" i="7"/>
  <c r="AQ34" i="7"/>
  <c r="AW34" i="7"/>
  <c r="AX34" i="7"/>
  <c r="AT34" i="7"/>
  <c r="B121" i="1"/>
  <c r="B57" i="11" s="1"/>
  <c r="C55" i="12" s="1"/>
  <c r="C57" i="12" s="1"/>
  <c r="F119" i="1"/>
  <c r="E119" i="1"/>
  <c r="D119" i="1"/>
  <c r="C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J119" i="1"/>
  <c r="I119" i="1"/>
  <c r="H119" i="1"/>
  <c r="G119" i="1"/>
  <c r="G107" i="1"/>
  <c r="I107" i="1"/>
  <c r="I121" i="1" s="1"/>
  <c r="I57" i="11" s="1"/>
  <c r="J107" i="1"/>
  <c r="L107" i="1"/>
  <c r="L121" i="1" s="1"/>
  <c r="L57" i="11" s="1"/>
  <c r="M107" i="1"/>
  <c r="N107" i="1"/>
  <c r="N121" i="1" s="1"/>
  <c r="N57" i="11" s="1"/>
  <c r="O107" i="1"/>
  <c r="P107" i="1"/>
  <c r="P121" i="1" s="1"/>
  <c r="P57" i="11" s="1"/>
  <c r="Q107" i="1"/>
  <c r="R107" i="1"/>
  <c r="R121" i="1" s="1"/>
  <c r="R57" i="11" s="1"/>
  <c r="S107" i="1"/>
  <c r="T107" i="1"/>
  <c r="T121" i="1" s="1"/>
  <c r="T57" i="11" s="1"/>
  <c r="U107" i="1"/>
  <c r="V107" i="1"/>
  <c r="V121" i="1" s="1"/>
  <c r="V57" i="11" s="1"/>
  <c r="W107" i="1"/>
  <c r="X107" i="1"/>
  <c r="X121" i="1" s="1"/>
  <c r="X57" i="11" s="1"/>
  <c r="Y107" i="1"/>
  <c r="Z107" i="1"/>
  <c r="Z121" i="1" s="1"/>
  <c r="Z57" i="11" s="1"/>
  <c r="AA107" i="1"/>
  <c r="AB107" i="1"/>
  <c r="AB121" i="1" s="1"/>
  <c r="AB57" i="11" s="1"/>
  <c r="AC107" i="1"/>
  <c r="AD107" i="1"/>
  <c r="AD121" i="1" s="1"/>
  <c r="AD57" i="11" s="1"/>
  <c r="AE107" i="1"/>
  <c r="AF107" i="1"/>
  <c r="AF121" i="1" s="1"/>
  <c r="AF57" i="11" s="1"/>
  <c r="AG107" i="1"/>
  <c r="AH107" i="1"/>
  <c r="AH121" i="1" s="1"/>
  <c r="AH57" i="11" s="1"/>
  <c r="AI107" i="1"/>
  <c r="AJ107" i="1"/>
  <c r="AJ121" i="1" s="1"/>
  <c r="AJ57" i="11" s="1"/>
  <c r="F107" i="1"/>
  <c r="E107" i="1"/>
  <c r="D107" i="1"/>
  <c r="C107" i="1"/>
  <c r="H108" i="1"/>
  <c r="AO108" i="1" s="1"/>
  <c r="AK108" i="1"/>
  <c r="AL108" i="1"/>
  <c r="AN108" i="1"/>
  <c r="AW108" i="1" s="1"/>
  <c r="K109" i="1"/>
  <c r="AK109" i="1"/>
  <c r="AL109" i="1"/>
  <c r="AN109" i="1"/>
  <c r="AT109" i="1" s="1"/>
  <c r="AO109" i="1"/>
  <c r="K110" i="1"/>
  <c r="AL110" i="1"/>
  <c r="AM110" i="1" s="1"/>
  <c r="AR110" i="1" s="1"/>
  <c r="AN110" i="1"/>
  <c r="AP110" i="1" s="1"/>
  <c r="AO110" i="1"/>
  <c r="K111" i="1"/>
  <c r="AK111" i="1"/>
  <c r="AL111" i="1"/>
  <c r="AN111" i="1"/>
  <c r="AP111" i="1" s="1"/>
  <c r="AO111" i="1"/>
  <c r="K112" i="1"/>
  <c r="AK112" i="1"/>
  <c r="AL112" i="1"/>
  <c r="AN112" i="1"/>
  <c r="AP112" i="1" s="1"/>
  <c r="AO112" i="1"/>
  <c r="K113" i="1"/>
  <c r="AL113" i="1"/>
  <c r="AM113" i="1" s="1"/>
  <c r="AR113" i="1" s="1"/>
  <c r="AN113" i="1"/>
  <c r="AP113" i="1" s="1"/>
  <c r="AO113" i="1"/>
  <c r="K114" i="1"/>
  <c r="AK114" i="1"/>
  <c r="AL114" i="1"/>
  <c r="AN114" i="1"/>
  <c r="AW114" i="1" s="1"/>
  <c r="AO114" i="1"/>
  <c r="K115" i="1"/>
  <c r="AK115" i="1"/>
  <c r="AL115" i="1"/>
  <c r="AN115" i="1"/>
  <c r="AT115" i="1" s="1"/>
  <c r="AO115" i="1"/>
  <c r="K116" i="1"/>
  <c r="AK116" i="1"/>
  <c r="AL116" i="1"/>
  <c r="AN116" i="1"/>
  <c r="AW116" i="1" s="1"/>
  <c r="AO116" i="1"/>
  <c r="H117" i="1"/>
  <c r="K117" i="1" s="1"/>
  <c r="AK117" i="1"/>
  <c r="AL117" i="1"/>
  <c r="AN117" i="1"/>
  <c r="H118" i="1"/>
  <c r="K118" i="1" s="1"/>
  <c r="AL118" i="1"/>
  <c r="AM118" i="1" s="1"/>
  <c r="AR118" i="1" s="1"/>
  <c r="AN118" i="1"/>
  <c r="AV118" i="1" s="1"/>
  <c r="K120" i="1"/>
  <c r="K119" i="1" s="1"/>
  <c r="AK120" i="1"/>
  <c r="AL120" i="1"/>
  <c r="AN120" i="1"/>
  <c r="AX120" i="1" s="1"/>
  <c r="AO120" i="1"/>
  <c r="G46" i="109"/>
  <c r="G48" i="109" s="1"/>
  <c r="H46" i="109"/>
  <c r="H48" i="109" s="1"/>
  <c r="I46" i="109"/>
  <c r="I48" i="109" s="1"/>
  <c r="J46" i="109"/>
  <c r="J48" i="109" s="1"/>
  <c r="L46" i="109"/>
  <c r="L48" i="109" s="1"/>
  <c r="M46" i="109"/>
  <c r="M48" i="109" s="1"/>
  <c r="N46" i="109"/>
  <c r="N48" i="109" s="1"/>
  <c r="O46" i="109"/>
  <c r="P46" i="109"/>
  <c r="P48" i="109" s="1"/>
  <c r="Q46" i="109"/>
  <c r="Q48" i="109" s="1"/>
  <c r="R46" i="109"/>
  <c r="R48" i="109" s="1"/>
  <c r="S46" i="109"/>
  <c r="S48" i="109" s="1"/>
  <c r="T46" i="109"/>
  <c r="T48" i="109" s="1"/>
  <c r="U46" i="109"/>
  <c r="U48" i="109" s="1"/>
  <c r="V46" i="109"/>
  <c r="V48" i="109" s="1"/>
  <c r="W46" i="109"/>
  <c r="W48" i="109" s="1"/>
  <c r="X46" i="109"/>
  <c r="X48" i="109" s="1"/>
  <c r="Y46" i="109"/>
  <c r="Z46" i="109"/>
  <c r="Z48" i="109" s="1"/>
  <c r="AA46" i="109"/>
  <c r="AA48" i="109" s="1"/>
  <c r="AB46" i="109"/>
  <c r="AB48" i="109" s="1"/>
  <c r="AC46" i="109"/>
  <c r="AC48" i="109" s="1"/>
  <c r="AD46" i="109"/>
  <c r="AD48" i="109" s="1"/>
  <c r="AE46" i="109"/>
  <c r="AE48" i="109" s="1"/>
  <c r="AF46" i="109"/>
  <c r="AF48" i="109" s="1"/>
  <c r="AG46" i="109"/>
  <c r="AG48" i="109" s="1"/>
  <c r="AH46" i="109"/>
  <c r="AH48" i="109" s="1"/>
  <c r="AI46" i="109"/>
  <c r="AI48" i="109" s="1"/>
  <c r="AJ46" i="109"/>
  <c r="AJ48" i="109" s="1"/>
  <c r="F46" i="109"/>
  <c r="F48" i="109" s="1"/>
  <c r="E46" i="109"/>
  <c r="E48" i="109" s="1"/>
  <c r="D46" i="109"/>
  <c r="D48" i="109" s="1"/>
  <c r="C48" i="109"/>
  <c r="AO47" i="109"/>
  <c r="AN47" i="109"/>
  <c r="AZ47" i="109" s="1"/>
  <c r="AL47" i="109"/>
  <c r="AK47" i="109"/>
  <c r="K47" i="109"/>
  <c r="K46" i="109" s="1"/>
  <c r="K48" i="109" s="1"/>
  <c r="AO46" i="109" l="1"/>
  <c r="AU47" i="109"/>
  <c r="AY47" i="109"/>
  <c r="AV109" i="1"/>
  <c r="O48" i="109"/>
  <c r="AG121" i="1"/>
  <c r="AG57" i="11" s="1"/>
  <c r="AC121" i="1"/>
  <c r="AC57" i="11" s="1"/>
  <c r="Y121" i="1"/>
  <c r="Y57" i="11" s="1"/>
  <c r="U121" i="1"/>
  <c r="Q121" i="1"/>
  <c r="M121" i="1"/>
  <c r="M57" i="11" s="1"/>
  <c r="I62" i="12"/>
  <c r="I65" i="12" s="1"/>
  <c r="AS64" i="11"/>
  <c r="AQ64" i="11"/>
  <c r="AK46" i="109"/>
  <c r="K67" i="11"/>
  <c r="K32" i="7"/>
  <c r="AO32" i="7"/>
  <c r="AP32" i="7"/>
  <c r="C121" i="1"/>
  <c r="C57" i="11" s="1"/>
  <c r="E121" i="1"/>
  <c r="E57" i="11" s="1"/>
  <c r="E55" i="12" s="1"/>
  <c r="AR63" i="11"/>
  <c r="D121" i="1"/>
  <c r="D57" i="11" s="1"/>
  <c r="D55" i="12" s="1"/>
  <c r="F121" i="1"/>
  <c r="F57" i="11" s="1"/>
  <c r="G121" i="1"/>
  <c r="G57" i="11" s="1"/>
  <c r="AO119" i="1"/>
  <c r="F60" i="12"/>
  <c r="AO62" i="11"/>
  <c r="AP62" i="11"/>
  <c r="AP115" i="1"/>
  <c r="AV111" i="1"/>
  <c r="AV67" i="11"/>
  <c r="AY67" i="11"/>
  <c r="AU67" i="11"/>
  <c r="AX67" i="11"/>
  <c r="AZ67" i="11"/>
  <c r="J63" i="12"/>
  <c r="K63" i="12"/>
  <c r="K61" i="12"/>
  <c r="H65" i="12"/>
  <c r="AW67" i="11"/>
  <c r="AQ67" i="11"/>
  <c r="AQ63" i="11"/>
  <c r="AR67" i="11"/>
  <c r="AS63" i="11"/>
  <c r="AO67" i="11"/>
  <c r="AP67" i="11"/>
  <c r="K64" i="12"/>
  <c r="J64" i="12"/>
  <c r="E58" i="11"/>
  <c r="E56" i="12" s="1"/>
  <c r="C58" i="11"/>
  <c r="F58" i="11"/>
  <c r="F59" i="11" s="1"/>
  <c r="AP47" i="109"/>
  <c r="AL46" i="109"/>
  <c r="D58" i="11"/>
  <c r="D56" i="12" s="1"/>
  <c r="Y48" i="109"/>
  <c r="Y58" i="11" s="1"/>
  <c r="AI121" i="1"/>
  <c r="AI57" i="11" s="1"/>
  <c r="AE121" i="1"/>
  <c r="AE57" i="11" s="1"/>
  <c r="AA121" i="1"/>
  <c r="AA57" i="11" s="1"/>
  <c r="W121" i="1"/>
  <c r="W57" i="11" s="1"/>
  <c r="S121" i="1"/>
  <c r="S57" i="11" s="1"/>
  <c r="O121" i="1"/>
  <c r="O57" i="11" s="1"/>
  <c r="G55" i="12" s="1"/>
  <c r="J121" i="1"/>
  <c r="J57" i="11" s="1"/>
  <c r="AL119" i="1"/>
  <c r="AN46" i="109"/>
  <c r="AZ46" i="109" s="1"/>
  <c r="AW47" i="109"/>
  <c r="AV112" i="1"/>
  <c r="B59" i="11"/>
  <c r="U57" i="11"/>
  <c r="Q57" i="11"/>
  <c r="AK119" i="1"/>
  <c r="AN119" i="1"/>
  <c r="AY119" i="1" s="1"/>
  <c r="AP117" i="1"/>
  <c r="AM117" i="1"/>
  <c r="AR117" i="1" s="1"/>
  <c r="AO118" i="1"/>
  <c r="AX117" i="1"/>
  <c r="AW115" i="1"/>
  <c r="H107" i="1"/>
  <c r="H121" i="1" s="1"/>
  <c r="AO117" i="1"/>
  <c r="AT117" i="1"/>
  <c r="AY115" i="1"/>
  <c r="AV115" i="1"/>
  <c r="AZ111" i="1"/>
  <c r="AP118" i="1"/>
  <c r="AS52" i="109"/>
  <c r="AQ52" i="109"/>
  <c r="AJ58" i="11"/>
  <c r="AJ59" i="11" s="1"/>
  <c r="AH58" i="11"/>
  <c r="AH59" i="11" s="1"/>
  <c r="AF58" i="11"/>
  <c r="AF59" i="11" s="1"/>
  <c r="AD58" i="11"/>
  <c r="AD59" i="11" s="1"/>
  <c r="AB58" i="11"/>
  <c r="AB59" i="11" s="1"/>
  <c r="Z58" i="11"/>
  <c r="Z59" i="11" s="1"/>
  <c r="X58" i="11"/>
  <c r="X59" i="11" s="1"/>
  <c r="V58" i="11"/>
  <c r="V59" i="11" s="1"/>
  <c r="T58" i="11"/>
  <c r="T59" i="11" s="1"/>
  <c r="R58" i="11"/>
  <c r="AN48" i="109"/>
  <c r="AU48" i="109" s="1"/>
  <c r="P58" i="11"/>
  <c r="N58" i="11"/>
  <c r="N59" i="11" s="1"/>
  <c r="L58" i="11"/>
  <c r="L59" i="11" s="1"/>
  <c r="J58" i="11"/>
  <c r="H58" i="11"/>
  <c r="AO48" i="109"/>
  <c r="AI58" i="11"/>
  <c r="AI59" i="11" s="1"/>
  <c r="AG58" i="11"/>
  <c r="AE58" i="11"/>
  <c r="AC58" i="11"/>
  <c r="AA58" i="11"/>
  <c r="W58" i="11"/>
  <c r="U58" i="11"/>
  <c r="S58" i="11"/>
  <c r="S59" i="11" s="1"/>
  <c r="AL54" i="109"/>
  <c r="Q58" i="11"/>
  <c r="AO54" i="109"/>
  <c r="O58" i="11"/>
  <c r="M58" i="11"/>
  <c r="K58" i="11"/>
  <c r="I58" i="11"/>
  <c r="I59" i="11" s="1"/>
  <c r="G58" i="11"/>
  <c r="G59" i="11" s="1"/>
  <c r="AL48" i="109"/>
  <c r="AS47" i="35"/>
  <c r="AR47" i="35"/>
  <c r="AR53" i="35"/>
  <c r="AS53" i="35"/>
  <c r="AM114" i="1"/>
  <c r="AR114" i="1" s="1"/>
  <c r="AZ109" i="1"/>
  <c r="AU109" i="1"/>
  <c r="AW120" i="1"/>
  <c r="AY110" i="1"/>
  <c r="AY109" i="1"/>
  <c r="AP109" i="1"/>
  <c r="AZ115" i="1"/>
  <c r="AU115" i="1"/>
  <c r="AZ112" i="1"/>
  <c r="AW111" i="1"/>
  <c r="AU110" i="1"/>
  <c r="AW109" i="1"/>
  <c r="AY118" i="1"/>
  <c r="AX118" i="1"/>
  <c r="AM112" i="1"/>
  <c r="AS112" i="1" s="1"/>
  <c r="AX110" i="1"/>
  <c r="AT110" i="1"/>
  <c r="AZ120" i="1"/>
  <c r="AP120" i="1"/>
  <c r="AM120" i="1"/>
  <c r="AS120" i="1" s="1"/>
  <c r="AU118" i="1"/>
  <c r="AZ114" i="1"/>
  <c r="AZ113" i="1"/>
  <c r="AW110" i="1"/>
  <c r="AQ110" i="1"/>
  <c r="AZ108" i="1"/>
  <c r="AM108" i="1"/>
  <c r="AR108" i="1" s="1"/>
  <c r="AL107" i="1"/>
  <c r="AT120" i="1"/>
  <c r="AT118" i="1"/>
  <c r="AV116" i="1"/>
  <c r="AX115" i="1"/>
  <c r="AV114" i="1"/>
  <c r="AV113" i="1"/>
  <c r="AZ110" i="1"/>
  <c r="AV110" i="1"/>
  <c r="AX109" i="1"/>
  <c r="AV108" i="1"/>
  <c r="AS118" i="1"/>
  <c r="AZ116" i="1"/>
  <c r="AT116" i="1"/>
  <c r="AW113" i="1"/>
  <c r="AS110" i="1"/>
  <c r="K108" i="1"/>
  <c r="K107" i="1" s="1"/>
  <c r="K121" i="1" s="1"/>
  <c r="K57" i="11" s="1"/>
  <c r="AQ118" i="1"/>
  <c r="AX116" i="1"/>
  <c r="AP116" i="1"/>
  <c r="AM116" i="1"/>
  <c r="AQ116" i="1" s="1"/>
  <c r="AT111" i="1"/>
  <c r="AM109" i="1"/>
  <c r="AQ109" i="1" s="1"/>
  <c r="AK107" i="1"/>
  <c r="AN107" i="1"/>
  <c r="AT107" i="1" s="1"/>
  <c r="AM115" i="1"/>
  <c r="AQ115" i="1" s="1"/>
  <c r="AS113" i="1"/>
  <c r="AW112" i="1"/>
  <c r="AX111" i="1"/>
  <c r="AM111" i="1"/>
  <c r="AQ111" i="1" s="1"/>
  <c r="AW117" i="1"/>
  <c r="AU114" i="1"/>
  <c r="AY108" i="1"/>
  <c r="AV117" i="1"/>
  <c r="AX114" i="1"/>
  <c r="AQ113" i="1"/>
  <c r="AY112" i="1"/>
  <c r="AP108" i="1"/>
  <c r="AY114" i="1"/>
  <c r="AU108" i="1"/>
  <c r="AV120" i="1"/>
  <c r="AW118" i="1"/>
  <c r="AZ117" i="1"/>
  <c r="AT114" i="1"/>
  <c r="AP114" i="1"/>
  <c r="AY113" i="1"/>
  <c r="AU113" i="1"/>
  <c r="AU112" i="1"/>
  <c r="AX108" i="1"/>
  <c r="AT108" i="1"/>
  <c r="AY120" i="1"/>
  <c r="AU120" i="1"/>
  <c r="AZ118" i="1"/>
  <c r="AY117" i="1"/>
  <c r="AU117" i="1"/>
  <c r="AY116" i="1"/>
  <c r="AU116" i="1"/>
  <c r="AX113" i="1"/>
  <c r="AT113" i="1"/>
  <c r="AX112" i="1"/>
  <c r="AT112" i="1"/>
  <c r="AY111" i="1"/>
  <c r="AU111" i="1"/>
  <c r="AM46" i="109"/>
  <c r="AS46" i="109" s="1"/>
  <c r="AY46" i="109"/>
  <c r="AT47" i="109"/>
  <c r="AX47" i="109"/>
  <c r="AM47" i="109"/>
  <c r="AR47" i="109" s="1"/>
  <c r="AV47" i="109"/>
  <c r="AK48" i="109" l="1"/>
  <c r="AM48" i="109" s="1"/>
  <c r="AX46" i="109"/>
  <c r="AM119" i="1"/>
  <c r="AR119" i="1" s="1"/>
  <c r="C59" i="11"/>
  <c r="M59" i="11"/>
  <c r="AC59" i="11"/>
  <c r="AP48" i="109"/>
  <c r="Y59" i="11"/>
  <c r="AO121" i="1"/>
  <c r="AZ119" i="1"/>
  <c r="AW119" i="1"/>
  <c r="AL121" i="1"/>
  <c r="E59" i="11"/>
  <c r="AT119" i="1"/>
  <c r="AV119" i="1"/>
  <c r="AP119" i="1"/>
  <c r="AX119" i="1"/>
  <c r="AN121" i="1"/>
  <c r="AT121" i="1" s="1"/>
  <c r="AU119" i="1"/>
  <c r="J60" i="12"/>
  <c r="K60" i="12"/>
  <c r="F65" i="12"/>
  <c r="J65" i="12" s="1"/>
  <c r="E57" i="12"/>
  <c r="D59" i="11"/>
  <c r="D57" i="12"/>
  <c r="AA59" i="11"/>
  <c r="J59" i="11"/>
  <c r="AL57" i="11"/>
  <c r="AK57" i="11"/>
  <c r="AN57" i="11"/>
  <c r="H55" i="12" s="1"/>
  <c r="W59" i="11"/>
  <c r="AW46" i="109"/>
  <c r="AU46" i="109"/>
  <c r="AV48" i="109"/>
  <c r="AE59" i="11"/>
  <c r="AK121" i="1"/>
  <c r="AZ107" i="1"/>
  <c r="AY48" i="109"/>
  <c r="AK54" i="109"/>
  <c r="AM54" i="109" s="1"/>
  <c r="H57" i="11"/>
  <c r="F55" i="12" s="1"/>
  <c r="J55" i="12" s="1"/>
  <c r="AT46" i="109"/>
  <c r="AP46" i="109"/>
  <c r="AQ46" i="109"/>
  <c r="AX48" i="109"/>
  <c r="AV46" i="109"/>
  <c r="AT48" i="109"/>
  <c r="AS119" i="1"/>
  <c r="AM107" i="1"/>
  <c r="AR107" i="1" s="1"/>
  <c r="AQ119" i="1"/>
  <c r="AS117" i="1"/>
  <c r="AS114" i="1"/>
  <c r="AR111" i="1"/>
  <c r="AQ117" i="1"/>
  <c r="AS111" i="1"/>
  <c r="K59" i="11"/>
  <c r="AQ114" i="1"/>
  <c r="AO107" i="1"/>
  <c r="AS116" i="1"/>
  <c r="AR116" i="1"/>
  <c r="AR115" i="1"/>
  <c r="AR109" i="1"/>
  <c r="AN54" i="109"/>
  <c r="AY54" i="109" s="1"/>
  <c r="G56" i="12"/>
  <c r="AO58" i="11"/>
  <c r="O59" i="11"/>
  <c r="AL58" i="11"/>
  <c r="Q59" i="11"/>
  <c r="U59" i="11"/>
  <c r="AG59" i="11"/>
  <c r="F56" i="12"/>
  <c r="AK58" i="11"/>
  <c r="P59" i="11"/>
  <c r="AZ48" i="109"/>
  <c r="AW48" i="109"/>
  <c r="R59" i="11"/>
  <c r="AN58" i="11"/>
  <c r="AT58" i="11" s="1"/>
  <c r="AQ108" i="1"/>
  <c r="AS108" i="1"/>
  <c r="AQ112" i="1"/>
  <c r="AS115" i="1"/>
  <c r="AR112" i="1"/>
  <c r="AW107" i="1"/>
  <c r="AS109" i="1"/>
  <c r="AR120" i="1"/>
  <c r="AQ120" i="1"/>
  <c r="AV107" i="1"/>
  <c r="AU107" i="1"/>
  <c r="AX107" i="1"/>
  <c r="AY107" i="1"/>
  <c r="AP107" i="1"/>
  <c r="AR46" i="109"/>
  <c r="AQ47" i="109"/>
  <c r="AS47" i="109"/>
  <c r="AU54" i="109" l="1"/>
  <c r="AY121" i="1"/>
  <c r="AT54" i="109"/>
  <c r="AZ121" i="1"/>
  <c r="AQ107" i="1"/>
  <c r="AP121" i="1"/>
  <c r="AU121" i="1"/>
  <c r="AS107" i="1"/>
  <c r="AX121" i="1"/>
  <c r="AV121" i="1"/>
  <c r="AW121" i="1"/>
  <c r="K65" i="12"/>
  <c r="AT57" i="11"/>
  <c r="AZ57" i="11"/>
  <c r="AX57" i="11"/>
  <c r="AU57" i="11"/>
  <c r="AW57" i="11"/>
  <c r="AY57" i="11"/>
  <c r="AV57" i="11"/>
  <c r="AM57" i="11"/>
  <c r="I55" i="12" s="1"/>
  <c r="AP57" i="11"/>
  <c r="AL59" i="11"/>
  <c r="H59" i="11"/>
  <c r="AO59" i="11" s="1"/>
  <c r="AO57" i="11"/>
  <c r="F57" i="12"/>
  <c r="AZ54" i="109"/>
  <c r="AV54" i="109"/>
  <c r="AX54" i="109"/>
  <c r="AR54" i="109"/>
  <c r="AS54" i="109"/>
  <c r="AK59" i="11"/>
  <c r="AM121" i="1"/>
  <c r="AU58" i="11"/>
  <c r="AZ58" i="11"/>
  <c r="K55" i="12"/>
  <c r="AN59" i="11"/>
  <c r="AT59" i="11" s="1"/>
  <c r="AM58" i="11"/>
  <c r="I56" i="12" s="1"/>
  <c r="AQ48" i="109"/>
  <c r="AS48" i="109"/>
  <c r="H56" i="12"/>
  <c r="AP58" i="11"/>
  <c r="AW58" i="11"/>
  <c r="AV58" i="11"/>
  <c r="AX58" i="11"/>
  <c r="AY58" i="11"/>
  <c r="G57" i="12"/>
  <c r="J56" i="12"/>
  <c r="AP54" i="109"/>
  <c r="AQ54" i="109"/>
  <c r="AR48" i="109"/>
  <c r="AW54" i="109"/>
  <c r="B55" i="11"/>
  <c r="C53" i="12" s="1"/>
  <c r="B52" i="11"/>
  <c r="C50" i="12" s="1"/>
  <c r="E45" i="109"/>
  <c r="E55" i="11" s="1"/>
  <c r="E53" i="12" s="1"/>
  <c r="D45" i="109"/>
  <c r="D55" i="11" s="1"/>
  <c r="D53" i="12" s="1"/>
  <c r="G42" i="109"/>
  <c r="G45" i="109" s="1"/>
  <c r="G55" i="11" s="1"/>
  <c r="I42" i="109"/>
  <c r="I45" i="109" s="1"/>
  <c r="I55" i="11" s="1"/>
  <c r="J42" i="109"/>
  <c r="J45" i="109" s="1"/>
  <c r="J55" i="11" s="1"/>
  <c r="L42" i="109"/>
  <c r="L45" i="109" s="1"/>
  <c r="L55" i="11" s="1"/>
  <c r="M42" i="109"/>
  <c r="M45" i="109" s="1"/>
  <c r="M55" i="11" s="1"/>
  <c r="N42" i="109"/>
  <c r="N45" i="109" s="1"/>
  <c r="N55" i="11" s="1"/>
  <c r="O42" i="109"/>
  <c r="O45" i="109" s="1"/>
  <c r="O55" i="11" s="1"/>
  <c r="G53" i="12" s="1"/>
  <c r="P42" i="109"/>
  <c r="Q42" i="109"/>
  <c r="Q45" i="109" s="1"/>
  <c r="R42" i="109"/>
  <c r="S42" i="109"/>
  <c r="S45" i="109" s="1"/>
  <c r="S55" i="11" s="1"/>
  <c r="T42" i="109"/>
  <c r="T45" i="109" s="1"/>
  <c r="T55" i="11" s="1"/>
  <c r="U42" i="109"/>
  <c r="V42" i="109"/>
  <c r="V45" i="109" s="1"/>
  <c r="V55" i="11" s="1"/>
  <c r="W42" i="109"/>
  <c r="W45" i="109" s="1"/>
  <c r="W55" i="11" s="1"/>
  <c r="X42" i="109"/>
  <c r="X45" i="109" s="1"/>
  <c r="X55" i="11" s="1"/>
  <c r="Y42" i="109"/>
  <c r="Y45" i="109" s="1"/>
  <c r="Y55" i="11" s="1"/>
  <c r="Z42" i="109"/>
  <c r="Z45" i="109" s="1"/>
  <c r="Z55" i="11" s="1"/>
  <c r="AA42" i="109"/>
  <c r="AA45" i="109" s="1"/>
  <c r="AB42" i="109"/>
  <c r="AB45" i="109" s="1"/>
  <c r="AB55" i="11" s="1"/>
  <c r="AC42" i="109"/>
  <c r="AC45" i="109" s="1"/>
  <c r="AC55" i="11" s="1"/>
  <c r="AD42" i="109"/>
  <c r="AD45" i="109" s="1"/>
  <c r="AD55" i="11" s="1"/>
  <c r="AE42" i="109"/>
  <c r="AE45" i="109" s="1"/>
  <c r="AE55" i="11" s="1"/>
  <c r="AF42" i="109"/>
  <c r="AF45" i="109" s="1"/>
  <c r="AF55" i="11" s="1"/>
  <c r="AG42" i="109"/>
  <c r="AG45" i="109" s="1"/>
  <c r="AH42" i="109"/>
  <c r="AH45" i="109" s="1"/>
  <c r="AH55" i="11" s="1"/>
  <c r="AI42" i="109"/>
  <c r="AI45" i="109" s="1"/>
  <c r="AI55" i="11" s="1"/>
  <c r="AJ42" i="109"/>
  <c r="AJ45" i="109" s="1"/>
  <c r="AJ55" i="11" s="1"/>
  <c r="F42" i="109"/>
  <c r="F45" i="109" s="1"/>
  <c r="F55" i="11" s="1"/>
  <c r="E42" i="109"/>
  <c r="D42" i="109"/>
  <c r="C42" i="109"/>
  <c r="C45" i="109" s="1"/>
  <c r="C55" i="11" s="1"/>
  <c r="G38" i="109"/>
  <c r="G41" i="109" s="1"/>
  <c r="G52" i="11" s="1"/>
  <c r="I38" i="109"/>
  <c r="I41" i="109" s="1"/>
  <c r="I52" i="11" s="1"/>
  <c r="J38" i="109"/>
  <c r="J41" i="109" s="1"/>
  <c r="J52" i="11" s="1"/>
  <c r="L38" i="109"/>
  <c r="L41" i="109" s="1"/>
  <c r="L52" i="11" s="1"/>
  <c r="M38" i="109"/>
  <c r="M41" i="109" s="1"/>
  <c r="M52" i="11" s="1"/>
  <c r="N38" i="109"/>
  <c r="N41" i="109" s="1"/>
  <c r="N52" i="11" s="1"/>
  <c r="O38" i="109"/>
  <c r="O41" i="109" s="1"/>
  <c r="O52" i="11" s="1"/>
  <c r="G50" i="12" s="1"/>
  <c r="P38" i="109"/>
  <c r="Q38" i="109"/>
  <c r="Q41" i="109" s="1"/>
  <c r="Q52" i="11" s="1"/>
  <c r="R38" i="109"/>
  <c r="R41" i="109" s="1"/>
  <c r="R52" i="11" s="1"/>
  <c r="S38" i="109"/>
  <c r="S41" i="109" s="1"/>
  <c r="S52" i="11" s="1"/>
  <c r="T38" i="109"/>
  <c r="T41" i="109" s="1"/>
  <c r="T52" i="11" s="1"/>
  <c r="U38" i="109"/>
  <c r="V38" i="109"/>
  <c r="V41" i="109" s="1"/>
  <c r="V52" i="11" s="1"/>
  <c r="W38" i="109"/>
  <c r="W41" i="109" s="1"/>
  <c r="W52" i="11" s="1"/>
  <c r="X38" i="109"/>
  <c r="X41" i="109" s="1"/>
  <c r="X52" i="11" s="1"/>
  <c r="Y38" i="109"/>
  <c r="Y41" i="109" s="1"/>
  <c r="Y52" i="11" s="1"/>
  <c r="Z38" i="109"/>
  <c r="Z41" i="109" s="1"/>
  <c r="Z52" i="11" s="1"/>
  <c r="AA38" i="109"/>
  <c r="AA41" i="109" s="1"/>
  <c r="AA52" i="11" s="1"/>
  <c r="AB38" i="109"/>
  <c r="AB41" i="109" s="1"/>
  <c r="AB52" i="11" s="1"/>
  <c r="AC38" i="109"/>
  <c r="AC41" i="109" s="1"/>
  <c r="AC52" i="11" s="1"/>
  <c r="AD38" i="109"/>
  <c r="AD41" i="109" s="1"/>
  <c r="AD52" i="11" s="1"/>
  <c r="AE38" i="109"/>
  <c r="AE41" i="109" s="1"/>
  <c r="AE52" i="11" s="1"/>
  <c r="AF38" i="109"/>
  <c r="AF41" i="109" s="1"/>
  <c r="AF52" i="11" s="1"/>
  <c r="AG38" i="109"/>
  <c r="AG41" i="109" s="1"/>
  <c r="AG52" i="11" s="1"/>
  <c r="AH38" i="109"/>
  <c r="AH41" i="109" s="1"/>
  <c r="AH52" i="11" s="1"/>
  <c r="AI38" i="109"/>
  <c r="AI41" i="109" s="1"/>
  <c r="AI52" i="11" s="1"/>
  <c r="AJ38" i="109"/>
  <c r="AJ41" i="109" s="1"/>
  <c r="AJ52" i="11" s="1"/>
  <c r="F38" i="109"/>
  <c r="F41" i="109" s="1"/>
  <c r="F52" i="11" s="1"/>
  <c r="E38" i="109"/>
  <c r="E41" i="109" s="1"/>
  <c r="E52" i="11" s="1"/>
  <c r="E50" i="12" s="1"/>
  <c r="D38" i="109"/>
  <c r="D41" i="109" s="1"/>
  <c r="D52" i="11" s="1"/>
  <c r="D50" i="12" s="1"/>
  <c r="C38" i="109"/>
  <c r="C41" i="109" s="1"/>
  <c r="C52" i="11" s="1"/>
  <c r="B106" i="1"/>
  <c r="G104" i="1"/>
  <c r="I104" i="1"/>
  <c r="J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F104" i="1"/>
  <c r="E104" i="1"/>
  <c r="D104" i="1"/>
  <c r="C104" i="1"/>
  <c r="G92" i="1"/>
  <c r="G106" i="1" s="1"/>
  <c r="G54" i="11" s="1"/>
  <c r="I92" i="1"/>
  <c r="I106" i="1" s="1"/>
  <c r="I54" i="11" s="1"/>
  <c r="J92" i="1"/>
  <c r="J106" i="1" s="1"/>
  <c r="J54" i="11" s="1"/>
  <c r="L92" i="1"/>
  <c r="L106" i="1" s="1"/>
  <c r="L54" i="11" s="1"/>
  <c r="M92" i="1"/>
  <c r="M106" i="1" s="1"/>
  <c r="M54" i="11" s="1"/>
  <c r="N92" i="1"/>
  <c r="N106" i="1" s="1"/>
  <c r="N54" i="11" s="1"/>
  <c r="O92" i="1"/>
  <c r="O106" i="1" s="1"/>
  <c r="O54" i="11" s="1"/>
  <c r="P92" i="1"/>
  <c r="P106" i="1" s="1"/>
  <c r="Q92" i="1"/>
  <c r="Q106" i="1" s="1"/>
  <c r="R92" i="1"/>
  <c r="S92" i="1"/>
  <c r="S106" i="1" s="1"/>
  <c r="S54" i="11" s="1"/>
  <c r="T92" i="1"/>
  <c r="T106" i="1" s="1"/>
  <c r="T54" i="11" s="1"/>
  <c r="U92" i="1"/>
  <c r="V92" i="1"/>
  <c r="V106" i="1" s="1"/>
  <c r="V54" i="11" s="1"/>
  <c r="W92" i="1"/>
  <c r="W106" i="1" s="1"/>
  <c r="W54" i="11" s="1"/>
  <c r="X92" i="1"/>
  <c r="X106" i="1" s="1"/>
  <c r="X54" i="11" s="1"/>
  <c r="Y92" i="1"/>
  <c r="Y106" i="1" s="1"/>
  <c r="Y54" i="11" s="1"/>
  <c r="Z92" i="1"/>
  <c r="Z106" i="1" s="1"/>
  <c r="Z54" i="11" s="1"/>
  <c r="AA92" i="1"/>
  <c r="AA106" i="1" s="1"/>
  <c r="AA54" i="11" s="1"/>
  <c r="AB92" i="1"/>
  <c r="AB106" i="1" s="1"/>
  <c r="AB54" i="11" s="1"/>
  <c r="AC92" i="1"/>
  <c r="AC106" i="1" s="1"/>
  <c r="AC54" i="11" s="1"/>
  <c r="AD92" i="1"/>
  <c r="AD106" i="1" s="1"/>
  <c r="AD54" i="11" s="1"/>
  <c r="AE92" i="1"/>
  <c r="AE106" i="1" s="1"/>
  <c r="AE54" i="11" s="1"/>
  <c r="AF92" i="1"/>
  <c r="AF106" i="1" s="1"/>
  <c r="AF54" i="11" s="1"/>
  <c r="AG92" i="1"/>
  <c r="AG106" i="1" s="1"/>
  <c r="AH92" i="1"/>
  <c r="AH106" i="1" s="1"/>
  <c r="AH54" i="11" s="1"/>
  <c r="AI92" i="1"/>
  <c r="AI106" i="1" s="1"/>
  <c r="AI54" i="11" s="1"/>
  <c r="AJ92" i="1"/>
  <c r="AJ106" i="1" s="1"/>
  <c r="AJ54" i="11" s="1"/>
  <c r="F92" i="1"/>
  <c r="F106" i="1" s="1"/>
  <c r="F54" i="11" s="1"/>
  <c r="E92" i="1"/>
  <c r="E106" i="1" s="1"/>
  <c r="E54" i="11" s="1"/>
  <c r="E52" i="12" s="1"/>
  <c r="D92" i="1"/>
  <c r="D106" i="1" s="1"/>
  <c r="D54" i="11" s="1"/>
  <c r="D52" i="12" s="1"/>
  <c r="C92" i="1"/>
  <c r="C106" i="1" s="1"/>
  <c r="C54" i="11" s="1"/>
  <c r="AN103" i="1"/>
  <c r="AX103" i="1" s="1"/>
  <c r="AL103" i="1"/>
  <c r="AK103" i="1"/>
  <c r="H103" i="1"/>
  <c r="AO103" i="1" s="1"/>
  <c r="AN102" i="1"/>
  <c r="AZ102" i="1" s="1"/>
  <c r="AL102" i="1"/>
  <c r="AK102" i="1"/>
  <c r="H102" i="1"/>
  <c r="K102" i="1" s="1"/>
  <c r="AN105" i="1"/>
  <c r="AZ105" i="1" s="1"/>
  <c r="AL105" i="1"/>
  <c r="AK105" i="1"/>
  <c r="H105" i="1"/>
  <c r="K105" i="1" s="1"/>
  <c r="K104" i="1" s="1"/>
  <c r="B91" i="1"/>
  <c r="B51" i="11" s="1"/>
  <c r="C49" i="12" s="1"/>
  <c r="G89" i="1"/>
  <c r="I89" i="1"/>
  <c r="J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F89" i="1"/>
  <c r="E89" i="1"/>
  <c r="D89" i="1"/>
  <c r="C89" i="1"/>
  <c r="G75" i="1"/>
  <c r="G91" i="1" s="1"/>
  <c r="G51" i="11" s="1"/>
  <c r="I75" i="1"/>
  <c r="I91" i="1" s="1"/>
  <c r="I51" i="11" s="1"/>
  <c r="J75" i="1"/>
  <c r="J91" i="1" s="1"/>
  <c r="J51" i="11" s="1"/>
  <c r="L75" i="1"/>
  <c r="L91" i="1" s="1"/>
  <c r="L51" i="11" s="1"/>
  <c r="M75" i="1"/>
  <c r="M91" i="1" s="1"/>
  <c r="M51" i="11" s="1"/>
  <c r="N75" i="1"/>
  <c r="N91" i="1" s="1"/>
  <c r="N51" i="11" s="1"/>
  <c r="O75" i="1"/>
  <c r="O91" i="1" s="1"/>
  <c r="O51" i="11" s="1"/>
  <c r="P75" i="1"/>
  <c r="P91" i="1" s="1"/>
  <c r="P51" i="11" s="1"/>
  <c r="Q75" i="1"/>
  <c r="R75" i="1"/>
  <c r="R91" i="1" s="1"/>
  <c r="R51" i="11" s="1"/>
  <c r="S75" i="1"/>
  <c r="S91" i="1" s="1"/>
  <c r="S51" i="11" s="1"/>
  <c r="T75" i="1"/>
  <c r="T91" i="1" s="1"/>
  <c r="T51" i="11" s="1"/>
  <c r="U75" i="1"/>
  <c r="U91" i="1" s="1"/>
  <c r="U51" i="11" s="1"/>
  <c r="V75" i="1"/>
  <c r="V91" i="1" s="1"/>
  <c r="V51" i="11" s="1"/>
  <c r="W75" i="1"/>
  <c r="W91" i="1" s="1"/>
  <c r="W51" i="11" s="1"/>
  <c r="X75" i="1"/>
  <c r="X91" i="1" s="1"/>
  <c r="X51" i="11" s="1"/>
  <c r="Y75" i="1"/>
  <c r="Y91" i="1" s="1"/>
  <c r="Y51" i="11" s="1"/>
  <c r="Z75" i="1"/>
  <c r="Z91" i="1" s="1"/>
  <c r="Z51" i="11" s="1"/>
  <c r="AA75" i="1"/>
  <c r="AA91" i="1" s="1"/>
  <c r="AA51" i="11" s="1"/>
  <c r="AB75" i="1"/>
  <c r="AB91" i="1" s="1"/>
  <c r="AB51" i="11" s="1"/>
  <c r="AC75" i="1"/>
  <c r="AC91" i="1" s="1"/>
  <c r="AC51" i="11" s="1"/>
  <c r="AD75" i="1"/>
  <c r="AD91" i="1" s="1"/>
  <c r="AD51" i="11" s="1"/>
  <c r="AE75" i="1"/>
  <c r="AE91" i="1" s="1"/>
  <c r="AE51" i="11" s="1"/>
  <c r="AF75" i="1"/>
  <c r="AF91" i="1" s="1"/>
  <c r="AF51" i="11" s="1"/>
  <c r="AG75" i="1"/>
  <c r="AH75" i="1"/>
  <c r="AH91" i="1" s="1"/>
  <c r="AH51" i="11" s="1"/>
  <c r="AI75" i="1"/>
  <c r="AI91" i="1" s="1"/>
  <c r="AI51" i="11" s="1"/>
  <c r="AJ75" i="1"/>
  <c r="AJ91" i="1" s="1"/>
  <c r="AJ51" i="11" s="1"/>
  <c r="F75" i="1"/>
  <c r="F91" i="1" s="1"/>
  <c r="F51" i="11" s="1"/>
  <c r="E75" i="1"/>
  <c r="E91" i="1" s="1"/>
  <c r="E51" i="11" s="1"/>
  <c r="E49" i="12" s="1"/>
  <c r="D75" i="1"/>
  <c r="D91" i="1" s="1"/>
  <c r="D51" i="11" s="1"/>
  <c r="D49" i="12" s="1"/>
  <c r="C75" i="1"/>
  <c r="C91" i="1" s="1"/>
  <c r="C51" i="11" s="1"/>
  <c r="AN88" i="1"/>
  <c r="AY88" i="1" s="1"/>
  <c r="AL88" i="1"/>
  <c r="AK88" i="1"/>
  <c r="H88" i="1"/>
  <c r="AO88" i="1" s="1"/>
  <c r="AN87" i="1"/>
  <c r="AW87" i="1" s="1"/>
  <c r="AL87" i="1"/>
  <c r="AK87" i="1"/>
  <c r="H87" i="1"/>
  <c r="AO87" i="1" s="1"/>
  <c r="AK42" i="109" l="1"/>
  <c r="AN42" i="109"/>
  <c r="R45" i="109"/>
  <c r="R55" i="11" s="1"/>
  <c r="AM59" i="11"/>
  <c r="AR59" i="11" s="1"/>
  <c r="AR57" i="11"/>
  <c r="AQ57" i="11"/>
  <c r="I57" i="12"/>
  <c r="AS57" i="11"/>
  <c r="J57" i="12"/>
  <c r="AA55" i="11"/>
  <c r="AA56" i="11" s="1"/>
  <c r="AZ42" i="109"/>
  <c r="AW42" i="109"/>
  <c r="AG55" i="11"/>
  <c r="AU42" i="109"/>
  <c r="AL45" i="109"/>
  <c r="Q55" i="11"/>
  <c r="AL55" i="11" s="1"/>
  <c r="AS121" i="1"/>
  <c r="AQ121" i="1"/>
  <c r="AL42" i="109"/>
  <c r="AM42" i="109" s="1"/>
  <c r="AY42" i="109"/>
  <c r="U45" i="109"/>
  <c r="AN38" i="109"/>
  <c r="AZ38" i="109" s="1"/>
  <c r="P45" i="109"/>
  <c r="AK38" i="109"/>
  <c r="AR121" i="1"/>
  <c r="AQ58" i="11"/>
  <c r="AS58" i="11"/>
  <c r="B54" i="11"/>
  <c r="C52" i="12" s="1"/>
  <c r="C54" i="12" s="1"/>
  <c r="AY59" i="11"/>
  <c r="AU59" i="11"/>
  <c r="K56" i="12"/>
  <c r="H57" i="12"/>
  <c r="K57" i="12" s="1"/>
  <c r="AR58" i="11"/>
  <c r="AZ59" i="11"/>
  <c r="AW59" i="11"/>
  <c r="AX59" i="11"/>
  <c r="AP59" i="11"/>
  <c r="AV59" i="11"/>
  <c r="AM105" i="1"/>
  <c r="AS105" i="1" s="1"/>
  <c r="AN92" i="1"/>
  <c r="AZ92" i="1" s="1"/>
  <c r="AN104" i="1"/>
  <c r="AZ104" i="1" s="1"/>
  <c r="AK104" i="1"/>
  <c r="AL104" i="1"/>
  <c r="Q54" i="11"/>
  <c r="AL106" i="1"/>
  <c r="AK106" i="1"/>
  <c r="P54" i="11"/>
  <c r="AG54" i="11"/>
  <c r="AL92" i="1"/>
  <c r="H104" i="1"/>
  <c r="R106" i="1"/>
  <c r="AL89" i="1"/>
  <c r="U106" i="1"/>
  <c r="AK92" i="1"/>
  <c r="AM103" i="1"/>
  <c r="AS103" i="1" s="1"/>
  <c r="AH53" i="11"/>
  <c r="AD53" i="11"/>
  <c r="Z53" i="11"/>
  <c r="V53" i="11"/>
  <c r="R53" i="11"/>
  <c r="N53" i="11"/>
  <c r="I53" i="11"/>
  <c r="AI56" i="11"/>
  <c r="AE56" i="11"/>
  <c r="W56" i="11"/>
  <c r="S56" i="11"/>
  <c r="O56" i="11"/>
  <c r="J56" i="11"/>
  <c r="E54" i="12"/>
  <c r="AC53" i="11"/>
  <c r="Y53" i="11"/>
  <c r="M53" i="11"/>
  <c r="G53" i="11"/>
  <c r="C53" i="11"/>
  <c r="AH56" i="11"/>
  <c r="AD56" i="11"/>
  <c r="Z56" i="11"/>
  <c r="V56" i="11"/>
  <c r="N56" i="11"/>
  <c r="I56" i="11"/>
  <c r="D54" i="12"/>
  <c r="F53" i="11"/>
  <c r="AC56" i="11"/>
  <c r="Y56" i="11"/>
  <c r="M56" i="11"/>
  <c r="G56" i="11"/>
  <c r="C56" i="11"/>
  <c r="J53" i="11"/>
  <c r="AJ56" i="11"/>
  <c r="AF56" i="11"/>
  <c r="AB56" i="11"/>
  <c r="X56" i="11"/>
  <c r="T56" i="11"/>
  <c r="L56" i="11"/>
  <c r="F56" i="11"/>
  <c r="AF53" i="11"/>
  <c r="AI53" i="11"/>
  <c r="AE53" i="11"/>
  <c r="AA53" i="11"/>
  <c r="W53" i="11"/>
  <c r="S53" i="11"/>
  <c r="AJ53" i="11"/>
  <c r="AB53" i="11"/>
  <c r="L53" i="11"/>
  <c r="D56" i="11"/>
  <c r="C51" i="12"/>
  <c r="E51" i="12"/>
  <c r="E56" i="11"/>
  <c r="B53" i="11"/>
  <c r="AY102" i="1"/>
  <c r="E53" i="11"/>
  <c r="AP102" i="1"/>
  <c r="AT102" i="1"/>
  <c r="AY103" i="1"/>
  <c r="AK51" i="11"/>
  <c r="D51" i="12"/>
  <c r="G52" i="12"/>
  <c r="G54" i="12" s="1"/>
  <c r="X53" i="11"/>
  <c r="T53" i="11"/>
  <c r="AX102" i="1"/>
  <c r="G49" i="12"/>
  <c r="D53" i="11"/>
  <c r="O53" i="11"/>
  <c r="AL52" i="11"/>
  <c r="AT42" i="109"/>
  <c r="AX42" i="109"/>
  <c r="AV42" i="109"/>
  <c r="AL41" i="109"/>
  <c r="AL38" i="109"/>
  <c r="AY38" i="109"/>
  <c r="U41" i="109"/>
  <c r="U52" i="11" s="1"/>
  <c r="U53" i="11" s="1"/>
  <c r="P41" i="109"/>
  <c r="AT38" i="109"/>
  <c r="AK89" i="1"/>
  <c r="AU102" i="1"/>
  <c r="AN89" i="1"/>
  <c r="AZ89" i="1" s="1"/>
  <c r="AO102" i="1"/>
  <c r="AW102" i="1"/>
  <c r="AU103" i="1"/>
  <c r="AK75" i="1"/>
  <c r="AL75" i="1"/>
  <c r="K103" i="1"/>
  <c r="AV103" i="1"/>
  <c r="AZ103" i="1"/>
  <c r="AM102" i="1"/>
  <c r="AR102" i="1" s="1"/>
  <c r="AW103" i="1"/>
  <c r="AV102" i="1"/>
  <c r="AP103" i="1"/>
  <c r="AT103" i="1"/>
  <c r="AK91" i="1"/>
  <c r="AN75" i="1"/>
  <c r="AZ75" i="1" s="1"/>
  <c r="AG91" i="1"/>
  <c r="AG51" i="11" s="1"/>
  <c r="AG53" i="11" s="1"/>
  <c r="Q91" i="1"/>
  <c r="AU105" i="1"/>
  <c r="AW105" i="1"/>
  <c r="AY105" i="1"/>
  <c r="AO105" i="1"/>
  <c r="AP105" i="1"/>
  <c r="AT105" i="1"/>
  <c r="AX105" i="1"/>
  <c r="AV105" i="1"/>
  <c r="AT87" i="1"/>
  <c r="AM88" i="1"/>
  <c r="AS88" i="1" s="1"/>
  <c r="AX87" i="1"/>
  <c r="AP87" i="1"/>
  <c r="AY87" i="1"/>
  <c r="AU87" i="1"/>
  <c r="K88" i="1"/>
  <c r="AV88" i="1"/>
  <c r="AZ88" i="1"/>
  <c r="AM87" i="1"/>
  <c r="AW88" i="1"/>
  <c r="K87" i="1"/>
  <c r="AV87" i="1"/>
  <c r="AZ87" i="1"/>
  <c r="AP88" i="1"/>
  <c r="AT88" i="1"/>
  <c r="AX88" i="1"/>
  <c r="AU88" i="1"/>
  <c r="AN90" i="1"/>
  <c r="AT90" i="1" s="1"/>
  <c r="AL90" i="1"/>
  <c r="AK90" i="1"/>
  <c r="H90" i="1"/>
  <c r="AN86" i="1"/>
  <c r="AV86" i="1" s="1"/>
  <c r="AL86" i="1"/>
  <c r="AK86" i="1"/>
  <c r="H86" i="1"/>
  <c r="AO86" i="1" s="1"/>
  <c r="AN85" i="1"/>
  <c r="AY85" i="1" s="1"/>
  <c r="AL85" i="1"/>
  <c r="AK85" i="1"/>
  <c r="H85" i="1"/>
  <c r="AN84" i="1"/>
  <c r="AL84" i="1"/>
  <c r="AK84" i="1"/>
  <c r="H84" i="1"/>
  <c r="K84" i="1" s="1"/>
  <c r="AN45" i="109" l="1"/>
  <c r="AX104" i="1"/>
  <c r="AM38" i="109"/>
  <c r="AN41" i="109"/>
  <c r="AZ41" i="109" s="1"/>
  <c r="AV104" i="1"/>
  <c r="AQ59" i="11"/>
  <c r="AS59" i="11"/>
  <c r="AG56" i="11"/>
  <c r="Q56" i="11"/>
  <c r="AL56" i="11" s="1"/>
  <c r="AZ45" i="109"/>
  <c r="AW45" i="109"/>
  <c r="AX45" i="109"/>
  <c r="AY45" i="109"/>
  <c r="AV45" i="109"/>
  <c r="AT45" i="109"/>
  <c r="AX41" i="109"/>
  <c r="AN52" i="11"/>
  <c r="AY52" i="11" s="1"/>
  <c r="AM106" i="1"/>
  <c r="AS106" i="1" s="1"/>
  <c r="AU38" i="109"/>
  <c r="U55" i="11"/>
  <c r="AN55" i="11" s="1"/>
  <c r="AY55" i="11" s="1"/>
  <c r="AU45" i="109"/>
  <c r="AV38" i="109"/>
  <c r="AK41" i="109"/>
  <c r="AM41" i="109" s="1"/>
  <c r="P52" i="11"/>
  <c r="AW38" i="109"/>
  <c r="AQ105" i="1"/>
  <c r="AR105" i="1"/>
  <c r="AX38" i="109"/>
  <c r="P55" i="11"/>
  <c r="AK55" i="11" s="1"/>
  <c r="AM55" i="11" s="1"/>
  <c r="AR55" i="11" s="1"/>
  <c r="AK45" i="109"/>
  <c r="B56" i="11"/>
  <c r="AK54" i="11"/>
  <c r="AL54" i="11"/>
  <c r="AY92" i="1"/>
  <c r="AX92" i="1"/>
  <c r="AP104" i="1"/>
  <c r="AM104" i="1"/>
  <c r="AS104" i="1" s="1"/>
  <c r="AW75" i="1"/>
  <c r="AV92" i="1"/>
  <c r="AU89" i="1"/>
  <c r="AT92" i="1"/>
  <c r="AU104" i="1"/>
  <c r="AT89" i="1"/>
  <c r="AY89" i="1"/>
  <c r="AW89" i="1"/>
  <c r="AT104" i="1"/>
  <c r="AU92" i="1"/>
  <c r="AM89" i="1"/>
  <c r="AQ89" i="1" s="1"/>
  <c r="AW92" i="1"/>
  <c r="AW104" i="1"/>
  <c r="AO104" i="1"/>
  <c r="AV89" i="1"/>
  <c r="AY104" i="1"/>
  <c r="AN51" i="11"/>
  <c r="AT51" i="11" s="1"/>
  <c r="AM92" i="1"/>
  <c r="AN91" i="1"/>
  <c r="AZ91" i="1" s="1"/>
  <c r="U54" i="11"/>
  <c r="AL91" i="1"/>
  <c r="AM91" i="1" s="1"/>
  <c r="AS91" i="1" s="1"/>
  <c r="Q51" i="11"/>
  <c r="AM75" i="1"/>
  <c r="AS75" i="1" s="1"/>
  <c r="AN106" i="1"/>
  <c r="R54" i="11"/>
  <c r="AQ103" i="1"/>
  <c r="AR103" i="1"/>
  <c r="AN53" i="11"/>
  <c r="AZ53" i="11" s="1"/>
  <c r="G51" i="12"/>
  <c r="AQ42" i="109"/>
  <c r="AS42" i="109"/>
  <c r="AR42" i="109"/>
  <c r="AV41" i="109"/>
  <c r="AQ38" i="109"/>
  <c r="AS38" i="109"/>
  <c r="AR38" i="109"/>
  <c r="AX89" i="1"/>
  <c r="AQ102" i="1"/>
  <c r="AS102" i="1"/>
  <c r="AV75" i="1"/>
  <c r="AX75" i="1"/>
  <c r="AY75" i="1"/>
  <c r="AT75" i="1"/>
  <c r="AU75" i="1"/>
  <c r="K90" i="1"/>
  <c r="K89" i="1" s="1"/>
  <c r="H89" i="1"/>
  <c r="AP86" i="1"/>
  <c r="AZ90" i="1"/>
  <c r="AR88" i="1"/>
  <c r="AV90" i="1"/>
  <c r="AQ88" i="1"/>
  <c r="AV85" i="1"/>
  <c r="AU90" i="1"/>
  <c r="AM90" i="1"/>
  <c r="AR90" i="1" s="1"/>
  <c r="AZ85" i="1"/>
  <c r="AY90" i="1"/>
  <c r="AR87" i="1"/>
  <c r="AQ87" i="1"/>
  <c r="AS87" i="1"/>
  <c r="AO84" i="1"/>
  <c r="AP85" i="1"/>
  <c r="AU85" i="1"/>
  <c r="AM86" i="1"/>
  <c r="AQ86" i="1" s="1"/>
  <c r="AX85" i="1"/>
  <c r="AT85" i="1"/>
  <c r="K86" i="1"/>
  <c r="AZ86" i="1"/>
  <c r="AM84" i="1"/>
  <c r="AR84" i="1" s="1"/>
  <c r="AM85" i="1"/>
  <c r="AR85" i="1" s="1"/>
  <c r="AW85" i="1"/>
  <c r="AW90" i="1"/>
  <c r="AO85" i="1"/>
  <c r="AO90" i="1"/>
  <c r="AP90" i="1"/>
  <c r="K85" i="1"/>
  <c r="AX90" i="1"/>
  <c r="AY86" i="1"/>
  <c r="AU86" i="1"/>
  <c r="AX86" i="1"/>
  <c r="AT86" i="1"/>
  <c r="AW86" i="1"/>
  <c r="AZ84" i="1"/>
  <c r="AV84" i="1"/>
  <c r="AP84" i="1"/>
  <c r="AY84" i="1"/>
  <c r="AU84" i="1"/>
  <c r="AX84" i="1"/>
  <c r="AT84" i="1"/>
  <c r="AW84" i="1"/>
  <c r="AW41" i="109" l="1"/>
  <c r="AQ41" i="109"/>
  <c r="AY41" i="109"/>
  <c r="AT41" i="109"/>
  <c r="AU41" i="109"/>
  <c r="AR104" i="1"/>
  <c r="AV91" i="1"/>
  <c r="AR106" i="1"/>
  <c r="AQ104" i="1"/>
  <c r="AX52" i="11"/>
  <c r="AZ52" i="11"/>
  <c r="H50" i="12"/>
  <c r="AV55" i="11"/>
  <c r="AZ55" i="11"/>
  <c r="U56" i="11"/>
  <c r="AT55" i="11"/>
  <c r="AX55" i="11"/>
  <c r="AT52" i="11"/>
  <c r="AW52" i="11"/>
  <c r="AU52" i="11"/>
  <c r="AV52" i="11"/>
  <c r="AU55" i="11"/>
  <c r="P56" i="11"/>
  <c r="AK56" i="11" s="1"/>
  <c r="AM56" i="11" s="1"/>
  <c r="AR56" i="11" s="1"/>
  <c r="AR41" i="109"/>
  <c r="AM45" i="109"/>
  <c r="AS41" i="109"/>
  <c r="P53" i="11"/>
  <c r="AK53" i="11" s="1"/>
  <c r="AK52" i="11"/>
  <c r="AM52" i="11" s="1"/>
  <c r="I50" i="12" s="1"/>
  <c r="H53" i="12"/>
  <c r="AW55" i="11"/>
  <c r="AS55" i="11"/>
  <c r="AQ55" i="11"/>
  <c r="AM54" i="11"/>
  <c r="I52" i="12" s="1"/>
  <c r="I53" i="12"/>
  <c r="AX91" i="1"/>
  <c r="AW91" i="1"/>
  <c r="AX51" i="11"/>
  <c r="AU51" i="11"/>
  <c r="AZ51" i="11"/>
  <c r="AT91" i="1"/>
  <c r="AS89" i="1"/>
  <c r="AR75" i="1"/>
  <c r="AQ75" i="1"/>
  <c r="AR89" i="1"/>
  <c r="AY91" i="1"/>
  <c r="AY51" i="11"/>
  <c r="R56" i="11"/>
  <c r="AN56" i="11" s="1"/>
  <c r="AU56" i="11" s="1"/>
  <c r="AN54" i="11"/>
  <c r="AS92" i="1"/>
  <c r="AQ92" i="1"/>
  <c r="AX106" i="1"/>
  <c r="AQ106" i="1"/>
  <c r="AW106" i="1"/>
  <c r="AV106" i="1"/>
  <c r="AZ106" i="1"/>
  <c r="AY106" i="1"/>
  <c r="AR92" i="1"/>
  <c r="AU91" i="1"/>
  <c r="AU106" i="1"/>
  <c r="H49" i="12"/>
  <c r="H51" i="12" s="1"/>
  <c r="AV51" i="11"/>
  <c r="AW51" i="11"/>
  <c r="Q53" i="11"/>
  <c r="AL53" i="11" s="1"/>
  <c r="AM53" i="11" s="1"/>
  <c r="AS53" i="11" s="1"/>
  <c r="AL51" i="11"/>
  <c r="AM51" i="11" s="1"/>
  <c r="AS51" i="11" s="1"/>
  <c r="AT106" i="1"/>
  <c r="AU53" i="11"/>
  <c r="AX53" i="11"/>
  <c r="AY53" i="11"/>
  <c r="AT53" i="11"/>
  <c r="AW53" i="11"/>
  <c r="AV53" i="11"/>
  <c r="AQ91" i="1"/>
  <c r="AR86" i="1"/>
  <c r="AR91" i="1"/>
  <c r="AS90" i="1"/>
  <c r="AS86" i="1"/>
  <c r="AO89" i="1"/>
  <c r="AP89" i="1"/>
  <c r="AQ90" i="1"/>
  <c r="AQ84" i="1"/>
  <c r="AS84" i="1"/>
  <c r="AQ85" i="1"/>
  <c r="AS85" i="1"/>
  <c r="AQ52" i="11" l="1"/>
  <c r="AR52" i="11"/>
  <c r="AS52" i="11"/>
  <c r="AQ45" i="109"/>
  <c r="AS45" i="109"/>
  <c r="AR45" i="109"/>
  <c r="AR54" i="11"/>
  <c r="I54" i="12"/>
  <c r="AS54" i="11"/>
  <c r="AQ54" i="11"/>
  <c r="AV56" i="11"/>
  <c r="AY56" i="11"/>
  <c r="AX56" i="11"/>
  <c r="AT56" i="11"/>
  <c r="AR51" i="11"/>
  <c r="I49" i="12"/>
  <c r="I51" i="12" s="1"/>
  <c r="AR53" i="11"/>
  <c r="AY54" i="11"/>
  <c r="AX54" i="11"/>
  <c r="AU54" i="11"/>
  <c r="H52" i="12"/>
  <c r="H54" i="12" s="1"/>
  <c r="AZ54" i="11"/>
  <c r="AV54" i="11"/>
  <c r="AW54" i="11"/>
  <c r="AQ51" i="11"/>
  <c r="AT54" i="11"/>
  <c r="AW56" i="11"/>
  <c r="AZ56" i="11"/>
  <c r="AQ53" i="11"/>
  <c r="AQ56" i="11"/>
  <c r="AS56" i="11"/>
  <c r="H44" i="109"/>
  <c r="K44" i="109" s="1"/>
  <c r="AK44" i="109"/>
  <c r="AL44" i="109"/>
  <c r="AN44" i="109"/>
  <c r="AW44" i="109" s="1"/>
  <c r="AN43" i="109"/>
  <c r="AZ43" i="109" s="1"/>
  <c r="AL43" i="109"/>
  <c r="AK43" i="109"/>
  <c r="H43" i="109"/>
  <c r="AN101" i="1"/>
  <c r="AY101" i="1" s="1"/>
  <c r="AL101" i="1"/>
  <c r="AK101" i="1"/>
  <c r="H101" i="1"/>
  <c r="K101" i="1" s="1"/>
  <c r="AN100" i="1"/>
  <c r="AV100" i="1" s="1"/>
  <c r="AL100" i="1"/>
  <c r="AK100" i="1"/>
  <c r="H100" i="1"/>
  <c r="AO100" i="1" s="1"/>
  <c r="AN99" i="1"/>
  <c r="AZ99" i="1" s="1"/>
  <c r="AL99" i="1"/>
  <c r="AK99" i="1"/>
  <c r="H99" i="1"/>
  <c r="K99" i="1" s="1"/>
  <c r="H98" i="1"/>
  <c r="AO98" i="1" s="1"/>
  <c r="H97" i="1"/>
  <c r="AO97" i="1" s="1"/>
  <c r="H96" i="1"/>
  <c r="AO96" i="1" s="1"/>
  <c r="H95" i="1"/>
  <c r="AO95" i="1" s="1"/>
  <c r="AK94" i="1"/>
  <c r="H94" i="1"/>
  <c r="K94" i="1" s="1"/>
  <c r="AL94" i="1"/>
  <c r="AN94" i="1"/>
  <c r="AV94" i="1" s="1"/>
  <c r="AK95" i="1"/>
  <c r="AL95" i="1"/>
  <c r="AN95" i="1"/>
  <c r="AK96" i="1"/>
  <c r="AL96" i="1"/>
  <c r="AN96" i="1"/>
  <c r="AW96" i="1" s="1"/>
  <c r="AK97" i="1"/>
  <c r="AL97" i="1"/>
  <c r="AN97" i="1"/>
  <c r="AK98" i="1"/>
  <c r="AL98" i="1"/>
  <c r="AN98" i="1"/>
  <c r="AW98" i="1" s="1"/>
  <c r="AN93" i="1"/>
  <c r="AX93" i="1" s="1"/>
  <c r="AL93" i="1"/>
  <c r="AK93" i="1"/>
  <c r="H93" i="1"/>
  <c r="AK77" i="1"/>
  <c r="AL77" i="1"/>
  <c r="AN77" i="1"/>
  <c r="AV77" i="1" s="1"/>
  <c r="AK78" i="1"/>
  <c r="AL78" i="1"/>
  <c r="AN78" i="1"/>
  <c r="AV78" i="1" s="1"/>
  <c r="AK79" i="1"/>
  <c r="AL79" i="1"/>
  <c r="AN79" i="1"/>
  <c r="AT79" i="1" s="1"/>
  <c r="AK80" i="1"/>
  <c r="AL80" i="1"/>
  <c r="AN80" i="1"/>
  <c r="AW80" i="1" s="1"/>
  <c r="AK81" i="1"/>
  <c r="AL81" i="1"/>
  <c r="AN81" i="1"/>
  <c r="AV81" i="1" s="1"/>
  <c r="AK82" i="1"/>
  <c r="AL82" i="1"/>
  <c r="AN82" i="1"/>
  <c r="AV82" i="1" s="1"/>
  <c r="AK83" i="1"/>
  <c r="AL83" i="1"/>
  <c r="AN83" i="1"/>
  <c r="AT83" i="1" s="1"/>
  <c r="AN76" i="1"/>
  <c r="AZ76" i="1" s="1"/>
  <c r="AL76" i="1"/>
  <c r="AK76" i="1"/>
  <c r="H77" i="1"/>
  <c r="AO77" i="1" s="1"/>
  <c r="H78" i="1"/>
  <c r="AO78" i="1" s="1"/>
  <c r="H79" i="1"/>
  <c r="AO79" i="1" s="1"/>
  <c r="H80" i="1"/>
  <c r="H81" i="1"/>
  <c r="H82" i="1"/>
  <c r="AO82" i="1" s="1"/>
  <c r="H83" i="1"/>
  <c r="AO83" i="1" s="1"/>
  <c r="H76" i="1"/>
  <c r="AO44" i="109" l="1"/>
  <c r="K43" i="109"/>
  <c r="K42" i="109" s="1"/>
  <c r="K45" i="109" s="1"/>
  <c r="K55" i="11" s="1"/>
  <c r="F53" i="12" s="1"/>
  <c r="H42" i="109"/>
  <c r="AO93" i="1"/>
  <c r="H92" i="1"/>
  <c r="AW43" i="109"/>
  <c r="AY43" i="109"/>
  <c r="AU43" i="109"/>
  <c r="AO43" i="109"/>
  <c r="AM93" i="1"/>
  <c r="AS93" i="1" s="1"/>
  <c r="AM101" i="1"/>
  <c r="AR101" i="1" s="1"/>
  <c r="K76" i="1"/>
  <c r="H75" i="1"/>
  <c r="AT96" i="1"/>
  <c r="AM99" i="1"/>
  <c r="AR99" i="1" s="1"/>
  <c r="AV93" i="1"/>
  <c r="AV99" i="1"/>
  <c r="AY93" i="1"/>
  <c r="AZ93" i="1"/>
  <c r="AY76" i="1"/>
  <c r="AU93" i="1"/>
  <c r="AZ96" i="1"/>
  <c r="AT81" i="1"/>
  <c r="AT80" i="1"/>
  <c r="AO101" i="1"/>
  <c r="AP101" i="1"/>
  <c r="AP97" i="1"/>
  <c r="K100" i="1"/>
  <c r="AT77" i="1"/>
  <c r="AO99" i="1"/>
  <c r="AX44" i="109"/>
  <c r="AV44" i="109"/>
  <c r="AT44" i="109"/>
  <c r="AZ44" i="109"/>
  <c r="AP44" i="109"/>
  <c r="AM44" i="109"/>
  <c r="AR44" i="109" s="1"/>
  <c r="AY44" i="109"/>
  <c r="AU44" i="109"/>
  <c r="AP43" i="109"/>
  <c r="AT43" i="109"/>
  <c r="AX43" i="109"/>
  <c r="AM43" i="109"/>
  <c r="AV43" i="109"/>
  <c r="AP94" i="1"/>
  <c r="AP99" i="1"/>
  <c r="AZ100" i="1"/>
  <c r="AU100" i="1"/>
  <c r="AV101" i="1"/>
  <c r="AY100" i="1"/>
  <c r="AT100" i="1"/>
  <c r="AU101" i="1"/>
  <c r="AM100" i="1"/>
  <c r="AR100" i="1" s="1"/>
  <c r="AX100" i="1"/>
  <c r="AP100" i="1"/>
  <c r="AZ101" i="1"/>
  <c r="AX101" i="1"/>
  <c r="AT101" i="1"/>
  <c r="AW101" i="1"/>
  <c r="AW100" i="1"/>
  <c r="AY99" i="1"/>
  <c r="AU99" i="1"/>
  <c r="AX99" i="1"/>
  <c r="AT99" i="1"/>
  <c r="AW99" i="1"/>
  <c r="K96" i="1"/>
  <c r="AO94" i="1"/>
  <c r="AV96" i="1"/>
  <c r="AP95" i="1"/>
  <c r="K98" i="1"/>
  <c r="K93" i="1"/>
  <c r="AP96" i="1"/>
  <c r="K95" i="1"/>
  <c r="K97" i="1"/>
  <c r="AT98" i="1"/>
  <c r="AP98" i="1"/>
  <c r="AZ98" i="1"/>
  <c r="AV98" i="1"/>
  <c r="AX98" i="1"/>
  <c r="AM98" i="1"/>
  <c r="AR98" i="1" s="1"/>
  <c r="AW97" i="1"/>
  <c r="AM97" i="1"/>
  <c r="AR97" i="1" s="1"/>
  <c r="AZ97" i="1"/>
  <c r="AT97" i="1"/>
  <c r="AV97" i="1"/>
  <c r="AX97" i="1"/>
  <c r="AX96" i="1"/>
  <c r="AM96" i="1"/>
  <c r="AR96" i="1" s="1"/>
  <c r="AZ95" i="1"/>
  <c r="AT95" i="1"/>
  <c r="AW95" i="1"/>
  <c r="AV95" i="1"/>
  <c r="AX95" i="1"/>
  <c r="AM95" i="1"/>
  <c r="AR95" i="1" s="1"/>
  <c r="AT94" i="1"/>
  <c r="AZ94" i="1"/>
  <c r="AX94" i="1"/>
  <c r="AW94" i="1"/>
  <c r="AM94" i="1"/>
  <c r="AR94" i="1" s="1"/>
  <c r="AY98" i="1"/>
  <c r="AU98" i="1"/>
  <c r="AY97" i="1"/>
  <c r="AU97" i="1"/>
  <c r="AY96" i="1"/>
  <c r="AU96" i="1"/>
  <c r="AY95" i="1"/>
  <c r="AU95" i="1"/>
  <c r="AY94" i="1"/>
  <c r="AU94" i="1"/>
  <c r="AW93" i="1"/>
  <c r="AP93" i="1"/>
  <c r="AT93" i="1"/>
  <c r="AU76" i="1"/>
  <c r="AZ77" i="1"/>
  <c r="AP80" i="1"/>
  <c r="AW76" i="1"/>
  <c r="AZ81" i="1"/>
  <c r="AX77" i="1"/>
  <c r="AO76" i="1"/>
  <c r="AM83" i="1"/>
  <c r="AS83" i="1" s="1"/>
  <c r="AX83" i="1"/>
  <c r="AV83" i="1"/>
  <c r="AW83" i="1"/>
  <c r="AZ83" i="1"/>
  <c r="AP83" i="1"/>
  <c r="K83" i="1"/>
  <c r="AP82" i="1"/>
  <c r="AX82" i="1"/>
  <c r="AT82" i="1"/>
  <c r="AW82" i="1"/>
  <c r="AZ82" i="1"/>
  <c r="AM82" i="1"/>
  <c r="AS82" i="1" s="1"/>
  <c r="K82" i="1"/>
  <c r="AP81" i="1"/>
  <c r="AW81" i="1"/>
  <c r="AX81" i="1"/>
  <c r="AM81" i="1"/>
  <c r="AS81" i="1" s="1"/>
  <c r="K81" i="1"/>
  <c r="AO81" i="1"/>
  <c r="AX80" i="1"/>
  <c r="AZ80" i="1"/>
  <c r="AV80" i="1"/>
  <c r="AM80" i="1"/>
  <c r="AS80" i="1" s="1"/>
  <c r="K80" i="1"/>
  <c r="AO80" i="1"/>
  <c r="AM79" i="1"/>
  <c r="AS79" i="1" s="1"/>
  <c r="AX79" i="1"/>
  <c r="AW79" i="1"/>
  <c r="AV79" i="1"/>
  <c r="AZ79" i="1"/>
  <c r="K79" i="1"/>
  <c r="AP79" i="1"/>
  <c r="AT78" i="1"/>
  <c r="AZ78" i="1"/>
  <c r="AX78" i="1"/>
  <c r="AW78" i="1"/>
  <c r="AM78" i="1"/>
  <c r="AS78" i="1" s="1"/>
  <c r="K78" i="1"/>
  <c r="AP78" i="1"/>
  <c r="AW77" i="1"/>
  <c r="AM77" i="1"/>
  <c r="AS77" i="1" s="1"/>
  <c r="AP77" i="1"/>
  <c r="K77" i="1"/>
  <c r="AY83" i="1"/>
  <c r="AU83" i="1"/>
  <c r="AY82" i="1"/>
  <c r="AU82" i="1"/>
  <c r="AY81" i="1"/>
  <c r="AU81" i="1"/>
  <c r="AY80" i="1"/>
  <c r="AU80" i="1"/>
  <c r="AY79" i="1"/>
  <c r="AU79" i="1"/>
  <c r="AY78" i="1"/>
  <c r="AU78" i="1"/>
  <c r="AY77" i="1"/>
  <c r="AU77" i="1"/>
  <c r="AP76" i="1"/>
  <c r="AT76" i="1"/>
  <c r="AX76" i="1"/>
  <c r="AM76" i="1"/>
  <c r="AV76" i="1"/>
  <c r="AK40" i="109"/>
  <c r="AL40" i="109"/>
  <c r="AN40" i="109"/>
  <c r="AV40" i="109" s="1"/>
  <c r="AN39" i="109"/>
  <c r="AZ39" i="109" s="1"/>
  <c r="AL39" i="109"/>
  <c r="AK39" i="109"/>
  <c r="H40" i="109"/>
  <c r="K40" i="109" s="1"/>
  <c r="H39" i="109"/>
  <c r="AW39" i="109" l="1"/>
  <c r="AY39" i="109"/>
  <c r="H45" i="109"/>
  <c r="AO42" i="109"/>
  <c r="AP42" i="109"/>
  <c r="J53" i="12"/>
  <c r="K53" i="12"/>
  <c r="AS101" i="1"/>
  <c r="AQ101" i="1"/>
  <c r="K92" i="1"/>
  <c r="K106" i="1" s="1"/>
  <c r="K54" i="11" s="1"/>
  <c r="AQ99" i="1"/>
  <c r="H106" i="1"/>
  <c r="AO92" i="1"/>
  <c r="AP92" i="1"/>
  <c r="AU39" i="109"/>
  <c r="AO39" i="109"/>
  <c r="H38" i="109"/>
  <c r="K39" i="109"/>
  <c r="K38" i="109" s="1"/>
  <c r="K41" i="109" s="1"/>
  <c r="K52" i="11" s="1"/>
  <c r="AR93" i="1"/>
  <c r="AQ93" i="1"/>
  <c r="H91" i="1"/>
  <c r="H51" i="11" s="1"/>
  <c r="AO75" i="1"/>
  <c r="AP75" i="1"/>
  <c r="K75" i="1"/>
  <c r="K91" i="1" s="1"/>
  <c r="K51" i="11" s="1"/>
  <c r="AS99" i="1"/>
  <c r="AQ100" i="1"/>
  <c r="AS97" i="1"/>
  <c r="AQ44" i="109"/>
  <c r="AS44" i="109"/>
  <c r="AQ43" i="109"/>
  <c r="AS43" i="109"/>
  <c r="AR43" i="109"/>
  <c r="AS100" i="1"/>
  <c r="AQ97" i="1"/>
  <c r="AQ98" i="1"/>
  <c r="AS98" i="1"/>
  <c r="AQ96" i="1"/>
  <c r="AS96" i="1"/>
  <c r="AS95" i="1"/>
  <c r="AQ95" i="1"/>
  <c r="AQ94" i="1"/>
  <c r="AS94" i="1"/>
  <c r="AQ77" i="1"/>
  <c r="AQ82" i="1"/>
  <c r="AR77" i="1"/>
  <c r="AQ83" i="1"/>
  <c r="AR83" i="1"/>
  <c r="AR82" i="1"/>
  <c r="AR81" i="1"/>
  <c r="AQ81" i="1"/>
  <c r="AR80" i="1"/>
  <c r="AQ80" i="1"/>
  <c r="AQ79" i="1"/>
  <c r="AR79" i="1"/>
  <c r="AR78" i="1"/>
  <c r="AQ78" i="1"/>
  <c r="AQ76" i="1"/>
  <c r="AS76" i="1"/>
  <c r="AR76" i="1"/>
  <c r="AT40" i="109"/>
  <c r="AZ40" i="109"/>
  <c r="AP40" i="109"/>
  <c r="AX40" i="109"/>
  <c r="AW40" i="109"/>
  <c r="AM40" i="109"/>
  <c r="AR40" i="109" s="1"/>
  <c r="AO40" i="109"/>
  <c r="AY40" i="109"/>
  <c r="AU40" i="109"/>
  <c r="AP39" i="109"/>
  <c r="AT39" i="109"/>
  <c r="AX39" i="109"/>
  <c r="AM39" i="109"/>
  <c r="AV39" i="109"/>
  <c r="K53" i="11" l="1"/>
  <c r="H55" i="11"/>
  <c r="AO45" i="109"/>
  <c r="AP45" i="109"/>
  <c r="F49" i="12"/>
  <c r="AO51" i="11"/>
  <c r="AP51" i="11"/>
  <c r="H54" i="11"/>
  <c r="AO106" i="1"/>
  <c r="AP106" i="1"/>
  <c r="F52" i="12"/>
  <c r="K56" i="11"/>
  <c r="H41" i="109"/>
  <c r="H52" i="11" s="1"/>
  <c r="AO38" i="109"/>
  <c r="AP38" i="109"/>
  <c r="AO91" i="1"/>
  <c r="AP91" i="1"/>
  <c r="AS40" i="109"/>
  <c r="AQ40" i="109"/>
  <c r="AQ39" i="109"/>
  <c r="AS39" i="109"/>
  <c r="AR39" i="109"/>
  <c r="B48" i="11"/>
  <c r="E27" i="7"/>
  <c r="D27" i="7"/>
  <c r="B27" i="7"/>
  <c r="G24" i="7"/>
  <c r="G27" i="7" s="1"/>
  <c r="G49" i="11" s="1"/>
  <c r="I24" i="7"/>
  <c r="I27" i="7" s="1"/>
  <c r="I49" i="11" s="1"/>
  <c r="J24" i="7"/>
  <c r="J27" i="7" s="1"/>
  <c r="J49" i="11" s="1"/>
  <c r="L24" i="7"/>
  <c r="L27" i="7" s="1"/>
  <c r="L49" i="11" s="1"/>
  <c r="M24" i="7"/>
  <c r="M27" i="7" s="1"/>
  <c r="M49" i="11" s="1"/>
  <c r="N24" i="7"/>
  <c r="N27" i="7" s="1"/>
  <c r="N49" i="11" s="1"/>
  <c r="O24" i="7"/>
  <c r="O27" i="7" s="1"/>
  <c r="O49" i="11" s="1"/>
  <c r="G47" i="12" s="1"/>
  <c r="P24" i="7"/>
  <c r="Q24" i="7"/>
  <c r="Q27" i="7" s="1"/>
  <c r="Q49" i="11" s="1"/>
  <c r="R24" i="7"/>
  <c r="S24" i="7"/>
  <c r="S27" i="7" s="1"/>
  <c r="S49" i="11" s="1"/>
  <c r="T24" i="7"/>
  <c r="T27" i="7" s="1"/>
  <c r="T49" i="11" s="1"/>
  <c r="U24" i="7"/>
  <c r="U27" i="7" s="1"/>
  <c r="U49" i="11" s="1"/>
  <c r="V24" i="7"/>
  <c r="V27" i="7" s="1"/>
  <c r="V49" i="11" s="1"/>
  <c r="W24" i="7"/>
  <c r="W27" i="7" s="1"/>
  <c r="W49" i="11" s="1"/>
  <c r="X24" i="7"/>
  <c r="X27" i="7" s="1"/>
  <c r="X49" i="11" s="1"/>
  <c r="Y24" i="7"/>
  <c r="Y27" i="7" s="1"/>
  <c r="Y49" i="11" s="1"/>
  <c r="Z24" i="7"/>
  <c r="Z27" i="7" s="1"/>
  <c r="Z49" i="11" s="1"/>
  <c r="AA24" i="7"/>
  <c r="AA27" i="7" s="1"/>
  <c r="AA49" i="11" s="1"/>
  <c r="AB24" i="7"/>
  <c r="AB27" i="7" s="1"/>
  <c r="AB49" i="11" s="1"/>
  <c r="AC24" i="7"/>
  <c r="AC27" i="7" s="1"/>
  <c r="AC49" i="11" s="1"/>
  <c r="AD24" i="7"/>
  <c r="AD27" i="7" s="1"/>
  <c r="AD49" i="11" s="1"/>
  <c r="AE24" i="7"/>
  <c r="AE27" i="7" s="1"/>
  <c r="AE49" i="11" s="1"/>
  <c r="AF24" i="7"/>
  <c r="AF27" i="7" s="1"/>
  <c r="AF49" i="11" s="1"/>
  <c r="AG24" i="7"/>
  <c r="AG27" i="7" s="1"/>
  <c r="AH24" i="7"/>
  <c r="AH27" i="7" s="1"/>
  <c r="AH49" i="11" s="1"/>
  <c r="AI24" i="7"/>
  <c r="AI27" i="7" s="1"/>
  <c r="AI49" i="11" s="1"/>
  <c r="AJ24" i="7"/>
  <c r="AJ27" i="7" s="1"/>
  <c r="AJ49" i="11" s="1"/>
  <c r="F24" i="7"/>
  <c r="F27" i="7" s="1"/>
  <c r="F49" i="11" s="1"/>
  <c r="E24" i="7"/>
  <c r="D24" i="7"/>
  <c r="C24" i="7"/>
  <c r="C27" i="7" s="1"/>
  <c r="C49" i="11" s="1"/>
  <c r="D18" i="107"/>
  <c r="B74" i="1"/>
  <c r="B47" i="11" s="1"/>
  <c r="C45" i="12" s="1"/>
  <c r="G71" i="1"/>
  <c r="G74" i="1" s="1"/>
  <c r="G47" i="11" s="1"/>
  <c r="I71" i="1"/>
  <c r="I74" i="1" s="1"/>
  <c r="I47" i="11" s="1"/>
  <c r="J71" i="1"/>
  <c r="J74" i="1" s="1"/>
  <c r="J47" i="11" s="1"/>
  <c r="L71" i="1"/>
  <c r="L74" i="1" s="1"/>
  <c r="L47" i="11" s="1"/>
  <c r="M71" i="1"/>
  <c r="M74" i="1" s="1"/>
  <c r="M47" i="11" s="1"/>
  <c r="N71" i="1"/>
  <c r="N74" i="1" s="1"/>
  <c r="N47" i="11" s="1"/>
  <c r="O71" i="1"/>
  <c r="O74" i="1" s="1"/>
  <c r="O47" i="11" s="1"/>
  <c r="G45" i="12" s="1"/>
  <c r="P71" i="1"/>
  <c r="P74" i="1" s="1"/>
  <c r="P47" i="11" s="1"/>
  <c r="Q71" i="1"/>
  <c r="Q74" i="1" s="1"/>
  <c r="Q47" i="11" s="1"/>
  <c r="R71" i="1"/>
  <c r="R74" i="1" s="1"/>
  <c r="S71" i="1"/>
  <c r="S74" i="1" s="1"/>
  <c r="T71" i="1"/>
  <c r="T74" i="1" s="1"/>
  <c r="T47" i="11" s="1"/>
  <c r="U71" i="1"/>
  <c r="U74" i="1" s="1"/>
  <c r="U47" i="11" s="1"/>
  <c r="V71" i="1"/>
  <c r="V74" i="1" s="1"/>
  <c r="V47" i="11" s="1"/>
  <c r="W71" i="1"/>
  <c r="X71" i="1"/>
  <c r="X74" i="1" s="1"/>
  <c r="X47" i="11" s="1"/>
  <c r="Y71" i="1"/>
  <c r="Y74" i="1" s="1"/>
  <c r="Y47" i="11" s="1"/>
  <c r="Z71" i="1"/>
  <c r="Z74" i="1" s="1"/>
  <c r="Z47" i="11" s="1"/>
  <c r="AA71" i="1"/>
  <c r="AB71" i="1"/>
  <c r="AB74" i="1" s="1"/>
  <c r="AB47" i="11" s="1"/>
  <c r="AC71" i="1"/>
  <c r="AC74" i="1" s="1"/>
  <c r="AC47" i="11" s="1"/>
  <c r="AD71" i="1"/>
  <c r="AD74" i="1" s="1"/>
  <c r="AE71" i="1"/>
  <c r="AE74" i="1" s="1"/>
  <c r="AE47" i="11" s="1"/>
  <c r="AF71" i="1"/>
  <c r="AF74" i="1" s="1"/>
  <c r="AF47" i="11" s="1"/>
  <c r="AG71" i="1"/>
  <c r="AG74" i="1" s="1"/>
  <c r="AG47" i="11" s="1"/>
  <c r="AH71" i="1"/>
  <c r="AH74" i="1" s="1"/>
  <c r="AH47" i="11" s="1"/>
  <c r="AI71" i="1"/>
  <c r="AI74" i="1" s="1"/>
  <c r="AI47" i="11" s="1"/>
  <c r="AJ71" i="1"/>
  <c r="AJ74" i="1" s="1"/>
  <c r="AJ47" i="11" s="1"/>
  <c r="F71" i="1"/>
  <c r="F74" i="1" s="1"/>
  <c r="F47" i="11" s="1"/>
  <c r="E71" i="1"/>
  <c r="D71" i="1"/>
  <c r="C71" i="1"/>
  <c r="C74" i="1" s="1"/>
  <c r="C47" i="11" s="1"/>
  <c r="E74" i="1"/>
  <c r="E47" i="11" s="1"/>
  <c r="E45" i="12" s="1"/>
  <c r="D74" i="1"/>
  <c r="D47" i="11" s="1"/>
  <c r="D45" i="12" s="1"/>
  <c r="G37" i="109"/>
  <c r="G48" i="11" s="1"/>
  <c r="I37" i="109"/>
  <c r="I48" i="11" s="1"/>
  <c r="J37" i="109"/>
  <c r="J48" i="11" s="1"/>
  <c r="L37" i="109"/>
  <c r="L48" i="11" s="1"/>
  <c r="M37" i="109"/>
  <c r="M48" i="11" s="1"/>
  <c r="N37" i="109"/>
  <c r="N48" i="11" s="1"/>
  <c r="O37" i="109"/>
  <c r="O48" i="11" s="1"/>
  <c r="G46" i="12" s="1"/>
  <c r="P37" i="109"/>
  <c r="Q37" i="109"/>
  <c r="Q48" i="11" s="1"/>
  <c r="R37" i="109"/>
  <c r="R48" i="11" s="1"/>
  <c r="S37" i="109"/>
  <c r="S48" i="11" s="1"/>
  <c r="T37" i="109"/>
  <c r="T48" i="11" s="1"/>
  <c r="U37" i="109"/>
  <c r="U48" i="11" s="1"/>
  <c r="V37" i="109"/>
  <c r="V48" i="11" s="1"/>
  <c r="W37" i="109"/>
  <c r="W48" i="11" s="1"/>
  <c r="X37" i="109"/>
  <c r="X48" i="11" s="1"/>
  <c r="Y37" i="109"/>
  <c r="Y48" i="11" s="1"/>
  <c r="Z37" i="109"/>
  <c r="Z48" i="11" s="1"/>
  <c r="AA37" i="109"/>
  <c r="AA48" i="11" s="1"/>
  <c r="AB37" i="109"/>
  <c r="AB48" i="11" s="1"/>
  <c r="AC37" i="109"/>
  <c r="AC48" i="11" s="1"/>
  <c r="AD37" i="109"/>
  <c r="AD48" i="11" s="1"/>
  <c r="AE37" i="109"/>
  <c r="AE48" i="11" s="1"/>
  <c r="AF37" i="109"/>
  <c r="AF48" i="11" s="1"/>
  <c r="AG37" i="109"/>
  <c r="AG48" i="11" s="1"/>
  <c r="AH37" i="109"/>
  <c r="AH48" i="11" s="1"/>
  <c r="AI37" i="109"/>
  <c r="AI48" i="11" s="1"/>
  <c r="AJ37" i="109"/>
  <c r="AJ48" i="11" s="1"/>
  <c r="F37" i="109"/>
  <c r="F48" i="11" s="1"/>
  <c r="E37" i="109"/>
  <c r="E48" i="11" s="1"/>
  <c r="E46" i="12" s="1"/>
  <c r="D37" i="109"/>
  <c r="D48" i="11" s="1"/>
  <c r="B49" i="11" l="1"/>
  <c r="C47" i="12" s="1"/>
  <c r="D49" i="11"/>
  <c r="D47" i="12" s="1"/>
  <c r="E49" i="11"/>
  <c r="E47" i="12" s="1"/>
  <c r="E48" i="12" s="1"/>
  <c r="AG49" i="11"/>
  <c r="AG50" i="11" s="1"/>
  <c r="R27" i="7"/>
  <c r="AN24" i="7"/>
  <c r="AX24" i="7" s="1"/>
  <c r="P27" i="7"/>
  <c r="AK24" i="7"/>
  <c r="AL24" i="7"/>
  <c r="AL27" i="7"/>
  <c r="F50" i="12"/>
  <c r="F51" i="12" s="1"/>
  <c r="AO52" i="11"/>
  <c r="AP52" i="11"/>
  <c r="H53" i="11"/>
  <c r="AP53" i="11" s="1"/>
  <c r="AO55" i="11"/>
  <c r="AP55" i="11"/>
  <c r="J49" i="12"/>
  <c r="K49" i="12"/>
  <c r="J52" i="12"/>
  <c r="F54" i="12"/>
  <c r="K52" i="12"/>
  <c r="H56" i="11"/>
  <c r="AO54" i="11"/>
  <c r="AP54" i="11"/>
  <c r="AK37" i="109"/>
  <c r="AN37" i="109"/>
  <c r="AN48" i="11" s="1"/>
  <c r="H46" i="12" s="1"/>
  <c r="AO41" i="109"/>
  <c r="AP41" i="109"/>
  <c r="AK48" i="11"/>
  <c r="P48" i="11"/>
  <c r="AK71" i="1"/>
  <c r="AL71" i="1"/>
  <c r="AK74" i="1"/>
  <c r="AK47" i="11" s="1"/>
  <c r="S47" i="11"/>
  <c r="S50" i="11" s="1"/>
  <c r="R47" i="11"/>
  <c r="AD47" i="11"/>
  <c r="AD50" i="11" s="1"/>
  <c r="AN71" i="1"/>
  <c r="AT71" i="1" s="1"/>
  <c r="AA74" i="1"/>
  <c r="AN74" i="1" s="1"/>
  <c r="W74" i="1"/>
  <c r="G50" i="11"/>
  <c r="AI50" i="11"/>
  <c r="AE50" i="11"/>
  <c r="J50" i="11"/>
  <c r="AH50" i="11"/>
  <c r="Z50" i="11"/>
  <c r="V50" i="11"/>
  <c r="N50" i="11"/>
  <c r="I50" i="11"/>
  <c r="F50" i="11"/>
  <c r="AC50" i="11"/>
  <c r="Y50" i="11"/>
  <c r="Q50" i="11"/>
  <c r="M50" i="11"/>
  <c r="AJ50" i="11"/>
  <c r="AF50" i="11"/>
  <c r="AB50" i="11"/>
  <c r="X50" i="11"/>
  <c r="T50" i="11"/>
  <c r="L50" i="11"/>
  <c r="D46" i="12"/>
  <c r="O50" i="11"/>
  <c r="G48" i="12"/>
  <c r="C46" i="12"/>
  <c r="U50" i="11"/>
  <c r="AV71" i="1"/>
  <c r="H73" i="1"/>
  <c r="K73" i="1" s="1"/>
  <c r="AK73" i="1"/>
  <c r="AL73" i="1"/>
  <c r="AN73" i="1"/>
  <c r="AT73" i="1" s="1"/>
  <c r="AN72" i="1"/>
  <c r="AZ72" i="1" s="1"/>
  <c r="AL72" i="1"/>
  <c r="AK72" i="1"/>
  <c r="H72" i="1"/>
  <c r="AT24" i="7" l="1"/>
  <c r="AY24" i="7"/>
  <c r="AM24" i="7"/>
  <c r="AS24" i="7" s="1"/>
  <c r="C48" i="12"/>
  <c r="E50" i="11"/>
  <c r="D50" i="11"/>
  <c r="D48" i="12"/>
  <c r="B50" i="11"/>
  <c r="AV24" i="7"/>
  <c r="AU24" i="7"/>
  <c r="AK27" i="7"/>
  <c r="P49" i="11"/>
  <c r="P50" i="11" s="1"/>
  <c r="AK50" i="11" s="1"/>
  <c r="AN27" i="7"/>
  <c r="AT27" i="7" s="1"/>
  <c r="R49" i="11"/>
  <c r="R50" i="11" s="1"/>
  <c r="AL49" i="11"/>
  <c r="AZ24" i="7"/>
  <c r="AW24" i="7"/>
  <c r="AO53" i="11"/>
  <c r="J50" i="12"/>
  <c r="K50" i="12"/>
  <c r="J54" i="12"/>
  <c r="K54" i="12"/>
  <c r="AO56" i="11"/>
  <c r="AP56" i="11"/>
  <c r="K51" i="12"/>
  <c r="J51" i="12"/>
  <c r="AQ24" i="7"/>
  <c r="AX48" i="11"/>
  <c r="AZ48" i="11"/>
  <c r="AU48" i="11"/>
  <c r="AY48" i="11"/>
  <c r="AT48" i="11"/>
  <c r="AV48" i="11"/>
  <c r="AW48" i="11"/>
  <c r="AM71" i="1"/>
  <c r="AS71" i="1" s="1"/>
  <c r="AZ73" i="1"/>
  <c r="AN47" i="11"/>
  <c r="AX74" i="1"/>
  <c r="AZ74" i="1"/>
  <c r="AY74" i="1"/>
  <c r="AV74" i="1"/>
  <c r="AT74" i="1"/>
  <c r="AU74" i="1"/>
  <c r="AZ71" i="1"/>
  <c r="AY71" i="1"/>
  <c r="AU71" i="1"/>
  <c r="AW71" i="1"/>
  <c r="AX71" i="1"/>
  <c r="AL74" i="1"/>
  <c r="W47" i="11"/>
  <c r="W50" i="11" s="1"/>
  <c r="AL50" i="11" s="1"/>
  <c r="AW74" i="1"/>
  <c r="AA47" i="11"/>
  <c r="AO73" i="1"/>
  <c r="H71" i="1"/>
  <c r="H74" i="1" s="1"/>
  <c r="H47" i="11" s="1"/>
  <c r="AO72" i="1"/>
  <c r="AV73" i="1"/>
  <c r="AP73" i="1"/>
  <c r="AX73" i="1"/>
  <c r="AM73" i="1"/>
  <c r="AR73" i="1" s="1"/>
  <c r="AY72" i="1"/>
  <c r="AU72" i="1"/>
  <c r="AW72" i="1"/>
  <c r="K72" i="1"/>
  <c r="K71" i="1" s="1"/>
  <c r="K74" i="1" s="1"/>
  <c r="K47" i="11" s="1"/>
  <c r="AY73" i="1"/>
  <c r="AW73" i="1"/>
  <c r="AU73" i="1"/>
  <c r="AS73" i="1"/>
  <c r="AM72" i="1"/>
  <c r="AP72" i="1"/>
  <c r="AT72" i="1"/>
  <c r="AV72" i="1"/>
  <c r="AX72" i="1"/>
  <c r="H26" i="7"/>
  <c r="H25" i="7"/>
  <c r="AK26" i="7"/>
  <c r="AL26" i="7"/>
  <c r="AN26" i="7"/>
  <c r="AN25" i="7"/>
  <c r="AZ25" i="7" s="1"/>
  <c r="AL25" i="7"/>
  <c r="AK25" i="7"/>
  <c r="H36" i="109"/>
  <c r="AK36" i="109"/>
  <c r="AL36" i="109"/>
  <c r="AN36" i="109"/>
  <c r="AR24" i="7" l="1"/>
  <c r="AO26" i="7"/>
  <c r="AX27" i="7"/>
  <c r="AN49" i="11"/>
  <c r="AT49" i="11" s="1"/>
  <c r="AU27" i="7"/>
  <c r="AZ27" i="7"/>
  <c r="AY27" i="7"/>
  <c r="AV27" i="7"/>
  <c r="AW27" i="7"/>
  <c r="AK49" i="11"/>
  <c r="AM27" i="7"/>
  <c r="AQ27" i="7" s="1"/>
  <c r="K25" i="7"/>
  <c r="H24" i="7"/>
  <c r="AQ71" i="1"/>
  <c r="AR71" i="1"/>
  <c r="AM50" i="11"/>
  <c r="AS50" i="11" s="1"/>
  <c r="AL47" i="11"/>
  <c r="AM74" i="1"/>
  <c r="AS74" i="1" s="1"/>
  <c r="AW47" i="11"/>
  <c r="AA50" i="11"/>
  <c r="AN50" i="11" s="1"/>
  <c r="AZ47" i="11"/>
  <c r="AX47" i="11"/>
  <c r="AU47" i="11"/>
  <c r="AY47" i="11"/>
  <c r="AV47" i="11"/>
  <c r="H45" i="12"/>
  <c r="AT47" i="11"/>
  <c r="AO71" i="1"/>
  <c r="AP71" i="1"/>
  <c r="F45" i="12"/>
  <c r="AO47" i="11"/>
  <c r="AP47" i="11"/>
  <c r="AP36" i="109"/>
  <c r="AP74" i="1"/>
  <c r="AO74" i="1"/>
  <c r="AO25" i="7"/>
  <c r="K26" i="7"/>
  <c r="AP26" i="7"/>
  <c r="AQ73" i="1"/>
  <c r="AS72" i="1"/>
  <c r="AQ72" i="1"/>
  <c r="AR72" i="1"/>
  <c r="AX26" i="7"/>
  <c r="AZ26" i="7"/>
  <c r="AT26" i="7"/>
  <c r="AV26" i="7"/>
  <c r="AM26" i="7"/>
  <c r="AR26" i="7" s="1"/>
  <c r="AU25" i="7"/>
  <c r="AY25" i="7"/>
  <c r="AW25" i="7"/>
  <c r="AY26" i="7"/>
  <c r="AW26" i="7"/>
  <c r="AU26" i="7"/>
  <c r="AM25" i="7"/>
  <c r="AP25" i="7"/>
  <c r="AT25" i="7"/>
  <c r="AV25" i="7"/>
  <c r="AX25" i="7"/>
  <c r="AX36" i="109"/>
  <c r="AT36" i="109"/>
  <c r="AZ36" i="109"/>
  <c r="AV36" i="109"/>
  <c r="AM36" i="109"/>
  <c r="AR36" i="109" s="1"/>
  <c r="AO36" i="109"/>
  <c r="K36" i="109"/>
  <c r="AY36" i="109"/>
  <c r="AW36" i="109"/>
  <c r="AU36" i="109"/>
  <c r="AN35" i="109"/>
  <c r="AZ35" i="109" s="1"/>
  <c r="AL35" i="109"/>
  <c r="AK35" i="109"/>
  <c r="H35" i="109"/>
  <c r="AR27" i="7" l="1"/>
  <c r="AO34" i="7"/>
  <c r="AP34" i="7"/>
  <c r="AZ49" i="11"/>
  <c r="AW49" i="11"/>
  <c r="H47" i="12"/>
  <c r="H48" i="12" s="1"/>
  <c r="AU49" i="11"/>
  <c r="AV49" i="11"/>
  <c r="AY49" i="11"/>
  <c r="AX49" i="11"/>
  <c r="AS27" i="7"/>
  <c r="AM49" i="11"/>
  <c r="AR49" i="11" s="1"/>
  <c r="AO24" i="7"/>
  <c r="H27" i="7"/>
  <c r="AP24" i="7"/>
  <c r="K24" i="7"/>
  <c r="K27" i="7" s="1"/>
  <c r="K49" i="11" s="1"/>
  <c r="AR50" i="11"/>
  <c r="AZ50" i="11"/>
  <c r="AT50" i="11"/>
  <c r="AU50" i="11"/>
  <c r="AY50" i="11"/>
  <c r="AV50" i="11"/>
  <c r="AQ50" i="11"/>
  <c r="AX50" i="11"/>
  <c r="AW50" i="11"/>
  <c r="AM47" i="11"/>
  <c r="AS47" i="11" s="1"/>
  <c r="AQ74" i="1"/>
  <c r="AR74" i="1"/>
  <c r="J45" i="12"/>
  <c r="K45" i="12"/>
  <c r="AO35" i="109"/>
  <c r="H37" i="109"/>
  <c r="H48" i="11" s="1"/>
  <c r="K35" i="109"/>
  <c r="K37" i="109" s="1"/>
  <c r="K48" i="11" s="1"/>
  <c r="AS26" i="7"/>
  <c r="AQ26" i="7"/>
  <c r="AS25" i="7"/>
  <c r="AQ25" i="7"/>
  <c r="AR25" i="7"/>
  <c r="AS36" i="109"/>
  <c r="AQ36" i="109"/>
  <c r="AW35" i="109"/>
  <c r="AU35" i="109"/>
  <c r="AY35" i="109"/>
  <c r="AM35" i="109"/>
  <c r="AP35" i="109"/>
  <c r="AT35" i="109"/>
  <c r="AV35" i="109"/>
  <c r="AX35" i="109"/>
  <c r="AJ7" i="125"/>
  <c r="AI7" i="125"/>
  <c r="AH7" i="125"/>
  <c r="AG7" i="125"/>
  <c r="AF7" i="125"/>
  <c r="AE7" i="125"/>
  <c r="AD7" i="125"/>
  <c r="AC7" i="125"/>
  <c r="AB7" i="125"/>
  <c r="AA7" i="125"/>
  <c r="Z7" i="125"/>
  <c r="Y7" i="125"/>
  <c r="X7" i="125"/>
  <c r="W7" i="125"/>
  <c r="V7" i="125"/>
  <c r="U7" i="125"/>
  <c r="T7" i="125"/>
  <c r="S7" i="125"/>
  <c r="R7" i="125"/>
  <c r="Q7" i="125"/>
  <c r="P7" i="125"/>
  <c r="O7" i="125"/>
  <c r="N7" i="125"/>
  <c r="M7" i="125"/>
  <c r="L7" i="125"/>
  <c r="J7" i="125"/>
  <c r="I7" i="125"/>
  <c r="G7" i="125"/>
  <c r="F7" i="125"/>
  <c r="E7" i="125"/>
  <c r="D7" i="125"/>
  <c r="C7" i="125"/>
  <c r="B7" i="125"/>
  <c r="AN6" i="125"/>
  <c r="AZ6" i="125" s="1"/>
  <c r="AL6" i="125"/>
  <c r="AK6" i="125"/>
  <c r="H6" i="125"/>
  <c r="AO6" i="125" s="1"/>
  <c r="T8" i="125" l="1"/>
  <c r="T45" i="11"/>
  <c r="AF8" i="125"/>
  <c r="AF45" i="11"/>
  <c r="C45" i="11"/>
  <c r="C8" i="125"/>
  <c r="G8" i="125"/>
  <c r="G45" i="11"/>
  <c r="M8" i="125"/>
  <c r="M45" i="11"/>
  <c r="Q8" i="125"/>
  <c r="Q45" i="11"/>
  <c r="U8" i="125"/>
  <c r="U45" i="11"/>
  <c r="Y8" i="125"/>
  <c r="Y45" i="11"/>
  <c r="AC45" i="11"/>
  <c r="AC8" i="125"/>
  <c r="AG8" i="125"/>
  <c r="AG45" i="11"/>
  <c r="F8" i="125"/>
  <c r="F45" i="11"/>
  <c r="L8" i="125"/>
  <c r="L45" i="11"/>
  <c r="X8" i="125"/>
  <c r="X45" i="11"/>
  <c r="AJ8" i="125"/>
  <c r="AJ45" i="11"/>
  <c r="D8" i="125"/>
  <c r="D45" i="11"/>
  <c r="D43" i="12" s="1"/>
  <c r="I8" i="125"/>
  <c r="I45" i="11"/>
  <c r="N45" i="11"/>
  <c r="N8" i="125"/>
  <c r="R45" i="11"/>
  <c r="R8" i="125"/>
  <c r="V45" i="11"/>
  <c r="V8" i="125"/>
  <c r="Z45" i="11"/>
  <c r="Z8" i="125"/>
  <c r="AD45" i="11"/>
  <c r="AD8" i="125"/>
  <c r="AH45" i="11"/>
  <c r="AH8" i="125"/>
  <c r="B8" i="125"/>
  <c r="B45" i="11"/>
  <c r="C43" i="12" s="1"/>
  <c r="P8" i="125"/>
  <c r="P45" i="11"/>
  <c r="AB8" i="125"/>
  <c r="AB45" i="11"/>
  <c r="E8" i="125"/>
  <c r="E45" i="11"/>
  <c r="E43" i="12" s="1"/>
  <c r="J45" i="11"/>
  <c r="J8" i="125"/>
  <c r="O45" i="11"/>
  <c r="O8" i="125"/>
  <c r="S8" i="125"/>
  <c r="S45" i="11"/>
  <c r="W45" i="11"/>
  <c r="W8" i="125"/>
  <c r="AA45" i="11"/>
  <c r="AA8" i="125"/>
  <c r="AE45" i="11"/>
  <c r="AE8" i="125"/>
  <c r="AI8" i="125"/>
  <c r="AI45" i="11"/>
  <c r="AS49" i="11"/>
  <c r="I47" i="12"/>
  <c r="AQ49" i="11"/>
  <c r="AO27" i="7"/>
  <c r="H49" i="11"/>
  <c r="AP27" i="7"/>
  <c r="K50" i="11"/>
  <c r="I45" i="12"/>
  <c r="AR47" i="11"/>
  <c r="AQ47" i="11"/>
  <c r="F46" i="12"/>
  <c r="AP48" i="11"/>
  <c r="AO48" i="11"/>
  <c r="AS35" i="109"/>
  <c r="AQ35" i="109"/>
  <c r="AR35" i="109"/>
  <c r="AL7" i="125"/>
  <c r="AL45" i="11" s="1"/>
  <c r="AM6" i="125"/>
  <c r="AQ6" i="125" s="1"/>
  <c r="AU6" i="125"/>
  <c r="AY6" i="125"/>
  <c r="AW6" i="125"/>
  <c r="H7" i="125"/>
  <c r="K6" i="125"/>
  <c r="AP6" i="125"/>
  <c r="AT6" i="125"/>
  <c r="AV6" i="125"/>
  <c r="AX6" i="125"/>
  <c r="AK7" i="125"/>
  <c r="AK45" i="11" s="1"/>
  <c r="AL8" i="125"/>
  <c r="AN7" i="125"/>
  <c r="C13" i="31"/>
  <c r="D13" i="31"/>
  <c r="E13" i="31"/>
  <c r="F13" i="31"/>
  <c r="AN8" i="125" l="1"/>
  <c r="AU8" i="125" s="1"/>
  <c r="AS6" i="125"/>
  <c r="G43" i="12"/>
  <c r="AK8" i="125"/>
  <c r="AU7" i="125"/>
  <c r="AN45" i="11"/>
  <c r="AO7" i="125"/>
  <c r="H8" i="125"/>
  <c r="H45" i="11"/>
  <c r="F43" i="12" s="1"/>
  <c r="F47" i="12"/>
  <c r="F48" i="12" s="1"/>
  <c r="AP49" i="11"/>
  <c r="AO49" i="11"/>
  <c r="H50" i="11"/>
  <c r="AO50" i="11" s="1"/>
  <c r="J46" i="12"/>
  <c r="K46" i="12"/>
  <c r="AR6" i="125"/>
  <c r="AZ7" i="125"/>
  <c r="AX8" i="125"/>
  <c r="AV7" i="125"/>
  <c r="AX7" i="125"/>
  <c r="AT7" i="125"/>
  <c r="AZ8" i="125"/>
  <c r="AV8" i="125"/>
  <c r="AT8" i="125"/>
  <c r="AY7" i="125"/>
  <c r="AM7" i="125"/>
  <c r="AY8" i="125"/>
  <c r="AP7" i="125"/>
  <c r="AW7" i="125"/>
  <c r="AO8" i="125"/>
  <c r="K7" i="125"/>
  <c r="AM8" i="125"/>
  <c r="AS8" i="125" s="1"/>
  <c r="AW8" i="125"/>
  <c r="AD69" i="1"/>
  <c r="X69" i="1"/>
  <c r="U69" i="1"/>
  <c r="K45" i="11" l="1"/>
  <c r="K8" i="125"/>
  <c r="AP45" i="11"/>
  <c r="H43" i="12"/>
  <c r="K43" i="12" s="1"/>
  <c r="AT45" i="11"/>
  <c r="AU45" i="11"/>
  <c r="AO45" i="11"/>
  <c r="AY45" i="11"/>
  <c r="AW45" i="11"/>
  <c r="AS7" i="125"/>
  <c r="AM45" i="11"/>
  <c r="AX45" i="11"/>
  <c r="AV45" i="11"/>
  <c r="J43" i="12"/>
  <c r="AZ45" i="11"/>
  <c r="AP50" i="11"/>
  <c r="J47" i="12"/>
  <c r="K47" i="12"/>
  <c r="K48" i="12"/>
  <c r="J48" i="12"/>
  <c r="AR8" i="125"/>
  <c r="AQ7" i="125"/>
  <c r="AQ8" i="125"/>
  <c r="AR7" i="125"/>
  <c r="AP8" i="125"/>
  <c r="B43" i="11"/>
  <c r="C41" i="12" s="1"/>
  <c r="C42" i="11"/>
  <c r="D42" i="11"/>
  <c r="D40" i="12" s="1"/>
  <c r="E42" i="11"/>
  <c r="E40" i="12" s="1"/>
  <c r="F42" i="11"/>
  <c r="B39" i="11"/>
  <c r="C37" i="12" s="1"/>
  <c r="B38" i="11"/>
  <c r="C36" i="12" s="1"/>
  <c r="F35" i="35"/>
  <c r="F41" i="35" s="1"/>
  <c r="E37" i="11" s="1"/>
  <c r="E35" i="12" s="1"/>
  <c r="E35" i="35"/>
  <c r="G28" i="35"/>
  <c r="D23" i="36"/>
  <c r="F38" i="36"/>
  <c r="D38" i="36"/>
  <c r="E38" i="36"/>
  <c r="E34" i="36"/>
  <c r="D34" i="36"/>
  <c r="AH15" i="122"/>
  <c r="AH21" i="122"/>
  <c r="AH44" i="11" s="1"/>
  <c r="F21" i="122"/>
  <c r="F44" i="11" s="1"/>
  <c r="E21" i="122"/>
  <c r="E44" i="11" s="1"/>
  <c r="E42" i="12" s="1"/>
  <c r="D21" i="122"/>
  <c r="D44" i="11" s="1"/>
  <c r="D42" i="12" s="1"/>
  <c r="C21" i="122"/>
  <c r="C44" i="11" s="1"/>
  <c r="B21" i="122"/>
  <c r="B44" i="11" s="1"/>
  <c r="C42" i="12" s="1"/>
  <c r="G38" i="36"/>
  <c r="I38" i="36"/>
  <c r="J38" i="36"/>
  <c r="L38" i="36"/>
  <c r="M38" i="36"/>
  <c r="N38" i="36"/>
  <c r="O38" i="36"/>
  <c r="P38" i="36"/>
  <c r="Q38" i="36"/>
  <c r="R38" i="36"/>
  <c r="S38" i="36"/>
  <c r="T38" i="36"/>
  <c r="U38" i="36"/>
  <c r="V38" i="36"/>
  <c r="W38" i="36"/>
  <c r="X38" i="36"/>
  <c r="Y38" i="36"/>
  <c r="Z38" i="36"/>
  <c r="AA38" i="36"/>
  <c r="AB38" i="36"/>
  <c r="AC38" i="36"/>
  <c r="AD38" i="36"/>
  <c r="AE38" i="36"/>
  <c r="AF38" i="36"/>
  <c r="AG38" i="36"/>
  <c r="AH38" i="36"/>
  <c r="AI38" i="36"/>
  <c r="AJ38" i="36"/>
  <c r="C38" i="36"/>
  <c r="G19" i="95"/>
  <c r="I19" i="95"/>
  <c r="J19" i="95"/>
  <c r="L19" i="95"/>
  <c r="M19" i="95"/>
  <c r="N19" i="95"/>
  <c r="O19" i="95"/>
  <c r="P19" i="95"/>
  <c r="Q19" i="95"/>
  <c r="R19" i="95"/>
  <c r="S19" i="95"/>
  <c r="T19" i="95"/>
  <c r="U19" i="95"/>
  <c r="V19" i="95"/>
  <c r="W19" i="95"/>
  <c r="X19" i="95"/>
  <c r="Y19" i="95"/>
  <c r="Z19" i="95"/>
  <c r="AA19" i="95"/>
  <c r="AB19" i="95"/>
  <c r="AC19" i="95"/>
  <c r="AD19" i="95"/>
  <c r="AE19" i="95"/>
  <c r="AF19" i="95"/>
  <c r="AG19" i="95"/>
  <c r="AH19" i="95"/>
  <c r="AI19" i="95"/>
  <c r="AJ19" i="95"/>
  <c r="F19" i="95"/>
  <c r="E19" i="95"/>
  <c r="D19" i="95"/>
  <c r="C19" i="95"/>
  <c r="E41" i="35"/>
  <c r="D37" i="11" s="1"/>
  <c r="D35" i="12" s="1"/>
  <c r="H35" i="35"/>
  <c r="H41" i="35" s="1"/>
  <c r="G37" i="11" s="1"/>
  <c r="J35" i="35"/>
  <c r="J41" i="35" s="1"/>
  <c r="I37" i="11" s="1"/>
  <c r="K35" i="35"/>
  <c r="K41" i="35" s="1"/>
  <c r="J37" i="11" s="1"/>
  <c r="M35" i="35"/>
  <c r="M41" i="35" s="1"/>
  <c r="L37" i="11" s="1"/>
  <c r="N35" i="35"/>
  <c r="N41" i="35" s="1"/>
  <c r="M37" i="11" s="1"/>
  <c r="O35" i="35"/>
  <c r="O41" i="35" s="1"/>
  <c r="N37" i="11" s="1"/>
  <c r="P35" i="35"/>
  <c r="Q35" i="35"/>
  <c r="Q41" i="35" s="1"/>
  <c r="P37" i="11" s="1"/>
  <c r="R35" i="35"/>
  <c r="R41" i="35" s="1"/>
  <c r="Q37" i="11" s="1"/>
  <c r="S35" i="35"/>
  <c r="S41" i="35" s="1"/>
  <c r="R37" i="11" s="1"/>
  <c r="T35" i="35"/>
  <c r="T41" i="35" s="1"/>
  <c r="S37" i="11" s="1"/>
  <c r="U35" i="35"/>
  <c r="U41" i="35" s="1"/>
  <c r="T37" i="11" s="1"/>
  <c r="V35" i="35"/>
  <c r="V41" i="35" s="1"/>
  <c r="U37" i="11" s="1"/>
  <c r="W35" i="35"/>
  <c r="W41" i="35" s="1"/>
  <c r="V37" i="11" s="1"/>
  <c r="X35" i="35"/>
  <c r="Y35" i="35"/>
  <c r="Y41" i="35" s="1"/>
  <c r="X37" i="11" s="1"/>
  <c r="Z35" i="35"/>
  <c r="Z41" i="35" s="1"/>
  <c r="Y37" i="11" s="1"/>
  <c r="AA35" i="35"/>
  <c r="AA41" i="35" s="1"/>
  <c r="Z37" i="11" s="1"/>
  <c r="AB35" i="35"/>
  <c r="AB41" i="35" s="1"/>
  <c r="AA37" i="11" s="1"/>
  <c r="AC35" i="35"/>
  <c r="AC41" i="35" s="1"/>
  <c r="AB37" i="11" s="1"/>
  <c r="AD35" i="35"/>
  <c r="AD41" i="35" s="1"/>
  <c r="AC37" i="11" s="1"/>
  <c r="AE35" i="35"/>
  <c r="AE41" i="35" s="1"/>
  <c r="AD37" i="11" s="1"/>
  <c r="AF35" i="35"/>
  <c r="AF41" i="35" s="1"/>
  <c r="AE37" i="11" s="1"/>
  <c r="AG35" i="35"/>
  <c r="AG41" i="35" s="1"/>
  <c r="AF37" i="11" s="1"/>
  <c r="AH35" i="35"/>
  <c r="AH41" i="35" s="1"/>
  <c r="AG37" i="11" s="1"/>
  <c r="AI35" i="35"/>
  <c r="AI41" i="35" s="1"/>
  <c r="AH37" i="11" s="1"/>
  <c r="AJ35" i="35"/>
  <c r="AJ41" i="35" s="1"/>
  <c r="AI37" i="11" s="1"/>
  <c r="AK35" i="35"/>
  <c r="AK41" i="35" s="1"/>
  <c r="AJ37" i="11" s="1"/>
  <c r="G35" i="35"/>
  <c r="G41" i="35" s="1"/>
  <c r="F37" i="11" s="1"/>
  <c r="D35" i="35"/>
  <c r="C19" i="7"/>
  <c r="C23" i="7" s="1"/>
  <c r="C39" i="11" s="1"/>
  <c r="G19" i="7"/>
  <c r="G23" i="7" s="1"/>
  <c r="G39" i="11" s="1"/>
  <c r="I19" i="7"/>
  <c r="I23" i="7" s="1"/>
  <c r="I39" i="11" s="1"/>
  <c r="J19" i="7"/>
  <c r="J23" i="7" s="1"/>
  <c r="J39" i="11" s="1"/>
  <c r="L19" i="7"/>
  <c r="L23" i="7" s="1"/>
  <c r="L39" i="11" s="1"/>
  <c r="M19" i="7"/>
  <c r="M23" i="7" s="1"/>
  <c r="M39" i="11" s="1"/>
  <c r="N19" i="7"/>
  <c r="N23" i="7" s="1"/>
  <c r="N39" i="11" s="1"/>
  <c r="O19" i="7"/>
  <c r="O23" i="7" s="1"/>
  <c r="O39" i="11" s="1"/>
  <c r="G37" i="12" s="1"/>
  <c r="P19" i="7"/>
  <c r="P23" i="7" s="1"/>
  <c r="P39" i="11" s="1"/>
  <c r="Q19" i="7"/>
  <c r="R19" i="7"/>
  <c r="R23" i="7" s="1"/>
  <c r="R39" i="11" s="1"/>
  <c r="S19" i="7"/>
  <c r="S23" i="7" s="1"/>
  <c r="S39" i="11" s="1"/>
  <c r="T19" i="7"/>
  <c r="T23" i="7" s="1"/>
  <c r="T39" i="11" s="1"/>
  <c r="U19" i="7"/>
  <c r="U23" i="7" s="1"/>
  <c r="U39" i="11" s="1"/>
  <c r="V19" i="7"/>
  <c r="V23" i="7" s="1"/>
  <c r="V39" i="11" s="1"/>
  <c r="W19" i="7"/>
  <c r="W23" i="7" s="1"/>
  <c r="W39" i="11" s="1"/>
  <c r="X19" i="7"/>
  <c r="X23" i="7" s="1"/>
  <c r="X39" i="11" s="1"/>
  <c r="Y19" i="7"/>
  <c r="Y23" i="7" s="1"/>
  <c r="Y39" i="11" s="1"/>
  <c r="Z19" i="7"/>
  <c r="Z23" i="7" s="1"/>
  <c r="Z39" i="11" s="1"/>
  <c r="AA19" i="7"/>
  <c r="AA23" i="7" s="1"/>
  <c r="AA39" i="11" s="1"/>
  <c r="AB19" i="7"/>
  <c r="AB23" i="7" s="1"/>
  <c r="AB39" i="11" s="1"/>
  <c r="AC19" i="7"/>
  <c r="AC23" i="7" s="1"/>
  <c r="AC39" i="11" s="1"/>
  <c r="AD19" i="7"/>
  <c r="AD23" i="7" s="1"/>
  <c r="AD39" i="11" s="1"/>
  <c r="AE19" i="7"/>
  <c r="AE23" i="7" s="1"/>
  <c r="AE39" i="11" s="1"/>
  <c r="AF19" i="7"/>
  <c r="AF23" i="7" s="1"/>
  <c r="AF39" i="11" s="1"/>
  <c r="AG19" i="7"/>
  <c r="AG23" i="7" s="1"/>
  <c r="AG39" i="11" s="1"/>
  <c r="AH19" i="7"/>
  <c r="AH23" i="7" s="1"/>
  <c r="AH39" i="11" s="1"/>
  <c r="AI19" i="7"/>
  <c r="AI23" i="7" s="1"/>
  <c r="AI39" i="11" s="1"/>
  <c r="AJ19" i="7"/>
  <c r="AJ23" i="7" s="1"/>
  <c r="AJ39" i="11" s="1"/>
  <c r="F19" i="7"/>
  <c r="F23" i="7" s="1"/>
  <c r="F39" i="11" s="1"/>
  <c r="E19" i="7"/>
  <c r="E23" i="7" s="1"/>
  <c r="E39" i="11" s="1"/>
  <c r="E37" i="12" s="1"/>
  <c r="D19" i="7"/>
  <c r="D23" i="7" s="1"/>
  <c r="D39" i="11" s="1"/>
  <c r="D37" i="12" s="1"/>
  <c r="G18" i="107"/>
  <c r="I18" i="107"/>
  <c r="J18" i="107"/>
  <c r="L18" i="107"/>
  <c r="M18" i="107"/>
  <c r="N18" i="107"/>
  <c r="O18" i="107"/>
  <c r="P18" i="107"/>
  <c r="Q18" i="107"/>
  <c r="R18" i="107"/>
  <c r="R20" i="107" s="1"/>
  <c r="S18" i="107"/>
  <c r="T18" i="107"/>
  <c r="U18" i="107"/>
  <c r="V18" i="107"/>
  <c r="W18" i="107"/>
  <c r="X18" i="107"/>
  <c r="Y18" i="107"/>
  <c r="Z18" i="107"/>
  <c r="AA18" i="107"/>
  <c r="AB18" i="107"/>
  <c r="AC18" i="107"/>
  <c r="AD18" i="107"/>
  <c r="AE18" i="107"/>
  <c r="AF18" i="107"/>
  <c r="AG18" i="107"/>
  <c r="AH18" i="107"/>
  <c r="AI18" i="107"/>
  <c r="AJ18" i="107"/>
  <c r="F18" i="107"/>
  <c r="E18" i="107"/>
  <c r="D40" i="11"/>
  <c r="D38" i="12" s="1"/>
  <c r="C18" i="107"/>
  <c r="C20" i="107" s="1"/>
  <c r="B18" i="107"/>
  <c r="B70" i="1"/>
  <c r="B36" i="11" s="1"/>
  <c r="C34" i="12" s="1"/>
  <c r="G61" i="1"/>
  <c r="I61" i="1"/>
  <c r="J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F61" i="1"/>
  <c r="E61" i="1"/>
  <c r="E70" i="1" s="1"/>
  <c r="E36" i="11" s="1"/>
  <c r="E34" i="12" s="1"/>
  <c r="D61" i="1"/>
  <c r="D70" i="1" s="1"/>
  <c r="D36" i="11" s="1"/>
  <c r="D34" i="12" s="1"/>
  <c r="C61" i="1"/>
  <c r="AN65" i="1"/>
  <c r="AZ65" i="1" s="1"/>
  <c r="AL65" i="1"/>
  <c r="AK65" i="1"/>
  <c r="H65" i="1"/>
  <c r="K65" i="1" s="1"/>
  <c r="G49" i="1"/>
  <c r="I49" i="1"/>
  <c r="I70" i="1" s="1"/>
  <c r="I36" i="11" s="1"/>
  <c r="J49" i="1"/>
  <c r="L49" i="1"/>
  <c r="M49" i="1"/>
  <c r="N49" i="1"/>
  <c r="N70" i="1" s="1"/>
  <c r="N36" i="11" s="1"/>
  <c r="O49" i="1"/>
  <c r="P49" i="1"/>
  <c r="P70" i="1" s="1"/>
  <c r="P36" i="11" s="1"/>
  <c r="Q49" i="1"/>
  <c r="R49" i="1"/>
  <c r="R70" i="1" s="1"/>
  <c r="R36" i="11" s="1"/>
  <c r="S49" i="1"/>
  <c r="T49" i="1"/>
  <c r="T70" i="1" s="1"/>
  <c r="T36" i="11" s="1"/>
  <c r="U49" i="1"/>
  <c r="V49" i="1"/>
  <c r="V70" i="1" s="1"/>
  <c r="V36" i="11" s="1"/>
  <c r="W49" i="1"/>
  <c r="X49" i="1"/>
  <c r="Y49" i="1"/>
  <c r="Z49" i="1"/>
  <c r="AA49" i="1"/>
  <c r="AB49" i="1"/>
  <c r="AC49" i="1"/>
  <c r="AD49" i="1"/>
  <c r="AD70" i="1" s="1"/>
  <c r="AD36" i="11" s="1"/>
  <c r="AE49" i="1"/>
  <c r="AF49" i="1"/>
  <c r="AG49" i="1"/>
  <c r="AH49" i="1"/>
  <c r="AH70" i="1" s="1"/>
  <c r="AH36" i="11" s="1"/>
  <c r="AI49" i="1"/>
  <c r="AJ49" i="1"/>
  <c r="F49" i="1"/>
  <c r="E49" i="1"/>
  <c r="D49" i="1"/>
  <c r="C49" i="1"/>
  <c r="C70" i="1" s="1"/>
  <c r="AN66" i="1"/>
  <c r="AZ66" i="1" s="1"/>
  <c r="AL66" i="1"/>
  <c r="AK66" i="1"/>
  <c r="H66" i="1"/>
  <c r="K66" i="1" s="1"/>
  <c r="AN69" i="1"/>
  <c r="AY69" i="1" s="1"/>
  <c r="AL69" i="1"/>
  <c r="AK69" i="1"/>
  <c r="H69" i="1"/>
  <c r="AO69" i="1" s="1"/>
  <c r="AN68" i="1"/>
  <c r="AW68" i="1" s="1"/>
  <c r="AL68" i="1"/>
  <c r="AK68" i="1"/>
  <c r="H68" i="1"/>
  <c r="AO68" i="1" s="1"/>
  <c r="AN67" i="1"/>
  <c r="AX67" i="1" s="1"/>
  <c r="AL67" i="1"/>
  <c r="AK67" i="1"/>
  <c r="H67" i="1"/>
  <c r="AO67" i="1" s="1"/>
  <c r="AN60" i="1"/>
  <c r="AZ60" i="1" s="1"/>
  <c r="AL60" i="1"/>
  <c r="AM60" i="1" s="1"/>
  <c r="H60" i="1"/>
  <c r="AO60" i="1" s="1"/>
  <c r="AN52" i="1"/>
  <c r="AZ52" i="1" s="1"/>
  <c r="AL52" i="1"/>
  <c r="AK52" i="1"/>
  <c r="H52" i="1"/>
  <c r="K52" i="1" s="1"/>
  <c r="AN53" i="1"/>
  <c r="AZ53" i="1" s="1"/>
  <c r="AL53" i="1"/>
  <c r="AK53" i="1"/>
  <c r="H53" i="1"/>
  <c r="K53" i="1" s="1"/>
  <c r="AN64" i="1"/>
  <c r="AZ64" i="1" s="1"/>
  <c r="AL64" i="1"/>
  <c r="AK64" i="1"/>
  <c r="H64" i="1"/>
  <c r="AO64" i="1" s="1"/>
  <c r="AN63" i="1"/>
  <c r="AZ63" i="1" s="1"/>
  <c r="AL63" i="1"/>
  <c r="AK63" i="1"/>
  <c r="H63" i="1"/>
  <c r="K63" i="1" s="1"/>
  <c r="AN62" i="1"/>
  <c r="AX62" i="1" s="1"/>
  <c r="AL62" i="1"/>
  <c r="AK62" i="1"/>
  <c r="H62" i="1"/>
  <c r="K62" i="1" s="1"/>
  <c r="G27" i="109"/>
  <c r="G34" i="109" s="1"/>
  <c r="I27" i="109"/>
  <c r="I34" i="109" s="1"/>
  <c r="J27" i="109"/>
  <c r="J34" i="109" s="1"/>
  <c r="J38" i="11" s="1"/>
  <c r="L27" i="109"/>
  <c r="L34" i="109" s="1"/>
  <c r="M27" i="109"/>
  <c r="M34" i="109" s="1"/>
  <c r="N27" i="109"/>
  <c r="N34" i="109" s="1"/>
  <c r="O27" i="109"/>
  <c r="O34" i="109" s="1"/>
  <c r="P27" i="109"/>
  <c r="P34" i="109" s="1"/>
  <c r="Q27" i="109"/>
  <c r="Q34" i="109" s="1"/>
  <c r="R27" i="109"/>
  <c r="R34" i="109" s="1"/>
  <c r="S27" i="109"/>
  <c r="S34" i="109" s="1"/>
  <c r="T27" i="109"/>
  <c r="T34" i="109" s="1"/>
  <c r="U27" i="109"/>
  <c r="U34" i="109" s="1"/>
  <c r="V27" i="109"/>
  <c r="V34" i="109" s="1"/>
  <c r="W27" i="109"/>
  <c r="W34" i="109" s="1"/>
  <c r="X27" i="109"/>
  <c r="X34" i="109" s="1"/>
  <c r="Y27" i="109"/>
  <c r="Y34" i="109" s="1"/>
  <c r="Z27" i="109"/>
  <c r="Z34" i="109" s="1"/>
  <c r="AA27" i="109"/>
  <c r="AA34" i="109" s="1"/>
  <c r="AB27" i="109"/>
  <c r="AB34" i="109" s="1"/>
  <c r="AC27" i="109"/>
  <c r="AC34" i="109" s="1"/>
  <c r="AD27" i="109"/>
  <c r="AD34" i="109" s="1"/>
  <c r="AE27" i="109"/>
  <c r="AE34" i="109" s="1"/>
  <c r="AF27" i="109"/>
  <c r="AF34" i="109" s="1"/>
  <c r="AG27" i="109"/>
  <c r="AG34" i="109" s="1"/>
  <c r="AH27" i="109"/>
  <c r="AH34" i="109" s="1"/>
  <c r="AI27" i="109"/>
  <c r="AI34" i="109" s="1"/>
  <c r="AJ27" i="109"/>
  <c r="AJ34" i="109" s="1"/>
  <c r="E27" i="109"/>
  <c r="E34" i="109" s="1"/>
  <c r="D27" i="109"/>
  <c r="D34" i="109" s="1"/>
  <c r="C27" i="109"/>
  <c r="C34" i="109" s="1"/>
  <c r="F27" i="109"/>
  <c r="F34" i="109" s="1"/>
  <c r="AN33" i="109"/>
  <c r="AY33" i="109" s="1"/>
  <c r="AL33" i="109"/>
  <c r="AK33" i="109"/>
  <c r="H33" i="109"/>
  <c r="C72" i="11" l="1"/>
  <c r="C76" i="11" s="1"/>
  <c r="R72" i="11"/>
  <c r="R76" i="11" s="1"/>
  <c r="AF40" i="11"/>
  <c r="AF20" i="107"/>
  <c r="X40" i="11"/>
  <c r="X20" i="107"/>
  <c r="L40" i="11"/>
  <c r="L20" i="107"/>
  <c r="AA40" i="11"/>
  <c r="AA20" i="107"/>
  <c r="O40" i="11"/>
  <c r="G38" i="12" s="1"/>
  <c r="O20" i="107"/>
  <c r="AJ40" i="11"/>
  <c r="AJ20" i="107"/>
  <c r="AI40" i="11"/>
  <c r="AI20" i="107"/>
  <c r="S40" i="11"/>
  <c r="S20" i="107"/>
  <c r="E40" i="11"/>
  <c r="E38" i="12" s="1"/>
  <c r="E20" i="107"/>
  <c r="AH40" i="11"/>
  <c r="AH20" i="107"/>
  <c r="AD40" i="11"/>
  <c r="AD20" i="107"/>
  <c r="Z40" i="11"/>
  <c r="Z20" i="107"/>
  <c r="V40" i="11"/>
  <c r="V20" i="107"/>
  <c r="N40" i="11"/>
  <c r="N20" i="107"/>
  <c r="I40" i="11"/>
  <c r="I20" i="107"/>
  <c r="C40" i="11"/>
  <c r="AB40" i="11"/>
  <c r="AB20" i="107"/>
  <c r="T40" i="11"/>
  <c r="T20" i="107"/>
  <c r="P40" i="11"/>
  <c r="P20" i="107"/>
  <c r="AE40" i="11"/>
  <c r="AE20" i="107"/>
  <c r="W40" i="11"/>
  <c r="W20" i="107"/>
  <c r="J40" i="11"/>
  <c r="J20" i="107"/>
  <c r="B40" i="11"/>
  <c r="C38" i="12" s="1"/>
  <c r="B20" i="107"/>
  <c r="F40" i="11"/>
  <c r="F20" i="107"/>
  <c r="AG40" i="11"/>
  <c r="AG20" i="107"/>
  <c r="AC40" i="11"/>
  <c r="AC20" i="107"/>
  <c r="Y40" i="11"/>
  <c r="Y20" i="107"/>
  <c r="U40" i="11"/>
  <c r="U20" i="107"/>
  <c r="Q40" i="11"/>
  <c r="Q20" i="107"/>
  <c r="M40" i="11"/>
  <c r="M20" i="107"/>
  <c r="G40" i="11"/>
  <c r="G20" i="107"/>
  <c r="AF41" i="11"/>
  <c r="X41" i="11"/>
  <c r="P41" i="11"/>
  <c r="AL18" i="107"/>
  <c r="AL40" i="11" s="1"/>
  <c r="AI41" i="11"/>
  <c r="AE41" i="11"/>
  <c r="AA41" i="11"/>
  <c r="W41" i="11"/>
  <c r="S41" i="11"/>
  <c r="O41" i="11"/>
  <c r="G39" i="12" s="1"/>
  <c r="J41" i="11"/>
  <c r="E41" i="11"/>
  <c r="E39" i="12" s="1"/>
  <c r="AJ41" i="11"/>
  <c r="I43" i="12"/>
  <c r="AS45" i="11"/>
  <c r="AR45" i="11"/>
  <c r="AH41" i="11"/>
  <c r="AD41" i="11"/>
  <c r="Z41" i="11"/>
  <c r="V41" i="11"/>
  <c r="R41" i="11"/>
  <c r="N41" i="11"/>
  <c r="I41" i="11"/>
  <c r="D41" i="11"/>
  <c r="D39" i="12" s="1"/>
  <c r="AB41" i="11"/>
  <c r="T41" i="11"/>
  <c r="L41" i="11"/>
  <c r="C41" i="11"/>
  <c r="AG41" i="11"/>
  <c r="AC41" i="11"/>
  <c r="Y41" i="11"/>
  <c r="U41" i="11"/>
  <c r="Q41" i="11"/>
  <c r="M41" i="11"/>
  <c r="G41" i="11"/>
  <c r="F41" i="11"/>
  <c r="AQ45" i="11"/>
  <c r="AN27" i="109"/>
  <c r="AY27" i="109" s="1"/>
  <c r="AK27" i="109"/>
  <c r="AL27" i="109"/>
  <c r="AM33" i="109"/>
  <c r="AS33" i="109" s="1"/>
  <c r="AY65" i="1"/>
  <c r="AG70" i="1"/>
  <c r="AG36" i="11" s="1"/>
  <c r="AC70" i="1"/>
  <c r="AC36" i="11" s="1"/>
  <c r="M70" i="1"/>
  <c r="M36" i="11" s="1"/>
  <c r="G70" i="1"/>
  <c r="G36" i="11" s="1"/>
  <c r="AI70" i="1"/>
  <c r="AI36" i="11" s="1"/>
  <c r="AE70" i="1"/>
  <c r="AE36" i="11" s="1"/>
  <c r="W70" i="1"/>
  <c r="W36" i="11" s="1"/>
  <c r="S70" i="1"/>
  <c r="S36" i="11" s="1"/>
  <c r="J70" i="1"/>
  <c r="J36" i="11" s="1"/>
  <c r="AJ70" i="1"/>
  <c r="AJ36" i="11" s="1"/>
  <c r="AF70" i="1"/>
  <c r="AF36" i="11" s="1"/>
  <c r="AB70" i="1"/>
  <c r="AB36" i="11" s="1"/>
  <c r="X70" i="1"/>
  <c r="X36" i="11" s="1"/>
  <c r="L70" i="1"/>
  <c r="L36" i="11" s="1"/>
  <c r="E38" i="11"/>
  <c r="E36" i="12" s="1"/>
  <c r="Y38" i="11"/>
  <c r="G38" i="11"/>
  <c r="AL61" i="1"/>
  <c r="AC38" i="11"/>
  <c r="AK61" i="1"/>
  <c r="AG38" i="11"/>
  <c r="AL19" i="7"/>
  <c r="AO33" i="109"/>
  <c r="K33" i="109"/>
  <c r="M38" i="11"/>
  <c r="AK19" i="95"/>
  <c r="AL37" i="109"/>
  <c r="Q38" i="11"/>
  <c r="AL34" i="109"/>
  <c r="AL38" i="11" s="1"/>
  <c r="D38" i="11"/>
  <c r="AH38" i="11"/>
  <c r="AD38" i="11"/>
  <c r="Z38" i="11"/>
  <c r="V38" i="11"/>
  <c r="AN34" i="109"/>
  <c r="AN38" i="11" s="1"/>
  <c r="H36" i="12" s="1"/>
  <c r="R38" i="11"/>
  <c r="N38" i="11"/>
  <c r="I38" i="11"/>
  <c r="F38" i="11"/>
  <c r="U38" i="11"/>
  <c r="Y70" i="1"/>
  <c r="Y36" i="11" s="1"/>
  <c r="U70" i="1"/>
  <c r="Q70" i="1"/>
  <c r="Q36" i="11" s="1"/>
  <c r="R40" i="11"/>
  <c r="AN18" i="107"/>
  <c r="AY18" i="107" s="1"/>
  <c r="AN19" i="7"/>
  <c r="AT19" i="7" s="1"/>
  <c r="X41" i="35"/>
  <c r="W37" i="11" s="1"/>
  <c r="AM35" i="35"/>
  <c r="P41" i="35"/>
  <c r="O37" i="11" s="1"/>
  <c r="C37" i="109"/>
  <c r="C48" i="11" s="1"/>
  <c r="C50" i="11" s="1"/>
  <c r="C38" i="11"/>
  <c r="T38" i="11"/>
  <c r="L38" i="11"/>
  <c r="AL49" i="1"/>
  <c r="AJ38" i="11"/>
  <c r="AZ38" i="11" s="1"/>
  <c r="AA38" i="11"/>
  <c r="F70" i="1"/>
  <c r="F36" i="11" s="1"/>
  <c r="AA70" i="1"/>
  <c r="AA36" i="11" s="1"/>
  <c r="O70" i="1"/>
  <c r="O36" i="11" s="1"/>
  <c r="Z70" i="1"/>
  <c r="Z36" i="11" s="1"/>
  <c r="AK18" i="107"/>
  <c r="AK40" i="11" s="1"/>
  <c r="AK19" i="7"/>
  <c r="Q23" i="7"/>
  <c r="Q39" i="11" s="1"/>
  <c r="AO35" i="35"/>
  <c r="AU35" i="35" s="1"/>
  <c r="AL19" i="95"/>
  <c r="AF38" i="11"/>
  <c r="X38" i="11"/>
  <c r="P38" i="11"/>
  <c r="AK34" i="109"/>
  <c r="AK38" i="11" s="1"/>
  <c r="AI38" i="11"/>
  <c r="AE38" i="11"/>
  <c r="W38" i="11"/>
  <c r="S38" i="11"/>
  <c r="C36" i="11"/>
  <c r="AT65" i="1"/>
  <c r="AL35" i="35"/>
  <c r="AN35" i="35" s="1"/>
  <c r="AB38" i="11"/>
  <c r="O38" i="11"/>
  <c r="G36" i="12" s="1"/>
  <c r="AN19" i="95"/>
  <c r="AZ19" i="95" s="1"/>
  <c r="H61" i="1"/>
  <c r="AO61" i="1" s="1"/>
  <c r="AN61" i="1"/>
  <c r="AU61" i="1" s="1"/>
  <c r="AK49" i="1"/>
  <c r="AU65" i="1"/>
  <c r="AY67" i="1"/>
  <c r="AO65" i="1"/>
  <c r="AW65" i="1"/>
  <c r="AN49" i="1"/>
  <c r="AZ49" i="1" s="1"/>
  <c r="AP65" i="1"/>
  <c r="AX65" i="1"/>
  <c r="AM65" i="1"/>
  <c r="AR65" i="1" s="1"/>
  <c r="AV65" i="1"/>
  <c r="AW66" i="1"/>
  <c r="AP66" i="1"/>
  <c r="AT66" i="1"/>
  <c r="AO66" i="1"/>
  <c r="AX66" i="1"/>
  <c r="AM66" i="1"/>
  <c r="AU66" i="1"/>
  <c r="AY66" i="1"/>
  <c r="AV66" i="1"/>
  <c r="AT60" i="1"/>
  <c r="AM67" i="1"/>
  <c r="AS67" i="1" s="1"/>
  <c r="AM69" i="1"/>
  <c r="AS69" i="1" s="1"/>
  <c r="AP68" i="1"/>
  <c r="AY68" i="1"/>
  <c r="AP60" i="1"/>
  <c r="AT68" i="1"/>
  <c r="AX68" i="1"/>
  <c r="K60" i="1"/>
  <c r="AU67" i="1"/>
  <c r="AU68" i="1"/>
  <c r="K69" i="1"/>
  <c r="AV69" i="1"/>
  <c r="AW69" i="1"/>
  <c r="K68" i="1"/>
  <c r="AV68" i="1"/>
  <c r="AZ68" i="1"/>
  <c r="AP69" i="1"/>
  <c r="AT69" i="1"/>
  <c r="AX69" i="1"/>
  <c r="AZ69" i="1"/>
  <c r="AM68" i="1"/>
  <c r="AQ68" i="1" s="1"/>
  <c r="AU69" i="1"/>
  <c r="K67" i="1"/>
  <c r="AV67" i="1"/>
  <c r="AZ67" i="1"/>
  <c r="AW67" i="1"/>
  <c r="AP67" i="1"/>
  <c r="AT67" i="1"/>
  <c r="AW52" i="1"/>
  <c r="AU60" i="1"/>
  <c r="AM62" i="1"/>
  <c r="AR62" i="1" s="1"/>
  <c r="AY52" i="1"/>
  <c r="AW60" i="1"/>
  <c r="AX60" i="1"/>
  <c r="AY60" i="1"/>
  <c r="AR60" i="1"/>
  <c r="AQ60" i="1"/>
  <c r="AS60" i="1"/>
  <c r="AV60" i="1"/>
  <c r="AU52" i="1"/>
  <c r="AO52" i="1"/>
  <c r="AP52" i="1"/>
  <c r="AT52" i="1"/>
  <c r="AX52" i="1"/>
  <c r="AM52" i="1"/>
  <c r="AV52" i="1"/>
  <c r="AU53" i="1"/>
  <c r="AO53" i="1"/>
  <c r="AW53" i="1"/>
  <c r="AP53" i="1"/>
  <c r="AX53" i="1"/>
  <c r="AT63" i="1"/>
  <c r="AT53" i="1"/>
  <c r="AY53" i="1"/>
  <c r="AM53" i="1"/>
  <c r="AV53" i="1"/>
  <c r="AP63" i="1"/>
  <c r="AM64" i="1"/>
  <c r="AS64" i="1" s="1"/>
  <c r="AU62" i="1"/>
  <c r="K64" i="1"/>
  <c r="K61" i="1" s="1"/>
  <c r="AY62" i="1"/>
  <c r="AW63" i="1"/>
  <c r="AO63" i="1"/>
  <c r="AX63" i="1"/>
  <c r="AV62" i="1"/>
  <c r="AW64" i="1"/>
  <c r="AO62" i="1"/>
  <c r="AW62" i="1"/>
  <c r="AM63" i="1"/>
  <c r="AR63" i="1" s="1"/>
  <c r="AU63" i="1"/>
  <c r="AY63" i="1"/>
  <c r="AP64" i="1"/>
  <c r="AT64" i="1"/>
  <c r="AX64" i="1"/>
  <c r="AZ62" i="1"/>
  <c r="AP62" i="1"/>
  <c r="AT62" i="1"/>
  <c r="AV63" i="1"/>
  <c r="AU64" i="1"/>
  <c r="AY64" i="1"/>
  <c r="AV64" i="1"/>
  <c r="AW27" i="109"/>
  <c r="AT27" i="109"/>
  <c r="AW33" i="109"/>
  <c r="AT33" i="109"/>
  <c r="AX33" i="109"/>
  <c r="AV33" i="109"/>
  <c r="AZ33" i="109"/>
  <c r="AP33" i="109"/>
  <c r="AU33" i="109"/>
  <c r="AK36" i="36"/>
  <c r="AL36" i="36"/>
  <c r="AN36" i="36"/>
  <c r="AT36" i="36" s="1"/>
  <c r="AK37" i="36"/>
  <c r="AL37" i="36"/>
  <c r="AN37" i="36"/>
  <c r="AT37" i="36" s="1"/>
  <c r="AN35" i="36"/>
  <c r="AZ35" i="36" s="1"/>
  <c r="AL35" i="36"/>
  <c r="AK35" i="36"/>
  <c r="H36" i="36"/>
  <c r="AO36" i="36" s="1"/>
  <c r="H37" i="36"/>
  <c r="AO37" i="36" s="1"/>
  <c r="H35" i="36"/>
  <c r="AM27" i="109" l="1"/>
  <c r="AS27" i="109" s="1"/>
  <c r="G72" i="11"/>
  <c r="G76" i="11" s="1"/>
  <c r="M72" i="11"/>
  <c r="M76" i="11" s="1"/>
  <c r="Q72" i="11"/>
  <c r="Q76" i="11" s="1"/>
  <c r="U72" i="11"/>
  <c r="U76" i="11" s="1"/>
  <c r="Y72" i="11"/>
  <c r="Y76" i="11" s="1"/>
  <c r="AC72" i="11"/>
  <c r="AC76" i="11" s="1"/>
  <c r="AG72" i="11"/>
  <c r="AG76" i="11" s="1"/>
  <c r="F72" i="11"/>
  <c r="F76" i="11" s="1"/>
  <c r="B72" i="11"/>
  <c r="C70" i="12" s="1"/>
  <c r="C74" i="12" s="1"/>
  <c r="B24" i="107"/>
  <c r="J72" i="11"/>
  <c r="J76" i="11" s="1"/>
  <c r="W72" i="11"/>
  <c r="W76" i="11" s="1"/>
  <c r="AE72" i="11"/>
  <c r="AE76" i="11" s="1"/>
  <c r="P72" i="11"/>
  <c r="P76" i="11" s="1"/>
  <c r="T72" i="11"/>
  <c r="T76" i="11" s="1"/>
  <c r="AB72" i="11"/>
  <c r="AB76" i="11" s="1"/>
  <c r="I72" i="11"/>
  <c r="I76" i="11" s="1"/>
  <c r="N72" i="11"/>
  <c r="N76" i="11" s="1"/>
  <c r="V72" i="11"/>
  <c r="V76" i="11" s="1"/>
  <c r="Z72" i="11"/>
  <c r="Z76" i="11" s="1"/>
  <c r="AD72" i="11"/>
  <c r="AD76" i="11" s="1"/>
  <c r="AH72" i="11"/>
  <c r="AH76" i="11" s="1"/>
  <c r="E72" i="11"/>
  <c r="E76" i="11" s="1"/>
  <c r="S72" i="11"/>
  <c r="S76" i="11" s="1"/>
  <c r="AI72" i="11"/>
  <c r="AI76" i="11" s="1"/>
  <c r="AJ72" i="11"/>
  <c r="AJ76" i="11" s="1"/>
  <c r="O72" i="11"/>
  <c r="G70" i="12" s="1"/>
  <c r="AA72" i="11"/>
  <c r="AA76" i="11" s="1"/>
  <c r="L72" i="11"/>
  <c r="L76" i="11" s="1"/>
  <c r="X72" i="11"/>
  <c r="X76" i="11" s="1"/>
  <c r="AF72" i="11"/>
  <c r="AF76" i="11" s="1"/>
  <c r="AT24" i="107"/>
  <c r="B76" i="11"/>
  <c r="AL20" i="107"/>
  <c r="AK20" i="107"/>
  <c r="AN20" i="107"/>
  <c r="AZ20" i="107" s="1"/>
  <c r="AU27" i="109"/>
  <c r="AY19" i="7"/>
  <c r="AX18" i="107"/>
  <c r="AV18" i="107"/>
  <c r="AU18" i="107"/>
  <c r="AU19" i="7"/>
  <c r="AU36" i="36"/>
  <c r="AX19" i="95"/>
  <c r="AT18" i="107"/>
  <c r="AT19" i="95"/>
  <c r="AU19" i="95"/>
  <c r="AM19" i="95"/>
  <c r="AQ19" i="95" s="1"/>
  <c r="AW19" i="95"/>
  <c r="AY19" i="95"/>
  <c r="AM19" i="7"/>
  <c r="AS19" i="7" s="1"/>
  <c r="AL41" i="36"/>
  <c r="AN41" i="36"/>
  <c r="AT41" i="36" s="1"/>
  <c r="AK41" i="36"/>
  <c r="AX36" i="36"/>
  <c r="AV19" i="95"/>
  <c r="AZ41" i="36"/>
  <c r="AY36" i="36"/>
  <c r="AW36" i="36"/>
  <c r="AT49" i="1"/>
  <c r="AQ27" i="109"/>
  <c r="AZ27" i="109"/>
  <c r="AX27" i="109"/>
  <c r="AV27" i="109"/>
  <c r="AL48" i="11"/>
  <c r="AM37" i="109"/>
  <c r="AQ33" i="109"/>
  <c r="AR33" i="109"/>
  <c r="AM61" i="1"/>
  <c r="AS61" i="1" s="1"/>
  <c r="AX49" i="1"/>
  <c r="AU49" i="1"/>
  <c r="AY49" i="1"/>
  <c r="AV49" i="1"/>
  <c r="AW49" i="1"/>
  <c r="AM49" i="1"/>
  <c r="AQ49" i="1" s="1"/>
  <c r="AV38" i="11"/>
  <c r="AY38" i="11"/>
  <c r="AT38" i="11"/>
  <c r="AU38" i="11"/>
  <c r="AW38" i="11"/>
  <c r="AX38" i="11"/>
  <c r="BA35" i="35"/>
  <c r="AZ35" i="35"/>
  <c r="AX35" i="35"/>
  <c r="AW35" i="35"/>
  <c r="AV35" i="35"/>
  <c r="AR27" i="109"/>
  <c r="AO35" i="36"/>
  <c r="H38" i="36"/>
  <c r="AM36" i="36"/>
  <c r="AR36" i="36" s="1"/>
  <c r="D36" i="12"/>
  <c r="G35" i="12"/>
  <c r="AZ19" i="7"/>
  <c r="AW19" i="7"/>
  <c r="K37" i="36"/>
  <c r="AM18" i="107"/>
  <c r="AM40" i="11" s="1"/>
  <c r="AV19" i="7"/>
  <c r="AX19" i="7"/>
  <c r="AY35" i="35"/>
  <c r="AZ18" i="107"/>
  <c r="AN40" i="11"/>
  <c r="AT40" i="11" s="1"/>
  <c r="AW18" i="107"/>
  <c r="U36" i="11"/>
  <c r="AW37" i="109"/>
  <c r="AT37" i="109"/>
  <c r="G34" i="12"/>
  <c r="AZ61" i="1"/>
  <c r="AW61" i="1"/>
  <c r="AP61" i="1"/>
  <c r="AV61" i="1"/>
  <c r="AX61" i="1"/>
  <c r="AY61" i="1"/>
  <c r="AT61" i="1"/>
  <c r="AS19" i="95"/>
  <c r="AR35" i="35"/>
  <c r="AT35" i="35"/>
  <c r="AS35" i="35"/>
  <c r="AQ65" i="1"/>
  <c r="AS65" i="1"/>
  <c r="AR69" i="1"/>
  <c r="AQ69" i="1"/>
  <c r="AR67" i="1"/>
  <c r="AS66" i="1"/>
  <c r="AQ66" i="1"/>
  <c r="AR66" i="1"/>
  <c r="AQ67" i="1"/>
  <c r="AR68" i="1"/>
  <c r="AS68" i="1"/>
  <c r="AS62" i="1"/>
  <c r="AQ62" i="1"/>
  <c r="AQ64" i="1"/>
  <c r="AR64" i="1"/>
  <c r="AQ52" i="1"/>
  <c r="AS52" i="1"/>
  <c r="AR52" i="1"/>
  <c r="AQ53" i="1"/>
  <c r="AS53" i="1"/>
  <c r="AR53" i="1"/>
  <c r="AQ63" i="1"/>
  <c r="AS63" i="1"/>
  <c r="K36" i="36"/>
  <c r="K35" i="36"/>
  <c r="AZ36" i="36"/>
  <c r="AV36" i="36"/>
  <c r="AP36" i="36"/>
  <c r="AW35" i="36"/>
  <c r="AU35" i="36"/>
  <c r="AY35" i="36"/>
  <c r="AP37" i="36"/>
  <c r="AW37" i="36"/>
  <c r="AY37" i="36"/>
  <c r="AU37" i="36"/>
  <c r="AM37" i="36"/>
  <c r="AQ37" i="36" s="1"/>
  <c r="AZ37" i="36"/>
  <c r="AX37" i="36"/>
  <c r="AV37" i="36"/>
  <c r="AS37" i="36"/>
  <c r="AM35" i="36"/>
  <c r="AP35" i="36"/>
  <c r="AT35" i="36"/>
  <c r="AV35" i="36"/>
  <c r="AX35" i="36"/>
  <c r="AN12" i="31"/>
  <c r="AZ12" i="31" s="1"/>
  <c r="AL12" i="31"/>
  <c r="AK12" i="31"/>
  <c r="H12" i="31"/>
  <c r="AO12" i="31" s="1"/>
  <c r="AJ13" i="31"/>
  <c r="AJ42" i="11" s="1"/>
  <c r="AI13" i="31"/>
  <c r="AI42" i="11" s="1"/>
  <c r="AH13" i="31"/>
  <c r="AH42" i="11" s="1"/>
  <c r="AG13" i="31"/>
  <c r="AG42" i="11" s="1"/>
  <c r="AF13" i="31"/>
  <c r="AF42" i="11" s="1"/>
  <c r="AE13" i="31"/>
  <c r="AE42" i="11" s="1"/>
  <c r="AD13" i="31"/>
  <c r="AD42" i="11" s="1"/>
  <c r="AC13" i="31"/>
  <c r="AC42" i="11" s="1"/>
  <c r="AB13" i="31"/>
  <c r="AB42" i="11" s="1"/>
  <c r="AA13" i="31"/>
  <c r="AA42" i="11" s="1"/>
  <c r="Z13" i="31"/>
  <c r="Z42" i="11" s="1"/>
  <c r="Y13" i="31"/>
  <c r="Y42" i="11" s="1"/>
  <c r="X13" i="31"/>
  <c r="X42" i="11" s="1"/>
  <c r="W13" i="31"/>
  <c r="W42" i="11" s="1"/>
  <c r="V13" i="31"/>
  <c r="V42" i="11" s="1"/>
  <c r="U13" i="31"/>
  <c r="U42" i="11" s="1"/>
  <c r="T13" i="31"/>
  <c r="T42" i="11" s="1"/>
  <c r="S13" i="31"/>
  <c r="S42" i="11" s="1"/>
  <c r="R13" i="31"/>
  <c r="R42" i="11" s="1"/>
  <c r="Q13" i="31"/>
  <c r="Q42" i="11" s="1"/>
  <c r="P13" i="31"/>
  <c r="P42" i="11" s="1"/>
  <c r="O13" i="31"/>
  <c r="O42" i="11" s="1"/>
  <c r="G40" i="12" s="1"/>
  <c r="N13" i="31"/>
  <c r="N42" i="11" s="1"/>
  <c r="M13" i="31"/>
  <c r="M42" i="11" s="1"/>
  <c r="L13" i="31"/>
  <c r="L42" i="11" s="1"/>
  <c r="J13" i="31"/>
  <c r="J42" i="11" s="1"/>
  <c r="I13" i="31"/>
  <c r="I42" i="11" s="1"/>
  <c r="G13" i="31"/>
  <c r="G42" i="11" s="1"/>
  <c r="AL76" i="11" l="1"/>
  <c r="AK76" i="11"/>
  <c r="O76" i="11"/>
  <c r="E70" i="12"/>
  <c r="E74" i="12" s="1"/>
  <c r="AK72" i="11"/>
  <c r="AL72" i="11"/>
  <c r="AN72" i="11"/>
  <c r="AV72" i="11" s="1"/>
  <c r="AW24" i="107"/>
  <c r="AV24" i="107"/>
  <c r="AZ24" i="107"/>
  <c r="AX24" i="107"/>
  <c r="AK24" i="107"/>
  <c r="AY24" i="107"/>
  <c r="AU24" i="107"/>
  <c r="AL24" i="107"/>
  <c r="AU20" i="107"/>
  <c r="AN76" i="11"/>
  <c r="AU76" i="11" s="1"/>
  <c r="G74" i="12"/>
  <c r="AW41" i="36"/>
  <c r="AS36" i="36"/>
  <c r="AM41" i="36"/>
  <c r="AR41" i="36" s="1"/>
  <c r="AW20" i="107"/>
  <c r="AS18" i="107"/>
  <c r="AV20" i="107"/>
  <c r="AM20" i="107"/>
  <c r="AS20" i="107" s="1"/>
  <c r="AT20" i="107"/>
  <c r="AX20" i="107"/>
  <c r="AY20" i="107"/>
  <c r="AR19" i="95"/>
  <c r="AR18" i="107"/>
  <c r="AQ36" i="36"/>
  <c r="AQ18" i="107"/>
  <c r="AQ19" i="7"/>
  <c r="AV41" i="36"/>
  <c r="AR19" i="7"/>
  <c r="AY41" i="36"/>
  <c r="AU41" i="36"/>
  <c r="AX41" i="36"/>
  <c r="H41" i="11"/>
  <c r="AO41" i="11" s="1"/>
  <c r="AO41" i="36"/>
  <c r="AR61" i="1"/>
  <c r="AQ61" i="1"/>
  <c r="AM48" i="11"/>
  <c r="AS48" i="11" s="1"/>
  <c r="AR37" i="109"/>
  <c r="AS49" i="1"/>
  <c r="AR49" i="1"/>
  <c r="AV37" i="109"/>
  <c r="AX37" i="109"/>
  <c r="K38" i="36"/>
  <c r="AU37" i="109"/>
  <c r="AZ37" i="109"/>
  <c r="H38" i="12"/>
  <c r="AQ40" i="11"/>
  <c r="AW40" i="11"/>
  <c r="AY40" i="11"/>
  <c r="AZ40" i="11"/>
  <c r="AX40" i="11"/>
  <c r="AV40" i="11"/>
  <c r="AU40" i="11"/>
  <c r="I38" i="12"/>
  <c r="AS40" i="11"/>
  <c r="AS37" i="109"/>
  <c r="AR40" i="11"/>
  <c r="AY37" i="109"/>
  <c r="AU12" i="31"/>
  <c r="AW12" i="31"/>
  <c r="AY12" i="31"/>
  <c r="K12" i="31"/>
  <c r="AR37" i="36"/>
  <c r="AS35" i="36"/>
  <c r="AQ35" i="36"/>
  <c r="AR35" i="36"/>
  <c r="AM12" i="31"/>
  <c r="AP12" i="31"/>
  <c r="AT12" i="31"/>
  <c r="AV12" i="31"/>
  <c r="AX12" i="31"/>
  <c r="AL13" i="31"/>
  <c r="AL42" i="11" s="1"/>
  <c r="AK13" i="31"/>
  <c r="AK42" i="11" s="1"/>
  <c r="H13" i="31"/>
  <c r="AN13" i="31"/>
  <c r="AN21" i="95"/>
  <c r="AT21" i="95" s="1"/>
  <c r="AN20" i="95"/>
  <c r="AZ20" i="95" s="1"/>
  <c r="AL20" i="95"/>
  <c r="H21" i="95"/>
  <c r="H20" i="95"/>
  <c r="AJ22" i="95"/>
  <c r="AJ43" i="11" s="1"/>
  <c r="AI22" i="95"/>
  <c r="AI43" i="11" s="1"/>
  <c r="AH22" i="95"/>
  <c r="AH43" i="11" s="1"/>
  <c r="AH46" i="11" s="1"/>
  <c r="AG22" i="95"/>
  <c r="AG43" i="11" s="1"/>
  <c r="AF22" i="95"/>
  <c r="AF43" i="11" s="1"/>
  <c r="AE22" i="95"/>
  <c r="AE43" i="11" s="1"/>
  <c r="AD22" i="95"/>
  <c r="AD43" i="11" s="1"/>
  <c r="AC22" i="95"/>
  <c r="AC43" i="11" s="1"/>
  <c r="AB22" i="95"/>
  <c r="AB43" i="11" s="1"/>
  <c r="AA22" i="95"/>
  <c r="AA43" i="11" s="1"/>
  <c r="Z22" i="95"/>
  <c r="Z43" i="11" s="1"/>
  <c r="Y22" i="95"/>
  <c r="Y43" i="11" s="1"/>
  <c r="X22" i="95"/>
  <c r="X43" i="11" s="1"/>
  <c r="W22" i="95"/>
  <c r="W43" i="11" s="1"/>
  <c r="V22" i="95"/>
  <c r="V43" i="11" s="1"/>
  <c r="U22" i="95"/>
  <c r="U43" i="11" s="1"/>
  <c r="T22" i="95"/>
  <c r="T43" i="11" s="1"/>
  <c r="S22" i="95"/>
  <c r="S43" i="11" s="1"/>
  <c r="R22" i="95"/>
  <c r="R43" i="11" s="1"/>
  <c r="Q22" i="95"/>
  <c r="P22" i="95"/>
  <c r="P43" i="11" s="1"/>
  <c r="O22" i="95"/>
  <c r="O43" i="11" s="1"/>
  <c r="N22" i="95"/>
  <c r="N43" i="11" s="1"/>
  <c r="M22" i="95"/>
  <c r="M43" i="11" s="1"/>
  <c r="L22" i="95"/>
  <c r="L43" i="11" s="1"/>
  <c r="J22" i="95"/>
  <c r="J43" i="11" s="1"/>
  <c r="I22" i="95"/>
  <c r="I43" i="11" s="1"/>
  <c r="G22" i="95"/>
  <c r="G43" i="11" s="1"/>
  <c r="F22" i="95"/>
  <c r="F43" i="11" s="1"/>
  <c r="F46" i="11" s="1"/>
  <c r="C22" i="95"/>
  <c r="C43" i="11" s="1"/>
  <c r="AK28" i="109"/>
  <c r="AL28" i="109"/>
  <c r="AN28" i="109"/>
  <c r="AX28" i="109" s="1"/>
  <c r="AK29" i="109"/>
  <c r="AL29" i="109"/>
  <c r="AN29" i="109"/>
  <c r="AT29" i="109" s="1"/>
  <c r="AK30" i="109"/>
  <c r="AL30" i="109"/>
  <c r="AN30" i="109"/>
  <c r="AT30" i="109" s="1"/>
  <c r="AK31" i="109"/>
  <c r="AL31" i="109"/>
  <c r="AN31" i="109"/>
  <c r="AV31" i="109" s="1"/>
  <c r="AK32" i="109"/>
  <c r="AL32" i="109"/>
  <c r="AN32" i="109"/>
  <c r="AT32" i="109" s="1"/>
  <c r="H28" i="109"/>
  <c r="H29" i="109"/>
  <c r="K29" i="109" s="1"/>
  <c r="H30" i="109"/>
  <c r="H31" i="109"/>
  <c r="K31" i="109" s="1"/>
  <c r="H32" i="109"/>
  <c r="AU72" i="11" l="1"/>
  <c r="AW72" i="11"/>
  <c r="AY72" i="11"/>
  <c r="AZ72" i="11"/>
  <c r="AM76" i="11"/>
  <c r="AR76" i="11" s="1"/>
  <c r="AT72" i="11"/>
  <c r="AM72" i="11"/>
  <c r="I70" i="12" s="1"/>
  <c r="I74" i="12" s="1"/>
  <c r="H70" i="12"/>
  <c r="H74" i="12" s="1"/>
  <c r="AX72" i="11"/>
  <c r="AM24" i="107"/>
  <c r="AY76" i="11"/>
  <c r="AV76" i="11"/>
  <c r="AT76" i="11"/>
  <c r="AW76" i="11"/>
  <c r="AX76" i="11"/>
  <c r="AZ76" i="11"/>
  <c r="AS41" i="36"/>
  <c r="AQ41" i="36"/>
  <c r="AQ20" i="107"/>
  <c r="AR20" i="107"/>
  <c r="AO26" i="95"/>
  <c r="AP26" i="95"/>
  <c r="F39" i="12"/>
  <c r="J39" i="12" s="1"/>
  <c r="AP41" i="36"/>
  <c r="K41" i="11"/>
  <c r="I46" i="12"/>
  <c r="I48" i="12" s="1"/>
  <c r="AQ48" i="11"/>
  <c r="AR48" i="11"/>
  <c r="AV28" i="109"/>
  <c r="AZ28" i="109"/>
  <c r="K30" i="109"/>
  <c r="G41" i="12"/>
  <c r="AQ37" i="109"/>
  <c r="AL22" i="95"/>
  <c r="AL43" i="11" s="1"/>
  <c r="Q43" i="11"/>
  <c r="AO20" i="95"/>
  <c r="H19" i="95"/>
  <c r="AT13" i="31"/>
  <c r="AN42" i="11"/>
  <c r="AZ30" i="109"/>
  <c r="AZ29" i="109"/>
  <c r="AV29" i="109"/>
  <c r="AT28" i="109"/>
  <c r="AX29" i="109"/>
  <c r="AO28" i="109"/>
  <c r="H27" i="109"/>
  <c r="K13" i="31"/>
  <c r="K42" i="11" s="1"/>
  <c r="H42" i="11"/>
  <c r="AX30" i="109"/>
  <c r="AV30" i="109"/>
  <c r="AM28" i="109"/>
  <c r="AR28" i="109" s="1"/>
  <c r="AO30" i="109"/>
  <c r="AP29" i="109"/>
  <c r="AT31" i="109"/>
  <c r="AM31" i="109"/>
  <c r="AR31" i="109" s="1"/>
  <c r="AO29" i="109"/>
  <c r="AP28" i="109"/>
  <c r="K20" i="95"/>
  <c r="K28" i="109"/>
  <c r="K27" i="109" s="1"/>
  <c r="AZ32" i="109"/>
  <c r="AZ31" i="109"/>
  <c r="AP31" i="109"/>
  <c r="AM30" i="109"/>
  <c r="AR30" i="109" s="1"/>
  <c r="AK22" i="95"/>
  <c r="AK43" i="11" s="1"/>
  <c r="AP21" i="95"/>
  <c r="AZ21" i="95"/>
  <c r="AX31" i="109"/>
  <c r="AO31" i="109"/>
  <c r="AP30" i="109"/>
  <c r="AM29" i="109"/>
  <c r="AR29" i="109" s="1"/>
  <c r="AV21" i="95"/>
  <c r="AS12" i="31"/>
  <c r="AQ12" i="31"/>
  <c r="AR12" i="31"/>
  <c r="AM13" i="31"/>
  <c r="AU13" i="31"/>
  <c r="AV13" i="31"/>
  <c r="AY13" i="31"/>
  <c r="AZ13" i="31"/>
  <c r="AO13" i="31"/>
  <c r="AP13" i="31"/>
  <c r="AW13" i="31"/>
  <c r="AX13" i="31"/>
  <c r="AX21" i="95"/>
  <c r="AM21" i="95"/>
  <c r="AR21" i="95" s="1"/>
  <c r="K21" i="95"/>
  <c r="AO21" i="95"/>
  <c r="AU20" i="95"/>
  <c r="AY20" i="95"/>
  <c r="AW20" i="95"/>
  <c r="AY21" i="95"/>
  <c r="AW21" i="95"/>
  <c r="AU21" i="95"/>
  <c r="AM20" i="95"/>
  <c r="AP20" i="95"/>
  <c r="AT20" i="95"/>
  <c r="AV20" i="95"/>
  <c r="AX20" i="95"/>
  <c r="AN22" i="95"/>
  <c r="AN43" i="11" s="1"/>
  <c r="AV32" i="109"/>
  <c r="AP32" i="109"/>
  <c r="AX32" i="109"/>
  <c r="AM32" i="109"/>
  <c r="AR32" i="109" s="1"/>
  <c r="AO32" i="109"/>
  <c r="K32" i="109"/>
  <c r="AY32" i="109"/>
  <c r="AW32" i="109"/>
  <c r="AU32" i="109"/>
  <c r="AY31" i="109"/>
  <c r="AW31" i="109"/>
  <c r="AU31" i="109"/>
  <c r="AY30" i="109"/>
  <c r="AW30" i="109"/>
  <c r="AU30" i="109"/>
  <c r="AY29" i="109"/>
  <c r="AW29" i="109"/>
  <c r="AU29" i="109"/>
  <c r="AY28" i="109"/>
  <c r="AW28" i="109"/>
  <c r="AU28" i="109"/>
  <c r="AL37" i="35"/>
  <c r="AM37" i="35"/>
  <c r="AN37" i="35"/>
  <c r="AO37" i="35"/>
  <c r="AL38" i="35"/>
  <c r="AM38" i="35"/>
  <c r="AN38" i="35"/>
  <c r="AO38" i="35"/>
  <c r="AL39" i="35"/>
  <c r="AM39" i="35"/>
  <c r="AN39" i="35"/>
  <c r="AO39" i="35"/>
  <c r="AL40" i="35"/>
  <c r="AM40" i="35"/>
  <c r="AN40" i="35"/>
  <c r="AO40" i="35"/>
  <c r="AO36" i="35"/>
  <c r="AN36" i="35"/>
  <c r="AM36" i="35"/>
  <c r="AL36" i="35"/>
  <c r="I37" i="35"/>
  <c r="L37" i="35" s="1"/>
  <c r="I38" i="35"/>
  <c r="AP38" i="35" s="1"/>
  <c r="I39" i="35"/>
  <c r="L39" i="35" s="1"/>
  <c r="I40" i="35"/>
  <c r="AP40" i="35" s="1"/>
  <c r="I36" i="35"/>
  <c r="AS72" i="11" l="1"/>
  <c r="AQ76" i="11"/>
  <c r="AS76" i="11"/>
  <c r="AQ72" i="11"/>
  <c r="AR72" i="11"/>
  <c r="AR24" i="107"/>
  <c r="AQ24" i="107"/>
  <c r="AS24" i="107"/>
  <c r="AT39" i="35"/>
  <c r="AS39" i="35"/>
  <c r="AQ40" i="35"/>
  <c r="AQ37" i="35"/>
  <c r="AS40" i="35"/>
  <c r="AQ30" i="109"/>
  <c r="AS38" i="35"/>
  <c r="AS37" i="35"/>
  <c r="AT37" i="35"/>
  <c r="H41" i="12"/>
  <c r="AZ43" i="11"/>
  <c r="AX43" i="11"/>
  <c r="AT38" i="35"/>
  <c r="AM22" i="95"/>
  <c r="AR13" i="31"/>
  <c r="AM42" i="11"/>
  <c r="AP19" i="95"/>
  <c r="AO19" i="95"/>
  <c r="AU43" i="11"/>
  <c r="AW43" i="11"/>
  <c r="AV43" i="11"/>
  <c r="L36" i="35"/>
  <c r="I35" i="35"/>
  <c r="AR36" i="35"/>
  <c r="AT40" i="35"/>
  <c r="AS30" i="109"/>
  <c r="AS31" i="109"/>
  <c r="K19" i="95"/>
  <c r="AT43" i="11"/>
  <c r="AS36" i="35"/>
  <c r="AR38" i="35"/>
  <c r="AS21" i="95"/>
  <c r="AQ21" i="95"/>
  <c r="AS13" i="31"/>
  <c r="AQ13" i="31"/>
  <c r="H40" i="12"/>
  <c r="AY42" i="11"/>
  <c r="AX42" i="11"/>
  <c r="AW42" i="11"/>
  <c r="AV42" i="11"/>
  <c r="AT42" i="11"/>
  <c r="AZ42" i="11"/>
  <c r="AU42" i="11"/>
  <c r="AY43" i="11"/>
  <c r="AS29" i="109"/>
  <c r="AS32" i="109"/>
  <c r="K34" i="109"/>
  <c r="K38" i="11" s="1"/>
  <c r="H34" i="109"/>
  <c r="AP34" i="109" s="1"/>
  <c r="AO27" i="109"/>
  <c r="AP27" i="109"/>
  <c r="F40" i="12"/>
  <c r="AO42" i="11"/>
  <c r="AP42" i="11"/>
  <c r="AQ39" i="35"/>
  <c r="L40" i="35"/>
  <c r="AS28" i="109"/>
  <c r="AQ28" i="109"/>
  <c r="AP36" i="35"/>
  <c r="AR39" i="35"/>
  <c r="AR37" i="35"/>
  <c r="L38" i="35"/>
  <c r="AT36" i="35"/>
  <c r="AQ38" i="35"/>
  <c r="AQ29" i="109"/>
  <c r="AR40" i="35"/>
  <c r="AP39" i="35"/>
  <c r="AP37" i="35"/>
  <c r="AQ31" i="109"/>
  <c r="AS20" i="95"/>
  <c r="AQ20" i="95"/>
  <c r="AR20" i="95"/>
  <c r="AQ22" i="95"/>
  <c r="AW22" i="95"/>
  <c r="AS22" i="95"/>
  <c r="AX22" i="95"/>
  <c r="AT22" i="95"/>
  <c r="AY22" i="95"/>
  <c r="AU22" i="95"/>
  <c r="AZ22" i="95"/>
  <c r="AV22" i="95"/>
  <c r="AQ32" i="109"/>
  <c r="AM34" i="109"/>
  <c r="AQ34" i="109" s="1"/>
  <c r="AW34" i="109"/>
  <c r="AZ34" i="109"/>
  <c r="AV34" i="109"/>
  <c r="AT34" i="109"/>
  <c r="AY34" i="109"/>
  <c r="AU34" i="109"/>
  <c r="AX34" i="109"/>
  <c r="AQ36" i="35"/>
  <c r="AM41" i="35"/>
  <c r="AL37" i="11" s="1"/>
  <c r="AK34" i="35"/>
  <c r="AJ34" i="35"/>
  <c r="AI34" i="35"/>
  <c r="AH34" i="35"/>
  <c r="AG34" i="35"/>
  <c r="AF34" i="35"/>
  <c r="AE34" i="35"/>
  <c r="AD34" i="35"/>
  <c r="AC34" i="35"/>
  <c r="AB34" i="35"/>
  <c r="AA34" i="35"/>
  <c r="Z34" i="35"/>
  <c r="Y34" i="35"/>
  <c r="X34" i="35"/>
  <c r="W34" i="35"/>
  <c r="V34" i="35"/>
  <c r="U34" i="35"/>
  <c r="T34" i="35"/>
  <c r="S34" i="35"/>
  <c r="R34" i="35"/>
  <c r="Q34" i="35"/>
  <c r="P34" i="35"/>
  <c r="O34" i="35"/>
  <c r="N34" i="35"/>
  <c r="M34" i="35"/>
  <c r="K34" i="35"/>
  <c r="J34" i="35"/>
  <c r="H34" i="35"/>
  <c r="G34" i="35"/>
  <c r="D34" i="35"/>
  <c r="AL34" i="35" l="1"/>
  <c r="I40" i="12"/>
  <c r="AS42" i="11"/>
  <c r="AR42" i="11"/>
  <c r="AQ42" i="11"/>
  <c r="I41" i="35"/>
  <c r="AP35" i="35"/>
  <c r="AQ35" i="35"/>
  <c r="AR34" i="109"/>
  <c r="AM38" i="11"/>
  <c r="L35" i="35"/>
  <c r="L41" i="35" s="1"/>
  <c r="K37" i="11" s="1"/>
  <c r="AR22" i="95"/>
  <c r="AM43" i="11"/>
  <c r="AO37" i="109"/>
  <c r="AP37" i="109"/>
  <c r="H38" i="11"/>
  <c r="AO34" i="109"/>
  <c r="J40" i="12"/>
  <c r="K40" i="12"/>
  <c r="AL41" i="35"/>
  <c r="AK37" i="11" s="1"/>
  <c r="AM34" i="35"/>
  <c r="AN34" i="35" s="1"/>
  <c r="AS34" i="109"/>
  <c r="AO41" i="35"/>
  <c r="AO34" i="35"/>
  <c r="BA34" i="35" s="1"/>
  <c r="AK15" i="107"/>
  <c r="AL15" i="107"/>
  <c r="AN15" i="107"/>
  <c r="AT15" i="107" s="1"/>
  <c r="AK16" i="107"/>
  <c r="AL16" i="107"/>
  <c r="AN16" i="107"/>
  <c r="AT16" i="107" s="1"/>
  <c r="AK17" i="107"/>
  <c r="AL17" i="107"/>
  <c r="AN17" i="107"/>
  <c r="AT17" i="107" s="1"/>
  <c r="AN14" i="107"/>
  <c r="AZ14" i="107" s="1"/>
  <c r="AL14" i="107"/>
  <c r="AK14" i="107"/>
  <c r="H15" i="107"/>
  <c r="H16" i="107"/>
  <c r="H17" i="107"/>
  <c r="H14" i="107"/>
  <c r="AK17" i="122"/>
  <c r="AL17" i="122"/>
  <c r="AN17" i="122"/>
  <c r="AT17" i="122" s="1"/>
  <c r="AK18" i="122"/>
  <c r="AL18" i="122"/>
  <c r="AN18" i="122"/>
  <c r="AT18" i="122" s="1"/>
  <c r="AK19" i="122"/>
  <c r="AL19" i="122"/>
  <c r="AN19" i="122"/>
  <c r="AX19" i="122" s="1"/>
  <c r="AT19" i="122"/>
  <c r="AV19" i="122"/>
  <c r="AK20" i="122"/>
  <c r="AL20" i="122"/>
  <c r="AN20" i="122"/>
  <c r="AT20" i="122" s="1"/>
  <c r="AN16" i="122"/>
  <c r="AZ16" i="122" s="1"/>
  <c r="AL16" i="122"/>
  <c r="AK16" i="122"/>
  <c r="H17" i="122"/>
  <c r="K17" i="122" s="1"/>
  <c r="H18" i="122"/>
  <c r="K18" i="122" s="1"/>
  <c r="H19" i="122"/>
  <c r="K19" i="122" s="1"/>
  <c r="H20" i="122"/>
  <c r="K20" i="122" s="1"/>
  <c r="H16" i="122"/>
  <c r="K16" i="122" s="1"/>
  <c r="AJ21" i="122"/>
  <c r="AJ44" i="11" s="1"/>
  <c r="AI21" i="122"/>
  <c r="AI44" i="11" s="1"/>
  <c r="AI46" i="11" s="1"/>
  <c r="AG21" i="122"/>
  <c r="AG44" i="11" s="1"/>
  <c r="AF21" i="122"/>
  <c r="AF44" i="11" s="1"/>
  <c r="AF46" i="11" s="1"/>
  <c r="AE21" i="122"/>
  <c r="AE44" i="11" s="1"/>
  <c r="AE46" i="11" s="1"/>
  <c r="AD21" i="122"/>
  <c r="AD44" i="11" s="1"/>
  <c r="AC21" i="122"/>
  <c r="AC44" i="11" s="1"/>
  <c r="AC46" i="11" s="1"/>
  <c r="AB21" i="122"/>
  <c r="AB44" i="11" s="1"/>
  <c r="AB46" i="11" s="1"/>
  <c r="AA21" i="122"/>
  <c r="AA44" i="11" s="1"/>
  <c r="Z21" i="122"/>
  <c r="Z44" i="11" s="1"/>
  <c r="Z46" i="11" s="1"/>
  <c r="Y21" i="122"/>
  <c r="Y44" i="11" s="1"/>
  <c r="Y46" i="11" s="1"/>
  <c r="X21" i="122"/>
  <c r="X44" i="11" s="1"/>
  <c r="W21" i="122"/>
  <c r="W44" i="11" s="1"/>
  <c r="W46" i="11" s="1"/>
  <c r="V21" i="122"/>
  <c r="V44" i="11" s="1"/>
  <c r="V46" i="11" s="1"/>
  <c r="U21" i="122"/>
  <c r="U44" i="11" s="1"/>
  <c r="T21" i="122"/>
  <c r="T44" i="11" s="1"/>
  <c r="T46" i="11" s="1"/>
  <c r="S21" i="122"/>
  <c r="S44" i="11" s="1"/>
  <c r="S46" i="11" s="1"/>
  <c r="R21" i="122"/>
  <c r="R44" i="11" s="1"/>
  <c r="Q21" i="122"/>
  <c r="Q44" i="11" s="1"/>
  <c r="Q46" i="11" s="1"/>
  <c r="P21" i="122"/>
  <c r="O21" i="122"/>
  <c r="O44" i="11" s="1"/>
  <c r="N21" i="122"/>
  <c r="N44" i="11" s="1"/>
  <c r="N46" i="11" s="1"/>
  <c r="M21" i="122"/>
  <c r="M44" i="11" s="1"/>
  <c r="M46" i="11" s="1"/>
  <c r="L21" i="122"/>
  <c r="L44" i="11" s="1"/>
  <c r="L46" i="11" s="1"/>
  <c r="J21" i="122"/>
  <c r="J44" i="11" s="1"/>
  <c r="J46" i="11" s="1"/>
  <c r="I21" i="122"/>
  <c r="I44" i="11" s="1"/>
  <c r="I46" i="11" s="1"/>
  <c r="G21" i="122"/>
  <c r="G44" i="11" s="1"/>
  <c r="G46" i="11" s="1"/>
  <c r="AP17" i="107" l="1"/>
  <c r="AO16" i="107"/>
  <c r="AP15" i="107"/>
  <c r="AZ17" i="107"/>
  <c r="AV15" i="107"/>
  <c r="AZ19" i="122"/>
  <c r="AT34" i="35"/>
  <c r="AS34" i="35"/>
  <c r="R46" i="11"/>
  <c r="AD46" i="11"/>
  <c r="AJ46" i="11"/>
  <c r="AK21" i="122"/>
  <c r="AK44" i="11" s="1"/>
  <c r="P44" i="11"/>
  <c r="P46" i="11" s="1"/>
  <c r="AK46" i="11" s="1"/>
  <c r="X46" i="11"/>
  <c r="AU16" i="122"/>
  <c r="AP19" i="122"/>
  <c r="AV17" i="122"/>
  <c r="AV34" i="35"/>
  <c r="AW41" i="35"/>
  <c r="AN37" i="11"/>
  <c r="G42" i="12"/>
  <c r="O46" i="11"/>
  <c r="AA46" i="11"/>
  <c r="AZ17" i="122"/>
  <c r="AW34" i="35"/>
  <c r="AL46" i="11"/>
  <c r="U46" i="11"/>
  <c r="AG46" i="11"/>
  <c r="AW16" i="122"/>
  <c r="AP17" i="122"/>
  <c r="AO14" i="107"/>
  <c r="H18" i="107"/>
  <c r="H20" i="107" s="1"/>
  <c r="AN41" i="35"/>
  <c r="I41" i="12"/>
  <c r="AQ43" i="11"/>
  <c r="AR43" i="11"/>
  <c r="AS43" i="11"/>
  <c r="I36" i="12"/>
  <c r="AQ38" i="11"/>
  <c r="AS38" i="11"/>
  <c r="AR38" i="11"/>
  <c r="H37" i="11"/>
  <c r="AP41" i="35"/>
  <c r="F36" i="12"/>
  <c r="AP38" i="11"/>
  <c r="AO38" i="11"/>
  <c r="AO19" i="122"/>
  <c r="AP18" i="122"/>
  <c r="AO17" i="122"/>
  <c r="AO20" i="122"/>
  <c r="AY16" i="122"/>
  <c r="AO18" i="122"/>
  <c r="AZ41" i="35"/>
  <c r="BA41" i="35"/>
  <c r="AO16" i="122"/>
  <c r="AP20" i="122"/>
  <c r="AZ15" i="107"/>
  <c r="AZ34" i="35"/>
  <c r="AV41" i="35"/>
  <c r="AQ41" i="35"/>
  <c r="AX41" i="35"/>
  <c r="AY41" i="35"/>
  <c r="AU41" i="35"/>
  <c r="AR34" i="35"/>
  <c r="AX34" i="35"/>
  <c r="AY34" i="35"/>
  <c r="AU34" i="35"/>
  <c r="AV17" i="107"/>
  <c r="AM17" i="107"/>
  <c r="AR17" i="107" s="1"/>
  <c r="AX17" i="107"/>
  <c r="AO17" i="107"/>
  <c r="K17" i="107"/>
  <c r="AZ16" i="107"/>
  <c r="AV16" i="107"/>
  <c r="AX16" i="107"/>
  <c r="AM16" i="107"/>
  <c r="AR16" i="107" s="1"/>
  <c r="AP16" i="107"/>
  <c r="K16" i="107"/>
  <c r="AX15" i="107"/>
  <c r="AM15" i="107"/>
  <c r="AR15" i="107" s="1"/>
  <c r="AO15" i="107"/>
  <c r="K15" i="107"/>
  <c r="AU14" i="107"/>
  <c r="AY14" i="107"/>
  <c r="AW14" i="107"/>
  <c r="K14" i="107"/>
  <c r="AY17" i="107"/>
  <c r="AW17" i="107"/>
  <c r="AU17" i="107"/>
  <c r="AY16" i="107"/>
  <c r="AW16" i="107"/>
  <c r="AU16" i="107"/>
  <c r="AY15" i="107"/>
  <c r="AW15" i="107"/>
  <c r="AU15" i="107"/>
  <c r="AM14" i="107"/>
  <c r="AR14" i="107" s="1"/>
  <c r="AP14" i="107"/>
  <c r="AT14" i="107"/>
  <c r="AV14" i="107"/>
  <c r="AX14" i="107"/>
  <c r="AZ20" i="122"/>
  <c r="AV20" i="122"/>
  <c r="AX20" i="122"/>
  <c r="AM20" i="122"/>
  <c r="AR20" i="122" s="1"/>
  <c r="AM19" i="122"/>
  <c r="AR19" i="122" s="1"/>
  <c r="AZ18" i="122"/>
  <c r="AV18" i="122"/>
  <c r="AX18" i="122"/>
  <c r="AM18" i="122"/>
  <c r="AR18" i="122" s="1"/>
  <c r="AX17" i="122"/>
  <c r="AM17" i="122"/>
  <c r="AR17" i="122" s="1"/>
  <c r="AY20" i="122"/>
  <c r="AW20" i="122"/>
  <c r="AU20" i="122"/>
  <c r="AY19" i="122"/>
  <c r="AW19" i="122"/>
  <c r="AU19" i="122"/>
  <c r="AY18" i="122"/>
  <c r="AW18" i="122"/>
  <c r="AU18" i="122"/>
  <c r="AY17" i="122"/>
  <c r="AW17" i="122"/>
  <c r="AU17" i="122"/>
  <c r="AM16" i="122"/>
  <c r="AP16" i="122"/>
  <c r="AT16" i="122"/>
  <c r="AV16" i="122"/>
  <c r="AX16" i="122"/>
  <c r="AL21" i="122"/>
  <c r="AL44" i="11" s="1"/>
  <c r="K21" i="122"/>
  <c r="K44" i="11" s="1"/>
  <c r="H21" i="122"/>
  <c r="AN21" i="122"/>
  <c r="AN44" i="11" s="1"/>
  <c r="AY44" i="11" s="1"/>
  <c r="AK21" i="7"/>
  <c r="AL21" i="7"/>
  <c r="AN21" i="7"/>
  <c r="AV21" i="7" s="1"/>
  <c r="AK22" i="7"/>
  <c r="AL22" i="7"/>
  <c r="AN22" i="7"/>
  <c r="AT22" i="7" s="1"/>
  <c r="AN20" i="7"/>
  <c r="AY20" i="7" s="1"/>
  <c r="AL20" i="7"/>
  <c r="AK20" i="7"/>
  <c r="H21" i="7"/>
  <c r="AO21" i="7" s="1"/>
  <c r="H22" i="7"/>
  <c r="AO22" i="7" s="1"/>
  <c r="H20" i="7"/>
  <c r="H72" i="11" l="1"/>
  <c r="H76" i="11" s="1"/>
  <c r="AO20" i="107"/>
  <c r="AP20" i="107"/>
  <c r="AS20" i="122"/>
  <c r="AS17" i="122"/>
  <c r="AQ17" i="122"/>
  <c r="AS18" i="122"/>
  <c r="AS16" i="107"/>
  <c r="AS17" i="107"/>
  <c r="K18" i="107"/>
  <c r="K40" i="11" s="1"/>
  <c r="AQ17" i="107"/>
  <c r="H19" i="7"/>
  <c r="AO19" i="7" s="1"/>
  <c r="AO21" i="122"/>
  <c r="H44" i="11"/>
  <c r="AP44" i="11" s="1"/>
  <c r="H40" i="11"/>
  <c r="AO18" i="107"/>
  <c r="AP18" i="107"/>
  <c r="AM46" i="11"/>
  <c r="AR46" i="11" s="1"/>
  <c r="AW44" i="11"/>
  <c r="AV44" i="11"/>
  <c r="AZ44" i="11"/>
  <c r="H35" i="12"/>
  <c r="AP37" i="11"/>
  <c r="AY37" i="11"/>
  <c r="AZ37" i="11"/>
  <c r="AU37" i="11"/>
  <c r="AX37" i="11"/>
  <c r="AW37" i="11"/>
  <c r="AT37" i="11"/>
  <c r="AV37" i="11"/>
  <c r="H42" i="12"/>
  <c r="AT41" i="35"/>
  <c r="AM37" i="11"/>
  <c r="AU44" i="11"/>
  <c r="G44" i="12"/>
  <c r="AN46" i="11"/>
  <c r="AT44" i="11"/>
  <c r="AR41" i="35"/>
  <c r="AS41" i="35"/>
  <c r="F35" i="12"/>
  <c r="J35" i="12" s="1"/>
  <c r="AO37" i="11"/>
  <c r="AX44" i="11"/>
  <c r="J36" i="12"/>
  <c r="K36" i="12"/>
  <c r="AM20" i="7"/>
  <c r="AR20" i="7" s="1"/>
  <c r="AL70" i="1"/>
  <c r="AL36" i="11" s="1"/>
  <c r="AK70" i="1"/>
  <c r="AK36" i="11" s="1"/>
  <c r="K20" i="7"/>
  <c r="AO20" i="7"/>
  <c r="AT21" i="7"/>
  <c r="AQ16" i="107"/>
  <c r="AS15" i="107"/>
  <c r="AQ15" i="107"/>
  <c r="AS14" i="107"/>
  <c r="AQ14" i="107"/>
  <c r="AQ20" i="122"/>
  <c r="AS19" i="122"/>
  <c r="AQ19" i="122"/>
  <c r="AQ18" i="122"/>
  <c r="AS16" i="122"/>
  <c r="AQ16" i="122"/>
  <c r="AR16" i="122"/>
  <c r="AM21" i="122"/>
  <c r="AS21" i="122" s="1"/>
  <c r="AP21" i="122"/>
  <c r="AW21" i="122"/>
  <c r="AX21" i="122"/>
  <c r="AT21" i="122"/>
  <c r="AY21" i="122"/>
  <c r="AU21" i="122"/>
  <c r="AZ21" i="122"/>
  <c r="AV21" i="122"/>
  <c r="AZ22" i="7"/>
  <c r="AM22" i="7"/>
  <c r="AR22" i="7" s="1"/>
  <c r="AV22" i="7"/>
  <c r="AX22" i="7"/>
  <c r="AP22" i="7"/>
  <c r="K22" i="7"/>
  <c r="AP21" i="7"/>
  <c r="AX21" i="7"/>
  <c r="AZ21" i="7"/>
  <c r="AM21" i="7"/>
  <c r="AR21" i="7" s="1"/>
  <c r="K21" i="7"/>
  <c r="AY22" i="7"/>
  <c r="AW22" i="7"/>
  <c r="AU22" i="7"/>
  <c r="AY21" i="7"/>
  <c r="AW21" i="7"/>
  <c r="AU21" i="7"/>
  <c r="AP20" i="7"/>
  <c r="AT20" i="7"/>
  <c r="AV20" i="7"/>
  <c r="AX20" i="7"/>
  <c r="AZ20" i="7"/>
  <c r="AU20" i="7"/>
  <c r="AW20" i="7"/>
  <c r="AL23" i="7"/>
  <c r="AL39" i="11" s="1"/>
  <c r="AK23" i="7"/>
  <c r="AK39" i="11" s="1"/>
  <c r="AN23" i="7"/>
  <c r="AN70" i="1"/>
  <c r="H50" i="1"/>
  <c r="H51" i="1"/>
  <c r="H54" i="1"/>
  <c r="H55" i="1"/>
  <c r="H56" i="1"/>
  <c r="H57" i="1"/>
  <c r="H58" i="1"/>
  <c r="H59" i="1"/>
  <c r="F70" i="12" l="1"/>
  <c r="F74" i="12" s="1"/>
  <c r="AO72" i="11"/>
  <c r="AP72" i="11"/>
  <c r="AO24" i="107"/>
  <c r="AP24" i="107"/>
  <c r="AO76" i="11"/>
  <c r="AP76" i="11"/>
  <c r="K20" i="107"/>
  <c r="H23" i="7"/>
  <c r="H39" i="11" s="1"/>
  <c r="F37" i="12" s="1"/>
  <c r="AP19" i="7"/>
  <c r="K35" i="12"/>
  <c r="AQ46" i="11"/>
  <c r="AU46" i="11"/>
  <c r="AT46" i="11"/>
  <c r="AS46" i="11"/>
  <c r="AV46" i="11"/>
  <c r="AY46" i="11"/>
  <c r="I35" i="12"/>
  <c r="AS37" i="11"/>
  <c r="AR37" i="11"/>
  <c r="F38" i="12"/>
  <c r="AO40" i="11"/>
  <c r="AP40" i="11"/>
  <c r="AY23" i="7"/>
  <c r="AN39" i="11"/>
  <c r="AX46" i="11"/>
  <c r="F42" i="12"/>
  <c r="J42" i="12" s="1"/>
  <c r="AO44" i="11"/>
  <c r="AO23" i="7"/>
  <c r="AR21" i="122"/>
  <c r="AM44" i="11"/>
  <c r="AZ46" i="11"/>
  <c r="AW46" i="11"/>
  <c r="AQ37" i="11"/>
  <c r="K19" i="7"/>
  <c r="K23" i="7" s="1"/>
  <c r="K39" i="11" s="1"/>
  <c r="AQ20" i="7"/>
  <c r="AS20" i="7"/>
  <c r="AV70" i="1"/>
  <c r="AN36" i="11"/>
  <c r="H49" i="1"/>
  <c r="H70" i="1" s="1"/>
  <c r="H36" i="11" s="1"/>
  <c r="AM70" i="1"/>
  <c r="AY70" i="1"/>
  <c r="AZ70" i="1"/>
  <c r="AU70" i="1"/>
  <c r="AQ21" i="7"/>
  <c r="AQ21" i="122"/>
  <c r="AS21" i="7"/>
  <c r="AS22" i="7"/>
  <c r="AQ22" i="7"/>
  <c r="AM23" i="7"/>
  <c r="AV23" i="7"/>
  <c r="AU23" i="7"/>
  <c r="AZ23" i="7"/>
  <c r="AX23" i="7"/>
  <c r="AT23" i="7"/>
  <c r="AW23" i="7"/>
  <c r="AW70" i="1"/>
  <c r="AX70" i="1"/>
  <c r="AT70" i="1"/>
  <c r="K50" i="1"/>
  <c r="K51" i="1"/>
  <c r="K54" i="1"/>
  <c r="K55" i="1"/>
  <c r="K56" i="1"/>
  <c r="K57" i="1"/>
  <c r="K58" i="1"/>
  <c r="K59" i="1"/>
  <c r="AK50" i="1"/>
  <c r="AL50" i="1"/>
  <c r="AN50" i="1"/>
  <c r="AT50" i="1" s="1"/>
  <c r="AO50" i="1"/>
  <c r="AK51" i="1"/>
  <c r="AL51" i="1"/>
  <c r="AN51" i="1"/>
  <c r="AT51" i="1" s="1"/>
  <c r="AO51" i="1"/>
  <c r="AK54" i="1"/>
  <c r="AL54" i="1"/>
  <c r="AN54" i="1"/>
  <c r="AT54" i="1" s="1"/>
  <c r="AO54" i="1"/>
  <c r="AK55" i="1"/>
  <c r="AL55" i="1"/>
  <c r="AN55" i="1"/>
  <c r="AT55" i="1" s="1"/>
  <c r="AO55" i="1"/>
  <c r="AK56" i="1"/>
  <c r="AL56" i="1"/>
  <c r="AN56" i="1"/>
  <c r="AT56" i="1" s="1"/>
  <c r="AO56" i="1"/>
  <c r="AK57" i="1"/>
  <c r="AL57" i="1"/>
  <c r="AN57" i="1"/>
  <c r="AT57" i="1" s="1"/>
  <c r="AO57" i="1"/>
  <c r="AK58" i="1"/>
  <c r="AL58" i="1"/>
  <c r="AN58" i="1"/>
  <c r="AT58" i="1" s="1"/>
  <c r="AO58" i="1"/>
  <c r="AL59" i="1"/>
  <c r="AN59" i="1"/>
  <c r="AT59" i="1" s="1"/>
  <c r="AO59" i="1"/>
  <c r="K70" i="12" l="1"/>
  <c r="J70" i="12"/>
  <c r="K72" i="11"/>
  <c r="K76" i="11" s="1"/>
  <c r="J74" i="12"/>
  <c r="K74" i="12"/>
  <c r="AO39" i="11"/>
  <c r="AP23" i="7"/>
  <c r="K42" i="12"/>
  <c r="J38" i="12"/>
  <c r="K38" i="12"/>
  <c r="AS23" i="7"/>
  <c r="AM39" i="11"/>
  <c r="H37" i="12"/>
  <c r="K37" i="12" s="1"/>
  <c r="AV39" i="11"/>
  <c r="AU39" i="11"/>
  <c r="AT39" i="11"/>
  <c r="AY39" i="11"/>
  <c r="AX39" i="11"/>
  <c r="AW39" i="11"/>
  <c r="AZ39" i="11"/>
  <c r="AS70" i="1"/>
  <c r="AM36" i="11"/>
  <c r="AP39" i="11"/>
  <c r="I42" i="12"/>
  <c r="AS44" i="11"/>
  <c r="AQ44" i="11"/>
  <c r="AR44" i="11"/>
  <c r="AO70" i="1"/>
  <c r="F34" i="12"/>
  <c r="J34" i="12" s="1"/>
  <c r="AO36" i="11"/>
  <c r="J37" i="12"/>
  <c r="AV36" i="11"/>
  <c r="AY36" i="11"/>
  <c r="AU36" i="11"/>
  <c r="AX36" i="11"/>
  <c r="AT36" i="11"/>
  <c r="AP36" i="11"/>
  <c r="H34" i="12"/>
  <c r="AW36" i="11"/>
  <c r="AZ36" i="11"/>
  <c r="K49" i="1"/>
  <c r="K70" i="1" s="1"/>
  <c r="K36" i="11" s="1"/>
  <c r="AO49" i="1"/>
  <c r="AP49" i="1"/>
  <c r="AQ70" i="1"/>
  <c r="AR70" i="1"/>
  <c r="AP57" i="1"/>
  <c r="AP50" i="1"/>
  <c r="AP56" i="1"/>
  <c r="AP51" i="1"/>
  <c r="AR23" i="7"/>
  <c r="AV59" i="1"/>
  <c r="AP59" i="1"/>
  <c r="AZ58" i="1"/>
  <c r="AP55" i="1"/>
  <c r="AP70" i="1"/>
  <c r="AQ23" i="7"/>
  <c r="AZ59" i="1"/>
  <c r="AP58" i="1"/>
  <c r="AP54" i="1"/>
  <c r="AX59" i="1"/>
  <c r="AV58" i="1"/>
  <c r="AX58" i="1"/>
  <c r="AZ56" i="1"/>
  <c r="AV56" i="1"/>
  <c r="AZ57" i="1"/>
  <c r="AV57" i="1"/>
  <c r="AX57" i="1"/>
  <c r="AX56" i="1"/>
  <c r="AZ55" i="1"/>
  <c r="AV55" i="1"/>
  <c r="AX55" i="1"/>
  <c r="AZ54" i="1"/>
  <c r="AV54" i="1"/>
  <c r="AX54" i="1"/>
  <c r="AZ51" i="1"/>
  <c r="AV51" i="1"/>
  <c r="AX51" i="1"/>
  <c r="AZ50" i="1"/>
  <c r="AV50" i="1"/>
  <c r="AX50" i="1"/>
  <c r="AM59" i="1"/>
  <c r="AR59" i="1" s="1"/>
  <c r="AM58" i="1"/>
  <c r="AR58" i="1" s="1"/>
  <c r="AM57" i="1"/>
  <c r="AR57" i="1" s="1"/>
  <c r="AM56" i="1"/>
  <c r="AR56" i="1" s="1"/>
  <c r="AM55" i="1"/>
  <c r="AR55" i="1" s="1"/>
  <c r="AM54" i="1"/>
  <c r="AR54" i="1" s="1"/>
  <c r="AM51" i="1"/>
  <c r="AR51" i="1" s="1"/>
  <c r="AM50" i="1"/>
  <c r="AR50" i="1" s="1"/>
  <c r="AU59" i="1"/>
  <c r="AW59" i="1"/>
  <c r="AY59" i="1"/>
  <c r="AU58" i="1"/>
  <c r="AW58" i="1"/>
  <c r="AY58" i="1"/>
  <c r="AU57" i="1"/>
  <c r="AW57" i="1"/>
  <c r="AY57" i="1"/>
  <c r="AU56" i="1"/>
  <c r="AW56" i="1"/>
  <c r="AY56" i="1"/>
  <c r="AU55" i="1"/>
  <c r="AW55" i="1"/>
  <c r="AY55" i="1"/>
  <c r="AU54" i="1"/>
  <c r="AW54" i="1"/>
  <c r="AY54" i="1"/>
  <c r="AU51" i="1"/>
  <c r="AW51" i="1"/>
  <c r="AY51" i="1"/>
  <c r="AU50" i="1"/>
  <c r="AW50" i="1"/>
  <c r="AY50" i="1"/>
  <c r="AG26" i="11"/>
  <c r="AH26" i="11"/>
  <c r="AI26" i="11"/>
  <c r="AJ26" i="11"/>
  <c r="AK26" i="11"/>
  <c r="AL26" i="11"/>
  <c r="AM26" i="11"/>
  <c r="I24" i="12" s="1"/>
  <c r="AN26" i="11"/>
  <c r="H24" i="12" s="1"/>
  <c r="AG34" i="11"/>
  <c r="AH34" i="11"/>
  <c r="AI34" i="11"/>
  <c r="AJ34" i="11"/>
  <c r="AN34" i="1"/>
  <c r="AL34" i="1"/>
  <c r="AK34" i="1"/>
  <c r="AJ30" i="1"/>
  <c r="O39" i="1"/>
  <c r="O30" i="1"/>
  <c r="D34" i="11"/>
  <c r="D32" i="12" s="1"/>
  <c r="E34" i="11"/>
  <c r="E32" i="12" s="1"/>
  <c r="G34" i="11"/>
  <c r="I34" i="11"/>
  <c r="J34" i="11"/>
  <c r="L34" i="11"/>
  <c r="M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B34" i="11"/>
  <c r="C32" i="12" s="1"/>
  <c r="B32" i="11"/>
  <c r="C30" i="12" s="1"/>
  <c r="F30" i="11"/>
  <c r="I30" i="11"/>
  <c r="D29" i="11"/>
  <c r="D27" i="12" s="1"/>
  <c r="E29" i="11"/>
  <c r="E27" i="12" s="1"/>
  <c r="B29" i="11"/>
  <c r="C27" i="12" s="1"/>
  <c r="D28" i="11"/>
  <c r="D26" i="12" s="1"/>
  <c r="E28" i="11"/>
  <c r="E26" i="12" s="1"/>
  <c r="B28" i="11"/>
  <c r="C26" i="12" s="1"/>
  <c r="B27" i="11"/>
  <c r="C25" i="12" s="1"/>
  <c r="C26" i="11"/>
  <c r="F26" i="11"/>
  <c r="G26" i="11"/>
  <c r="I26" i="11"/>
  <c r="J26" i="11"/>
  <c r="L26" i="11"/>
  <c r="M26" i="11"/>
  <c r="N26" i="11"/>
  <c r="O26" i="11"/>
  <c r="G24" i="12" s="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G15" i="122"/>
  <c r="G33" i="11" s="1"/>
  <c r="I15" i="122"/>
  <c r="I33" i="11" s="1"/>
  <c r="J15" i="122"/>
  <c r="J33" i="11" s="1"/>
  <c r="L15" i="122"/>
  <c r="L33" i="11" s="1"/>
  <c r="M15" i="122"/>
  <c r="M33" i="11" s="1"/>
  <c r="N15" i="122"/>
  <c r="N33" i="11" s="1"/>
  <c r="O15" i="122"/>
  <c r="O33" i="11" s="1"/>
  <c r="G31" i="12" s="1"/>
  <c r="P15" i="122"/>
  <c r="Q15" i="122"/>
  <c r="Q33" i="11" s="1"/>
  <c r="R15" i="122"/>
  <c r="S15" i="122"/>
  <c r="S33" i="11" s="1"/>
  <c r="T15" i="122"/>
  <c r="T33" i="11" s="1"/>
  <c r="U15" i="122"/>
  <c r="U33" i="11" s="1"/>
  <c r="V15" i="122"/>
  <c r="V33" i="11" s="1"/>
  <c r="W15" i="122"/>
  <c r="W33" i="11" s="1"/>
  <c r="X15" i="122"/>
  <c r="X33" i="11" s="1"/>
  <c r="Y15" i="122"/>
  <c r="Y33" i="11" s="1"/>
  <c r="Z15" i="122"/>
  <c r="Z33" i="11" s="1"/>
  <c r="AA15" i="122"/>
  <c r="AA33" i="11" s="1"/>
  <c r="AB15" i="122"/>
  <c r="AB33" i="11" s="1"/>
  <c r="AC15" i="122"/>
  <c r="AC33" i="11" s="1"/>
  <c r="AD15" i="122"/>
  <c r="AD33" i="11" s="1"/>
  <c r="AE15" i="122"/>
  <c r="AE33" i="11" s="1"/>
  <c r="AF15" i="122"/>
  <c r="AF33" i="11" s="1"/>
  <c r="AG15" i="122"/>
  <c r="AG33" i="11" s="1"/>
  <c r="AH33" i="11"/>
  <c r="AI15" i="122"/>
  <c r="AI33" i="11" s="1"/>
  <c r="AJ15" i="122"/>
  <c r="AJ33" i="11" s="1"/>
  <c r="F15" i="122"/>
  <c r="F33" i="11" s="1"/>
  <c r="E15" i="122"/>
  <c r="E33" i="11" s="1"/>
  <c r="E31" i="12" s="1"/>
  <c r="D15" i="122"/>
  <c r="D33" i="11" s="1"/>
  <c r="D31" i="12" s="1"/>
  <c r="C15" i="122"/>
  <c r="C33" i="11" s="1"/>
  <c r="E18" i="95"/>
  <c r="D18" i="95"/>
  <c r="D22" i="95" s="1"/>
  <c r="G14" i="95"/>
  <c r="G18" i="95" s="1"/>
  <c r="G32" i="11" s="1"/>
  <c r="I14" i="95"/>
  <c r="I18" i="95" s="1"/>
  <c r="I32" i="11" s="1"/>
  <c r="J14" i="95"/>
  <c r="J18" i="95" s="1"/>
  <c r="J32" i="11" s="1"/>
  <c r="L14" i="95"/>
  <c r="L18" i="95" s="1"/>
  <c r="L32" i="11" s="1"/>
  <c r="M14" i="95"/>
  <c r="M18" i="95" s="1"/>
  <c r="M32" i="11" s="1"/>
  <c r="N14" i="95"/>
  <c r="N18" i="95" s="1"/>
  <c r="N32" i="11" s="1"/>
  <c r="O14" i="95"/>
  <c r="O18" i="95" s="1"/>
  <c r="O32" i="11" s="1"/>
  <c r="P14" i="95"/>
  <c r="Q14" i="95"/>
  <c r="Q18" i="95" s="1"/>
  <c r="Q32" i="11" s="1"/>
  <c r="R14" i="95"/>
  <c r="R18" i="95" s="1"/>
  <c r="S14" i="95"/>
  <c r="S18" i="95" s="1"/>
  <c r="S32" i="11" s="1"/>
  <c r="T14" i="95"/>
  <c r="T18" i="95" s="1"/>
  <c r="T32" i="11" s="1"/>
  <c r="U14" i="95"/>
  <c r="U18" i="95" s="1"/>
  <c r="U32" i="11" s="1"/>
  <c r="V14" i="95"/>
  <c r="V18" i="95" s="1"/>
  <c r="V32" i="11" s="1"/>
  <c r="W14" i="95"/>
  <c r="W18" i="95" s="1"/>
  <c r="W32" i="11" s="1"/>
  <c r="X14" i="95"/>
  <c r="X18" i="95" s="1"/>
  <c r="X32" i="11" s="1"/>
  <c r="Y14" i="95"/>
  <c r="Y18" i="95" s="1"/>
  <c r="Y32" i="11" s="1"/>
  <c r="Z14" i="95"/>
  <c r="Z18" i="95" s="1"/>
  <c r="Z32" i="11" s="1"/>
  <c r="AA14" i="95"/>
  <c r="AA18" i="95" s="1"/>
  <c r="AA32" i="11" s="1"/>
  <c r="AB14" i="95"/>
  <c r="AB18" i="95" s="1"/>
  <c r="AB32" i="11" s="1"/>
  <c r="AC14" i="95"/>
  <c r="AC18" i="95" s="1"/>
  <c r="AC32" i="11" s="1"/>
  <c r="AD14" i="95"/>
  <c r="AD18" i="95" s="1"/>
  <c r="AD32" i="11" s="1"/>
  <c r="AE14" i="95"/>
  <c r="AE18" i="95" s="1"/>
  <c r="AE32" i="11" s="1"/>
  <c r="AF14" i="95"/>
  <c r="AF18" i="95" s="1"/>
  <c r="AF32" i="11" s="1"/>
  <c r="AG14" i="95"/>
  <c r="AG18" i="95" s="1"/>
  <c r="AG32" i="11" s="1"/>
  <c r="AH14" i="95"/>
  <c r="AH18" i="95" s="1"/>
  <c r="AH32" i="11" s="1"/>
  <c r="AI14" i="95"/>
  <c r="AI18" i="95" s="1"/>
  <c r="AI32" i="11" s="1"/>
  <c r="AJ14" i="95"/>
  <c r="AJ18" i="95" s="1"/>
  <c r="AJ32" i="11" s="1"/>
  <c r="F14" i="95"/>
  <c r="F18" i="95" s="1"/>
  <c r="F32" i="11" s="1"/>
  <c r="E14" i="95"/>
  <c r="D14" i="95"/>
  <c r="C14" i="95"/>
  <c r="C18" i="95" s="1"/>
  <c r="C32" i="11" s="1"/>
  <c r="H28" i="35"/>
  <c r="J28" i="35"/>
  <c r="K28" i="35"/>
  <c r="M28" i="35"/>
  <c r="N28" i="35"/>
  <c r="O28" i="35"/>
  <c r="P28" i="35"/>
  <c r="Q28" i="35"/>
  <c r="R28" i="35"/>
  <c r="S28" i="35"/>
  <c r="T28" i="35"/>
  <c r="U28" i="35"/>
  <c r="V28" i="35"/>
  <c r="W28" i="35"/>
  <c r="X28" i="35"/>
  <c r="Y28" i="35"/>
  <c r="Z28" i="35"/>
  <c r="AA28" i="35"/>
  <c r="AB28" i="35"/>
  <c r="AC28" i="35"/>
  <c r="AD28" i="35"/>
  <c r="AE28" i="35"/>
  <c r="AF28" i="35"/>
  <c r="AG28" i="35"/>
  <c r="AH28" i="35"/>
  <c r="AI28" i="35"/>
  <c r="AJ28" i="35"/>
  <c r="AK28" i="35"/>
  <c r="F28" i="35"/>
  <c r="F34" i="35" s="1"/>
  <c r="E28" i="35"/>
  <c r="E34" i="35" s="1"/>
  <c r="D28" i="35"/>
  <c r="D41" i="35" s="1"/>
  <c r="C37" i="11" s="1"/>
  <c r="C46" i="11" s="1"/>
  <c r="D43" i="11" l="1"/>
  <c r="D41" i="12" s="1"/>
  <c r="D44" i="12" s="1"/>
  <c r="AM28" i="35"/>
  <c r="AN15" i="122"/>
  <c r="AN33" i="11" s="1"/>
  <c r="H31" i="12" s="1"/>
  <c r="I34" i="12"/>
  <c r="AR36" i="11"/>
  <c r="AS36" i="11"/>
  <c r="I37" i="12"/>
  <c r="AR39" i="11"/>
  <c r="AS39" i="11"/>
  <c r="AL28" i="35"/>
  <c r="AK15" i="122"/>
  <c r="D32" i="11"/>
  <c r="D30" i="12" s="1"/>
  <c r="R33" i="11"/>
  <c r="AQ36" i="11"/>
  <c r="AQ39" i="11"/>
  <c r="K34" i="12"/>
  <c r="AW26" i="11"/>
  <c r="AR26" i="11"/>
  <c r="AM34" i="1"/>
  <c r="R32" i="11"/>
  <c r="AN18" i="95"/>
  <c r="AN32" i="11" s="1"/>
  <c r="H30" i="12" s="1"/>
  <c r="E22" i="95"/>
  <c r="E32" i="11"/>
  <c r="E30" i="12" s="1"/>
  <c r="AO28" i="35"/>
  <c r="AZ28" i="35" s="1"/>
  <c r="AK14" i="95"/>
  <c r="AL18" i="95"/>
  <c r="AL32" i="11" s="1"/>
  <c r="AL14" i="95"/>
  <c r="P33" i="11"/>
  <c r="AL15" i="122"/>
  <c r="AL33" i="11" s="1"/>
  <c r="P18" i="95"/>
  <c r="AQ58" i="1"/>
  <c r="AN14" i="95"/>
  <c r="AU14" i="95" s="1"/>
  <c r="O48" i="1"/>
  <c r="O25" i="11" s="1"/>
  <c r="G23" i="12" s="1"/>
  <c r="G30" i="12"/>
  <c r="AS26" i="11"/>
  <c r="AZ26" i="11"/>
  <c r="AQ59" i="1"/>
  <c r="AS59" i="1"/>
  <c r="AS58" i="1"/>
  <c r="AQ57" i="1"/>
  <c r="AS57" i="1"/>
  <c r="AQ56" i="1"/>
  <c r="AS56" i="1"/>
  <c r="AQ55" i="1"/>
  <c r="AS55" i="1"/>
  <c r="AQ54" i="1"/>
  <c r="AS54" i="1"/>
  <c r="AQ51" i="1"/>
  <c r="AS51" i="1"/>
  <c r="AQ50" i="1"/>
  <c r="AS50" i="1"/>
  <c r="G32" i="12"/>
  <c r="AV26" i="11"/>
  <c r="AQ26" i="11"/>
  <c r="AU26" i="11"/>
  <c r="AY26" i="11"/>
  <c r="AX26" i="11"/>
  <c r="AT26" i="11"/>
  <c r="AY14" i="95"/>
  <c r="AW14" i="95"/>
  <c r="AZ14" i="95"/>
  <c r="AX14" i="95"/>
  <c r="AV14" i="95"/>
  <c r="AW28" i="35"/>
  <c r="H13" i="35"/>
  <c r="I13" i="35"/>
  <c r="J13" i="35"/>
  <c r="K13" i="35"/>
  <c r="M13" i="35"/>
  <c r="N13" i="35"/>
  <c r="O13" i="35"/>
  <c r="P13" i="35"/>
  <c r="Q13" i="35"/>
  <c r="R13" i="35"/>
  <c r="S13" i="35"/>
  <c r="T13" i="35"/>
  <c r="U13" i="35"/>
  <c r="V13" i="35"/>
  <c r="W13" i="35"/>
  <c r="X13" i="35"/>
  <c r="Y13" i="35"/>
  <c r="Z13" i="35"/>
  <c r="AA13" i="35"/>
  <c r="AB13" i="35"/>
  <c r="AC13" i="35"/>
  <c r="AD13" i="35"/>
  <c r="AE13" i="35"/>
  <c r="AF13" i="35"/>
  <c r="AG13" i="35"/>
  <c r="AH13" i="35"/>
  <c r="AI13" i="35"/>
  <c r="AJ13" i="35"/>
  <c r="AK13" i="35"/>
  <c r="G13" i="35"/>
  <c r="G27" i="35" s="1"/>
  <c r="F13" i="35"/>
  <c r="E13" i="35"/>
  <c r="D13" i="35"/>
  <c r="C27" i="35"/>
  <c r="C34" i="35" s="1"/>
  <c r="AP24" i="35"/>
  <c r="AO24" i="35"/>
  <c r="AN24" i="35"/>
  <c r="AM24" i="35"/>
  <c r="AL24" i="35"/>
  <c r="L24" i="35"/>
  <c r="AP19" i="35"/>
  <c r="AO19" i="35"/>
  <c r="BA19" i="35" s="1"/>
  <c r="AN19" i="35"/>
  <c r="AM19" i="35"/>
  <c r="AL19" i="35"/>
  <c r="L19" i="35"/>
  <c r="AP17" i="35"/>
  <c r="AO17" i="35"/>
  <c r="BA17" i="35" s="1"/>
  <c r="AN17" i="35"/>
  <c r="AM17" i="35"/>
  <c r="AL17" i="35"/>
  <c r="L17" i="35"/>
  <c r="AP15" i="35"/>
  <c r="AO15" i="35"/>
  <c r="BA15" i="35" s="1"/>
  <c r="AN15" i="35"/>
  <c r="AM15" i="35"/>
  <c r="AL15" i="35"/>
  <c r="L15" i="35"/>
  <c r="X15" i="7"/>
  <c r="X18" i="7" s="1"/>
  <c r="X28" i="11" s="1"/>
  <c r="Q15" i="7"/>
  <c r="Q18" i="7" s="1"/>
  <c r="G15" i="7"/>
  <c r="G18" i="7" s="1"/>
  <c r="G28" i="11" s="1"/>
  <c r="I15" i="7"/>
  <c r="I18" i="7" s="1"/>
  <c r="I28" i="11" s="1"/>
  <c r="J15" i="7"/>
  <c r="J18" i="7" s="1"/>
  <c r="J28" i="11" s="1"/>
  <c r="L15" i="7"/>
  <c r="L18" i="7" s="1"/>
  <c r="L28" i="11" s="1"/>
  <c r="M15" i="7"/>
  <c r="M18" i="7" s="1"/>
  <c r="M28" i="11" s="1"/>
  <c r="N15" i="7"/>
  <c r="N18" i="7" s="1"/>
  <c r="N28" i="11" s="1"/>
  <c r="O15" i="7"/>
  <c r="O18" i="7" s="1"/>
  <c r="O28" i="11" s="1"/>
  <c r="G26" i="12" s="1"/>
  <c r="P15" i="7"/>
  <c r="P18" i="7" s="1"/>
  <c r="R15" i="7"/>
  <c r="S15" i="7"/>
  <c r="S18" i="7" s="1"/>
  <c r="S28" i="11" s="1"/>
  <c r="T15" i="7"/>
  <c r="T18" i="7" s="1"/>
  <c r="T28" i="11" s="1"/>
  <c r="U15" i="7"/>
  <c r="U18" i="7" s="1"/>
  <c r="V15" i="7"/>
  <c r="V18" i="7" s="1"/>
  <c r="V28" i="11" s="1"/>
  <c r="W15" i="7"/>
  <c r="W18" i="7" s="1"/>
  <c r="W28" i="11" s="1"/>
  <c r="Y15" i="7"/>
  <c r="Y18" i="7" s="1"/>
  <c r="Y28" i="11" s="1"/>
  <c r="Z15" i="7"/>
  <c r="Z18" i="7" s="1"/>
  <c r="Z28" i="11" s="1"/>
  <c r="AA15" i="7"/>
  <c r="AA18" i="7" s="1"/>
  <c r="AB15" i="7"/>
  <c r="AB18" i="7" s="1"/>
  <c r="AB28" i="11" s="1"/>
  <c r="AC15" i="7"/>
  <c r="AC18" i="7" s="1"/>
  <c r="AC28" i="11" s="1"/>
  <c r="AD15" i="7"/>
  <c r="AD18" i="7" s="1"/>
  <c r="AD28" i="11" s="1"/>
  <c r="AE15" i="7"/>
  <c r="AE18" i="7" s="1"/>
  <c r="AE28" i="11" s="1"/>
  <c r="AF15" i="7"/>
  <c r="AF18" i="7" s="1"/>
  <c r="AF28" i="11" s="1"/>
  <c r="AG15" i="7"/>
  <c r="AG18" i="7" s="1"/>
  <c r="AH15" i="7"/>
  <c r="AH18" i="7" s="1"/>
  <c r="AH28" i="11" s="1"/>
  <c r="AI15" i="7"/>
  <c r="AI18" i="7" s="1"/>
  <c r="AI28" i="11" s="1"/>
  <c r="AJ15" i="7"/>
  <c r="AJ18" i="7" s="1"/>
  <c r="AJ28" i="11" s="1"/>
  <c r="F15" i="7"/>
  <c r="F18" i="7" s="1"/>
  <c r="F28" i="11" s="1"/>
  <c r="E15" i="7"/>
  <c r="D15" i="7"/>
  <c r="C15" i="7"/>
  <c r="C18" i="7" s="1"/>
  <c r="C28" i="11" s="1"/>
  <c r="G13" i="107"/>
  <c r="G29" i="11" s="1"/>
  <c r="I13" i="107"/>
  <c r="I29" i="11" s="1"/>
  <c r="J13" i="107"/>
  <c r="L13" i="107"/>
  <c r="L29" i="11" s="1"/>
  <c r="M13" i="107"/>
  <c r="M29" i="11" s="1"/>
  <c r="N13" i="107"/>
  <c r="N29" i="11" s="1"/>
  <c r="O13" i="107"/>
  <c r="O29" i="11" s="1"/>
  <c r="G27" i="12" s="1"/>
  <c r="P13" i="107"/>
  <c r="P29" i="11" s="1"/>
  <c r="Q13" i="107"/>
  <c r="Q29" i="11" s="1"/>
  <c r="R13" i="107"/>
  <c r="S13" i="107"/>
  <c r="S29" i="11" s="1"/>
  <c r="T13" i="107"/>
  <c r="T29" i="11" s="1"/>
  <c r="U13" i="107"/>
  <c r="U29" i="11" s="1"/>
  <c r="V13" i="107"/>
  <c r="V29" i="11" s="1"/>
  <c r="W13" i="107"/>
  <c r="W29" i="11" s="1"/>
  <c r="X13" i="107"/>
  <c r="X29" i="11" s="1"/>
  <c r="Y13" i="107"/>
  <c r="Y29" i="11" s="1"/>
  <c r="Z13" i="107"/>
  <c r="Z29" i="11" s="1"/>
  <c r="AA13" i="107"/>
  <c r="AA29" i="11" s="1"/>
  <c r="AB13" i="107"/>
  <c r="AB29" i="11" s="1"/>
  <c r="AC13" i="107"/>
  <c r="AC29" i="11" s="1"/>
  <c r="AD13" i="107"/>
  <c r="AD29" i="11" s="1"/>
  <c r="AE13" i="107"/>
  <c r="AE29" i="11" s="1"/>
  <c r="AF13" i="107"/>
  <c r="AF29" i="11" s="1"/>
  <c r="AG13" i="107"/>
  <c r="AG29" i="11" s="1"/>
  <c r="AH13" i="107"/>
  <c r="AH29" i="11" s="1"/>
  <c r="AI13" i="107"/>
  <c r="AI29" i="11" s="1"/>
  <c r="AJ13" i="107"/>
  <c r="AJ29" i="11" s="1"/>
  <c r="F13" i="107"/>
  <c r="F29" i="11" s="1"/>
  <c r="E26" i="109"/>
  <c r="E27" i="11" s="1"/>
  <c r="E25" i="12" s="1"/>
  <c r="D26" i="109"/>
  <c r="D27" i="11" s="1"/>
  <c r="D25" i="12" s="1"/>
  <c r="G21" i="109"/>
  <c r="G26" i="109" s="1"/>
  <c r="G27" i="11" s="1"/>
  <c r="I21" i="109"/>
  <c r="I26" i="109" s="1"/>
  <c r="I27" i="11" s="1"/>
  <c r="J21" i="109"/>
  <c r="J26" i="109" s="1"/>
  <c r="J27" i="11" s="1"/>
  <c r="L21" i="109"/>
  <c r="L26" i="109" s="1"/>
  <c r="L27" i="11" s="1"/>
  <c r="M21" i="109"/>
  <c r="M26" i="109" s="1"/>
  <c r="M27" i="11" s="1"/>
  <c r="N21" i="109"/>
  <c r="N26" i="109" s="1"/>
  <c r="N27" i="11" s="1"/>
  <c r="O21" i="109"/>
  <c r="O26" i="109" s="1"/>
  <c r="O27" i="11" s="1"/>
  <c r="G25" i="12" s="1"/>
  <c r="P21" i="109"/>
  <c r="P26" i="109" s="1"/>
  <c r="P27" i="11" s="1"/>
  <c r="Q21" i="109"/>
  <c r="R21" i="109"/>
  <c r="R26" i="109" s="1"/>
  <c r="R27" i="11" s="1"/>
  <c r="S21" i="109"/>
  <c r="S26" i="109" s="1"/>
  <c r="T21" i="109"/>
  <c r="T26" i="109" s="1"/>
  <c r="T27" i="11" s="1"/>
  <c r="U21" i="109"/>
  <c r="U26" i="109" s="1"/>
  <c r="U27" i="11" s="1"/>
  <c r="V21" i="109"/>
  <c r="V26" i="109" s="1"/>
  <c r="V27" i="11" s="1"/>
  <c r="W21" i="109"/>
  <c r="W26" i="109" s="1"/>
  <c r="X21" i="109"/>
  <c r="X26" i="109" s="1"/>
  <c r="X27" i="11" s="1"/>
  <c r="Y21" i="109"/>
  <c r="Y26" i="109" s="1"/>
  <c r="Y27" i="11" s="1"/>
  <c r="Z21" i="109"/>
  <c r="Z26" i="109" s="1"/>
  <c r="Z27" i="11" s="1"/>
  <c r="AA21" i="109"/>
  <c r="AA26" i="109" s="1"/>
  <c r="AB21" i="109"/>
  <c r="AB26" i="109" s="1"/>
  <c r="AB27" i="11" s="1"/>
  <c r="AC21" i="109"/>
  <c r="AC26" i="109" s="1"/>
  <c r="AC27" i="11" s="1"/>
  <c r="AD21" i="109"/>
  <c r="AD26" i="109" s="1"/>
  <c r="AD27" i="11" s="1"/>
  <c r="AE21" i="109"/>
  <c r="AE26" i="109" s="1"/>
  <c r="AE27" i="11" s="1"/>
  <c r="AF21" i="109"/>
  <c r="AF26" i="109" s="1"/>
  <c r="AF27" i="11" s="1"/>
  <c r="AG21" i="109"/>
  <c r="AG26" i="109" s="1"/>
  <c r="AG27" i="11" s="1"/>
  <c r="AH21" i="109"/>
  <c r="AH26" i="109" s="1"/>
  <c r="AH27" i="11" s="1"/>
  <c r="AI21" i="109"/>
  <c r="AI26" i="109" s="1"/>
  <c r="AI27" i="11" s="1"/>
  <c r="AJ21" i="109"/>
  <c r="AJ26" i="109" s="1"/>
  <c r="AJ27" i="11" s="1"/>
  <c r="F21" i="109"/>
  <c r="F26" i="109" s="1"/>
  <c r="F27" i="11" s="1"/>
  <c r="E21" i="109"/>
  <c r="D21" i="109"/>
  <c r="C21" i="109"/>
  <c r="C26" i="109" s="1"/>
  <c r="C27" i="11" s="1"/>
  <c r="E20" i="109"/>
  <c r="D20" i="109"/>
  <c r="B20" i="109"/>
  <c r="F15" i="109"/>
  <c r="F20" i="109" s="1"/>
  <c r="G15" i="109"/>
  <c r="G20" i="109" s="1"/>
  <c r="I15" i="109"/>
  <c r="I20" i="109" s="1"/>
  <c r="J15" i="109"/>
  <c r="J20" i="109" s="1"/>
  <c r="L15" i="109"/>
  <c r="L20" i="109" s="1"/>
  <c r="M15" i="109"/>
  <c r="M20" i="109" s="1"/>
  <c r="N15" i="109"/>
  <c r="N20" i="109" s="1"/>
  <c r="O15" i="109"/>
  <c r="O20" i="109" s="1"/>
  <c r="P15" i="109"/>
  <c r="P20" i="109" s="1"/>
  <c r="Q15" i="109"/>
  <c r="Q20" i="109" s="1"/>
  <c r="R15" i="109"/>
  <c r="S15" i="109"/>
  <c r="S20" i="109" s="1"/>
  <c r="T15" i="109"/>
  <c r="T20" i="109" s="1"/>
  <c r="U15" i="109"/>
  <c r="U20" i="109" s="1"/>
  <c r="V15" i="109"/>
  <c r="V20" i="109" s="1"/>
  <c r="W15" i="109"/>
  <c r="W20" i="109" s="1"/>
  <c r="X15" i="109"/>
  <c r="X20" i="109" s="1"/>
  <c r="Y15" i="109"/>
  <c r="Y20" i="109" s="1"/>
  <c r="Z15" i="109"/>
  <c r="Z20" i="109" s="1"/>
  <c r="AA15" i="109"/>
  <c r="AA20" i="109" s="1"/>
  <c r="AB15" i="109"/>
  <c r="AB20" i="109" s="1"/>
  <c r="AC15" i="109"/>
  <c r="AC20" i="109" s="1"/>
  <c r="AD15" i="109"/>
  <c r="AD20" i="109" s="1"/>
  <c r="AE15" i="109"/>
  <c r="AE20" i="109" s="1"/>
  <c r="AF15" i="109"/>
  <c r="AF20" i="109" s="1"/>
  <c r="AG15" i="109"/>
  <c r="AG20" i="109" s="1"/>
  <c r="AH15" i="109"/>
  <c r="AH20" i="109" s="1"/>
  <c r="AI15" i="109"/>
  <c r="AI20" i="109" s="1"/>
  <c r="AJ15" i="109"/>
  <c r="AJ20" i="109" s="1"/>
  <c r="C15" i="109"/>
  <c r="C20" i="109" s="1"/>
  <c r="AN16" i="109"/>
  <c r="AZ16" i="109" s="1"/>
  <c r="AL16" i="109"/>
  <c r="AK16" i="109"/>
  <c r="H16" i="109"/>
  <c r="AO16" i="109" s="1"/>
  <c r="D14" i="109"/>
  <c r="B14" i="109"/>
  <c r="G6" i="109"/>
  <c r="G14" i="109" s="1"/>
  <c r="I6" i="109"/>
  <c r="I14" i="109" s="1"/>
  <c r="J6" i="109"/>
  <c r="J14" i="109" s="1"/>
  <c r="L6" i="109"/>
  <c r="L14" i="109" s="1"/>
  <c r="M6" i="109"/>
  <c r="M14" i="109" s="1"/>
  <c r="N6" i="109"/>
  <c r="N14" i="109" s="1"/>
  <c r="O6" i="109"/>
  <c r="O14" i="109" s="1"/>
  <c r="P6" i="109"/>
  <c r="Q6" i="109"/>
  <c r="Q14" i="109" s="1"/>
  <c r="R6" i="109"/>
  <c r="R14" i="109" s="1"/>
  <c r="S6" i="109"/>
  <c r="S14" i="109" s="1"/>
  <c r="T6" i="109"/>
  <c r="T14" i="109" s="1"/>
  <c r="U6" i="109"/>
  <c r="U14" i="109" s="1"/>
  <c r="V6" i="109"/>
  <c r="V14" i="109" s="1"/>
  <c r="W6" i="109"/>
  <c r="W14" i="109" s="1"/>
  <c r="X6" i="109"/>
  <c r="X14" i="109" s="1"/>
  <c r="Y6" i="109"/>
  <c r="Y14" i="109" s="1"/>
  <c r="Z6" i="109"/>
  <c r="Z14" i="109" s="1"/>
  <c r="AA6" i="109"/>
  <c r="AB6" i="109"/>
  <c r="AB14" i="109" s="1"/>
  <c r="AC6" i="109"/>
  <c r="AC14" i="109" s="1"/>
  <c r="AD6" i="109"/>
  <c r="AD14" i="109" s="1"/>
  <c r="AE6" i="109"/>
  <c r="AE14" i="109" s="1"/>
  <c r="AF6" i="109"/>
  <c r="AF14" i="109" s="1"/>
  <c r="AG6" i="109"/>
  <c r="AG14" i="109" s="1"/>
  <c r="AH6" i="109"/>
  <c r="AH14" i="109" s="1"/>
  <c r="AI6" i="109"/>
  <c r="AI14" i="109" s="1"/>
  <c r="AJ6" i="109"/>
  <c r="AJ14" i="109" s="1"/>
  <c r="F6" i="109"/>
  <c r="F14" i="109" s="1"/>
  <c r="E6" i="109"/>
  <c r="D6" i="109"/>
  <c r="C6" i="109"/>
  <c r="C14" i="109" s="1"/>
  <c r="B48" i="1"/>
  <c r="AN47" i="1"/>
  <c r="AZ47" i="1" s="1"/>
  <c r="AL47" i="1"/>
  <c r="AK47" i="1"/>
  <c r="H47" i="1"/>
  <c r="AO47" i="1" s="1"/>
  <c r="AN46" i="1"/>
  <c r="AW46" i="1" s="1"/>
  <c r="AL46" i="1"/>
  <c r="AK46" i="1"/>
  <c r="H46" i="1"/>
  <c r="AN45" i="1"/>
  <c r="AZ45" i="1" s="1"/>
  <c r="AL45" i="1"/>
  <c r="AK45" i="1"/>
  <c r="H45" i="1"/>
  <c r="AO45" i="1" s="1"/>
  <c r="G30" i="1"/>
  <c r="I30" i="1"/>
  <c r="J30" i="1"/>
  <c r="L30" i="1"/>
  <c r="M30" i="1"/>
  <c r="N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F30" i="1"/>
  <c r="C30" i="1"/>
  <c r="D30" i="1"/>
  <c r="G39" i="1"/>
  <c r="I39" i="1"/>
  <c r="J39" i="1"/>
  <c r="L39" i="1"/>
  <c r="M39" i="1"/>
  <c r="N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J48" i="1" s="1"/>
  <c r="F39" i="1"/>
  <c r="C39" i="1"/>
  <c r="E39" i="1"/>
  <c r="E48" i="1" s="1"/>
  <c r="E25" i="11" s="1"/>
  <c r="D39" i="1"/>
  <c r="D48" i="1" s="1"/>
  <c r="D25" i="11" s="1"/>
  <c r="AN38" i="1"/>
  <c r="AX38" i="1" s="1"/>
  <c r="AL38" i="1"/>
  <c r="AK38" i="1"/>
  <c r="H38" i="1"/>
  <c r="AO38" i="1" s="1"/>
  <c r="E30" i="1"/>
  <c r="G25" i="1"/>
  <c r="I25" i="1"/>
  <c r="J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F25" i="1"/>
  <c r="E25" i="1"/>
  <c r="E29" i="1" s="1"/>
  <c r="D25" i="1"/>
  <c r="D29" i="1" s="1"/>
  <c r="C25" i="1"/>
  <c r="G19" i="1"/>
  <c r="I19" i="1"/>
  <c r="J19" i="1"/>
  <c r="J29" i="1" s="1"/>
  <c r="L19" i="1"/>
  <c r="L29" i="1" s="1"/>
  <c r="M19" i="1"/>
  <c r="N19" i="1"/>
  <c r="O19" i="1"/>
  <c r="O29" i="1" s="1"/>
  <c r="P19" i="1"/>
  <c r="Q19" i="1"/>
  <c r="R19" i="1"/>
  <c r="S19" i="1"/>
  <c r="S29" i="1" s="1"/>
  <c r="T19" i="1"/>
  <c r="U19" i="1"/>
  <c r="V19" i="1"/>
  <c r="W19" i="1"/>
  <c r="W29" i="1" s="1"/>
  <c r="X19" i="1"/>
  <c r="X29" i="1" s="1"/>
  <c r="Y19" i="1"/>
  <c r="Z19" i="1"/>
  <c r="AA19" i="1"/>
  <c r="AA29" i="1" s="1"/>
  <c r="AB19" i="1"/>
  <c r="AB29" i="1" s="1"/>
  <c r="AC19" i="1"/>
  <c r="AD19" i="1"/>
  <c r="AE19" i="1"/>
  <c r="AE29" i="1" s="1"/>
  <c r="AF19" i="1"/>
  <c r="AF29" i="1" s="1"/>
  <c r="AG19" i="1"/>
  <c r="AH19" i="1"/>
  <c r="AI19" i="1"/>
  <c r="AI29" i="1" s="1"/>
  <c r="AJ19" i="1"/>
  <c r="AJ29" i="1" s="1"/>
  <c r="F19" i="1"/>
  <c r="E19" i="1"/>
  <c r="D19" i="1"/>
  <c r="C19" i="1"/>
  <c r="C29" i="1" s="1"/>
  <c r="G13" i="1"/>
  <c r="I13" i="1"/>
  <c r="J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F13" i="1"/>
  <c r="E13" i="1"/>
  <c r="D13" i="1"/>
  <c r="C13" i="1"/>
  <c r="E6" i="1"/>
  <c r="D6" i="1"/>
  <c r="F6" i="1"/>
  <c r="G6" i="1"/>
  <c r="I6" i="1"/>
  <c r="J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C6" i="1"/>
  <c r="C18" i="1" s="1"/>
  <c r="C13" i="107"/>
  <c r="C29" i="11" s="1"/>
  <c r="AN35" i="1"/>
  <c r="AX35" i="1" s="1"/>
  <c r="AL35" i="1"/>
  <c r="AK35" i="1"/>
  <c r="H35" i="1"/>
  <c r="AO35" i="1" s="1"/>
  <c r="AN36" i="1"/>
  <c r="AX36" i="1" s="1"/>
  <c r="AL36" i="1"/>
  <c r="AK36" i="1"/>
  <c r="H36" i="1"/>
  <c r="AO36" i="1" s="1"/>
  <c r="AN43" i="1"/>
  <c r="AY43" i="1" s="1"/>
  <c r="AL43" i="1"/>
  <c r="AK43" i="1"/>
  <c r="H43" i="1"/>
  <c r="AO43" i="1" s="1"/>
  <c r="AN41" i="1"/>
  <c r="AZ41" i="1" s="1"/>
  <c r="AL41" i="1"/>
  <c r="AK41" i="1"/>
  <c r="H41" i="1"/>
  <c r="K41" i="1" s="1"/>
  <c r="F34" i="11"/>
  <c r="C34" i="11"/>
  <c r="D46" i="11" l="1"/>
  <c r="AN28" i="35"/>
  <c r="AT28" i="35" s="1"/>
  <c r="AM14" i="95"/>
  <c r="E43" i="11"/>
  <c r="E41" i="12" s="1"/>
  <c r="E44" i="12" s="1"/>
  <c r="BA28" i="35"/>
  <c r="AS24" i="35"/>
  <c r="K16" i="109"/>
  <c r="K15" i="109" s="1"/>
  <c r="H15" i="109"/>
  <c r="AO15" i="109" s="1"/>
  <c r="AX28" i="35"/>
  <c r="AT14" i="95"/>
  <c r="E18" i="1"/>
  <c r="AL21" i="109"/>
  <c r="Q26" i="109"/>
  <c r="Q27" i="11" s="1"/>
  <c r="AV32" i="11"/>
  <c r="AT33" i="11"/>
  <c r="AV33" i="11"/>
  <c r="AW33" i="11"/>
  <c r="AK21" i="109"/>
  <c r="AU33" i="11"/>
  <c r="AX33" i="11"/>
  <c r="AZ33" i="11"/>
  <c r="AY33" i="11"/>
  <c r="AY32" i="11"/>
  <c r="AX32" i="11"/>
  <c r="AW32" i="11"/>
  <c r="AT32" i="11"/>
  <c r="AU32" i="11"/>
  <c r="F48" i="1"/>
  <c r="F25" i="11" s="1"/>
  <c r="AK33" i="11"/>
  <c r="AM15" i="122"/>
  <c r="AM33" i="11" s="1"/>
  <c r="W27" i="11"/>
  <c r="AA28" i="11"/>
  <c r="R18" i="7"/>
  <c r="AN15" i="7"/>
  <c r="AZ15" i="7" s="1"/>
  <c r="U28" i="11"/>
  <c r="P28" i="11"/>
  <c r="AK18" i="7"/>
  <c r="AK28" i="11" s="1"/>
  <c r="AA27" i="11"/>
  <c r="AK26" i="109"/>
  <c r="AK27" i="11" s="1"/>
  <c r="S27" i="11"/>
  <c r="C41" i="35"/>
  <c r="B37" i="11" s="1"/>
  <c r="B26" i="11"/>
  <c r="C24" i="12" s="1"/>
  <c r="P32" i="11"/>
  <c r="AK18" i="95"/>
  <c r="AK32" i="11" s="1"/>
  <c r="AN26" i="109"/>
  <c r="AW26" i="109" s="1"/>
  <c r="AI48" i="1"/>
  <c r="AI25" i="11" s="1"/>
  <c r="AE48" i="1"/>
  <c r="AE25" i="11" s="1"/>
  <c r="AA48" i="1"/>
  <c r="AA25" i="11" s="1"/>
  <c r="W48" i="1"/>
  <c r="W25" i="11" s="1"/>
  <c r="S48" i="1"/>
  <c r="S25" i="11" s="1"/>
  <c r="N48" i="1"/>
  <c r="N25" i="11" s="1"/>
  <c r="R29" i="11"/>
  <c r="AN13" i="107"/>
  <c r="AN29" i="11" s="1"/>
  <c r="AV29" i="11" s="1"/>
  <c r="AL15" i="7"/>
  <c r="AG28" i="11"/>
  <c r="Q28" i="11"/>
  <c r="AL18" i="7"/>
  <c r="AL28" i="11" s="1"/>
  <c r="BA24" i="35"/>
  <c r="AY24" i="35"/>
  <c r="AV24" i="35"/>
  <c r="AK15" i="7"/>
  <c r="AK6" i="109"/>
  <c r="AN21" i="109"/>
  <c r="AX21" i="109" s="1"/>
  <c r="AK13" i="107"/>
  <c r="AY28" i="35"/>
  <c r="I48" i="1"/>
  <c r="I25" i="11" s="1"/>
  <c r="AT19" i="35"/>
  <c r="AG48" i="1"/>
  <c r="AG25" i="11" s="1"/>
  <c r="AC48" i="1"/>
  <c r="AC25" i="11" s="1"/>
  <c r="Y48" i="1"/>
  <c r="Y25" i="11" s="1"/>
  <c r="U48" i="1"/>
  <c r="U25" i="11" s="1"/>
  <c r="L48" i="1"/>
  <c r="L25" i="11" s="1"/>
  <c r="B25" i="11"/>
  <c r="C23" i="12" s="1"/>
  <c r="P14" i="109"/>
  <c r="AN15" i="109"/>
  <c r="AY15" i="109" s="1"/>
  <c r="J29" i="11"/>
  <c r="AL13" i="107"/>
  <c r="AL29" i="11" s="1"/>
  <c r="AR24" i="35"/>
  <c r="AU28" i="35"/>
  <c r="AZ32" i="11"/>
  <c r="AV28" i="35"/>
  <c r="D18" i="1"/>
  <c r="D23" i="12"/>
  <c r="AJ25" i="11"/>
  <c r="AN39" i="1"/>
  <c r="AU39" i="1" s="1"/>
  <c r="C48" i="1"/>
  <c r="C25" i="11" s="1"/>
  <c r="AL30" i="1"/>
  <c r="Q48" i="1"/>
  <c r="Q25" i="11" s="1"/>
  <c r="AH48" i="1"/>
  <c r="AH25" i="11" s="1"/>
  <c r="AF48" i="1"/>
  <c r="AF25" i="11" s="1"/>
  <c r="AD48" i="1"/>
  <c r="AD25" i="11" s="1"/>
  <c r="AB48" i="1"/>
  <c r="AB25" i="11" s="1"/>
  <c r="Z48" i="1"/>
  <c r="Z25" i="11" s="1"/>
  <c r="X48" i="1"/>
  <c r="X25" i="11" s="1"/>
  <c r="V48" i="1"/>
  <c r="V25" i="11" s="1"/>
  <c r="T48" i="1"/>
  <c r="T25" i="11" s="1"/>
  <c r="P48" i="1"/>
  <c r="P25" i="11" s="1"/>
  <c r="M48" i="1"/>
  <c r="M25" i="11" s="1"/>
  <c r="J48" i="1"/>
  <c r="J25" i="11" s="1"/>
  <c r="G48" i="1"/>
  <c r="G25" i="11" s="1"/>
  <c r="E23" i="12"/>
  <c r="AI18" i="1"/>
  <c r="AE18" i="1"/>
  <c r="AA18" i="1"/>
  <c r="W18" i="1"/>
  <c r="S18" i="1"/>
  <c r="O18" i="1"/>
  <c r="J18" i="1"/>
  <c r="AM38" i="1"/>
  <c r="AQ38" i="1" s="1"/>
  <c r="AN30" i="1"/>
  <c r="AW30" i="1" s="1"/>
  <c r="R48" i="1"/>
  <c r="R25" i="11" s="1"/>
  <c r="AW45" i="1"/>
  <c r="K45" i="1"/>
  <c r="AW47" i="1"/>
  <c r="AQ14" i="95"/>
  <c r="AS14" i="95"/>
  <c r="AR14" i="95"/>
  <c r="AQ24" i="35"/>
  <c r="AX24" i="35"/>
  <c r="AT24" i="35"/>
  <c r="AU24" i="35"/>
  <c r="AZ24" i="35"/>
  <c r="AW24" i="35"/>
  <c r="AU19" i="35"/>
  <c r="AS15" i="35"/>
  <c r="AT17" i="35"/>
  <c r="AS19" i="35"/>
  <c r="AX19" i="35"/>
  <c r="AT15" i="35"/>
  <c r="AQ19" i="35"/>
  <c r="AY19" i="35"/>
  <c r="AR19" i="35"/>
  <c r="AV19" i="35"/>
  <c r="AZ19" i="35"/>
  <c r="AW19" i="35"/>
  <c r="AU17" i="35"/>
  <c r="AS17" i="35"/>
  <c r="AX17" i="35"/>
  <c r="AQ17" i="35"/>
  <c r="AY17" i="35"/>
  <c r="AR17" i="35"/>
  <c r="AV17" i="35"/>
  <c r="AZ17" i="35"/>
  <c r="AW17" i="35"/>
  <c r="AR15" i="35"/>
  <c r="AV15" i="35"/>
  <c r="AX15" i="35"/>
  <c r="AZ15" i="35"/>
  <c r="AQ15" i="35"/>
  <c r="AU15" i="35"/>
  <c r="AY15" i="35"/>
  <c r="AW15" i="35"/>
  <c r="AZ15" i="109"/>
  <c r="AK15" i="109"/>
  <c r="AL15" i="109"/>
  <c r="R20" i="109"/>
  <c r="AU15" i="109"/>
  <c r="AL6" i="109"/>
  <c r="AN6" i="109"/>
  <c r="AY6" i="109" s="1"/>
  <c r="AA14" i="109"/>
  <c r="AP16" i="109"/>
  <c r="AT16" i="109"/>
  <c r="AW16" i="109"/>
  <c r="AX16" i="109"/>
  <c r="AM16" i="109"/>
  <c r="AS16" i="109" s="1"/>
  <c r="AU16" i="109"/>
  <c r="AY16" i="109"/>
  <c r="AV16" i="109"/>
  <c r="AM35" i="1"/>
  <c r="AS35" i="1" s="1"/>
  <c r="AH18" i="1"/>
  <c r="AD18" i="1"/>
  <c r="Z18" i="1"/>
  <c r="V18" i="1"/>
  <c r="R18" i="1"/>
  <c r="N18" i="1"/>
  <c r="I18" i="1"/>
  <c r="K47" i="1"/>
  <c r="AL39" i="1"/>
  <c r="AK39" i="1"/>
  <c r="AG18" i="1"/>
  <c r="Y18" i="1"/>
  <c r="AK13" i="1"/>
  <c r="AH29" i="1"/>
  <c r="AD29" i="1"/>
  <c r="Z29" i="1"/>
  <c r="V29" i="1"/>
  <c r="R29" i="1"/>
  <c r="N29" i="1"/>
  <c r="I29" i="1"/>
  <c r="AT46" i="1"/>
  <c r="AL13" i="1"/>
  <c r="AP46" i="1"/>
  <c r="AY46" i="1"/>
  <c r="F29" i="1"/>
  <c r="AG29" i="1"/>
  <c r="AC29" i="1"/>
  <c r="Y29" i="1"/>
  <c r="AL25" i="1"/>
  <c r="M29" i="1"/>
  <c r="G29" i="1"/>
  <c r="AU46" i="1"/>
  <c r="AL19" i="1"/>
  <c r="AK19" i="1"/>
  <c r="AK25" i="1"/>
  <c r="AK30" i="1"/>
  <c r="AM46" i="1"/>
  <c r="AR46" i="1" s="1"/>
  <c r="AX46" i="1"/>
  <c r="AP45" i="1"/>
  <c r="AT45" i="1"/>
  <c r="AX45" i="1"/>
  <c r="K46" i="1"/>
  <c r="AV46" i="1"/>
  <c r="AZ46" i="1"/>
  <c r="AP47" i="1"/>
  <c r="AT47" i="1"/>
  <c r="AX47" i="1"/>
  <c r="AM45" i="1"/>
  <c r="AS45" i="1" s="1"/>
  <c r="AU45" i="1"/>
  <c r="AY45" i="1"/>
  <c r="AO46" i="1"/>
  <c r="AM47" i="1"/>
  <c r="AS47" i="1" s="1"/>
  <c r="AU47" i="1"/>
  <c r="AY47" i="1"/>
  <c r="AV45" i="1"/>
  <c r="AV47" i="1"/>
  <c r="AN13" i="1"/>
  <c r="AX13" i="1" s="1"/>
  <c r="AN25" i="1"/>
  <c r="AZ25" i="1" s="1"/>
  <c r="U18" i="1"/>
  <c r="M18" i="1"/>
  <c r="AN19" i="1"/>
  <c r="AX19" i="1" s="1"/>
  <c r="U29" i="1"/>
  <c r="AJ18" i="1"/>
  <c r="AF18" i="1"/>
  <c r="AB18" i="1"/>
  <c r="X18" i="1"/>
  <c r="L18" i="1"/>
  <c r="F18" i="1"/>
  <c r="T29" i="1"/>
  <c r="P29" i="1"/>
  <c r="AU38" i="1"/>
  <c r="AC18" i="1"/>
  <c r="Q18" i="1"/>
  <c r="G18" i="1"/>
  <c r="Q29" i="1"/>
  <c r="AY38" i="1"/>
  <c r="K38" i="1"/>
  <c r="AV38" i="1"/>
  <c r="AZ38" i="1"/>
  <c r="AW38" i="1"/>
  <c r="AP38" i="1"/>
  <c r="AT38" i="1"/>
  <c r="AL6" i="1"/>
  <c r="AK6" i="1"/>
  <c r="AN6" i="1"/>
  <c r="T18" i="1"/>
  <c r="P18" i="1"/>
  <c r="AM36" i="1"/>
  <c r="AS36" i="1" s="1"/>
  <c r="AU35" i="1"/>
  <c r="AY35" i="1"/>
  <c r="K35" i="1"/>
  <c r="AV35" i="1"/>
  <c r="AZ35" i="1"/>
  <c r="AW35" i="1"/>
  <c r="AP35" i="1"/>
  <c r="AT35" i="1"/>
  <c r="AU36" i="1"/>
  <c r="AY36" i="1"/>
  <c r="K36" i="1"/>
  <c r="AV36" i="1"/>
  <c r="AZ36" i="1"/>
  <c r="AW36" i="1"/>
  <c r="AP36" i="1"/>
  <c r="AT36" i="1"/>
  <c r="AM43" i="1"/>
  <c r="AR43" i="1" s="1"/>
  <c r="K43" i="1"/>
  <c r="AU41" i="1"/>
  <c r="AW41" i="1"/>
  <c r="AZ43" i="1"/>
  <c r="AW43" i="1"/>
  <c r="AV43" i="1"/>
  <c r="AP43" i="1"/>
  <c r="AT43" i="1"/>
  <c r="AX43" i="1"/>
  <c r="AU43" i="1"/>
  <c r="AY41" i="1"/>
  <c r="AO41" i="1"/>
  <c r="AP41" i="1"/>
  <c r="AT41" i="1"/>
  <c r="AX41" i="1"/>
  <c r="AM41" i="1"/>
  <c r="AV41" i="1"/>
  <c r="AM21" i="109" l="1"/>
  <c r="AQ21" i="109" s="1"/>
  <c r="AR28" i="35"/>
  <c r="AS28" i="35"/>
  <c r="AL26" i="109"/>
  <c r="AL27" i="11" s="1"/>
  <c r="E46" i="11"/>
  <c r="AL64" i="109"/>
  <c r="AY15" i="7"/>
  <c r="AX15" i="7"/>
  <c r="AV26" i="109"/>
  <c r="AX15" i="109"/>
  <c r="AN64" i="109"/>
  <c r="AU26" i="109"/>
  <c r="AY26" i="109"/>
  <c r="AT15" i="109"/>
  <c r="AW15" i="109"/>
  <c r="AK64" i="109"/>
  <c r="AT26" i="109"/>
  <c r="AZ26" i="109"/>
  <c r="AV15" i="109"/>
  <c r="AP15" i="109"/>
  <c r="AM6" i="109"/>
  <c r="AS6" i="109" s="1"/>
  <c r="AZ39" i="1"/>
  <c r="AT15" i="7"/>
  <c r="AM15" i="109"/>
  <c r="AS15" i="109" s="1"/>
  <c r="AV21" i="109"/>
  <c r="AW15" i="7"/>
  <c r="C35" i="12"/>
  <c r="AV15" i="7"/>
  <c r="AU15" i="7"/>
  <c r="AT29" i="11"/>
  <c r="AX29" i="11"/>
  <c r="AM18" i="7"/>
  <c r="AM28" i="11" s="1"/>
  <c r="I26" i="12" s="1"/>
  <c r="AR38" i="1"/>
  <c r="AX39" i="1"/>
  <c r="AV39" i="1"/>
  <c r="AW39" i="1"/>
  <c r="AY39" i="1"/>
  <c r="AT39" i="1"/>
  <c r="AT30" i="1"/>
  <c r="AV30" i="1"/>
  <c r="AS38" i="1"/>
  <c r="AM30" i="1"/>
  <c r="AS30" i="1" s="1"/>
  <c r="AW21" i="109"/>
  <c r="AX6" i="109"/>
  <c r="AX26" i="109"/>
  <c r="AN27" i="11"/>
  <c r="I31" i="12"/>
  <c r="AS33" i="11"/>
  <c r="AQ33" i="11"/>
  <c r="AR15" i="109"/>
  <c r="AZ21" i="109"/>
  <c r="AU21" i="109"/>
  <c r="AY21" i="109"/>
  <c r="AM25" i="1"/>
  <c r="AR25" i="1" s="1"/>
  <c r="AW6" i="109"/>
  <c r="AT21" i="109"/>
  <c r="AM15" i="7"/>
  <c r="AZ29" i="11"/>
  <c r="AY29" i="11"/>
  <c r="AW29" i="11"/>
  <c r="AR33" i="11"/>
  <c r="AM13" i="1"/>
  <c r="AQ13" i="1" s="1"/>
  <c r="AM39" i="1"/>
  <c r="AS39" i="1" s="1"/>
  <c r="AV6" i="109"/>
  <c r="AS21" i="109"/>
  <c r="AK29" i="11"/>
  <c r="AM13" i="107"/>
  <c r="AM29" i="11" s="1"/>
  <c r="I27" i="12" s="1"/>
  <c r="H27" i="12"/>
  <c r="R28" i="11"/>
  <c r="AN18" i="7"/>
  <c r="AU29" i="11"/>
  <c r="AN29" i="1"/>
  <c r="AY30" i="1"/>
  <c r="AS46" i="1"/>
  <c r="AZ6" i="109"/>
  <c r="AT6" i="109"/>
  <c r="AU6" i="109"/>
  <c r="AQ16" i="109"/>
  <c r="AR16" i="109"/>
  <c r="AQ35" i="1"/>
  <c r="AX30" i="1"/>
  <c r="AR35" i="1"/>
  <c r="AQ45" i="1"/>
  <c r="AM19" i="1"/>
  <c r="AQ19" i="1" s="1"/>
  <c r="AR36" i="1"/>
  <c r="AT13" i="1"/>
  <c r="AV19" i="1"/>
  <c r="AL29" i="1"/>
  <c r="AY13" i="1"/>
  <c r="AV13" i="1"/>
  <c r="AU30" i="1"/>
  <c r="AK29" i="1"/>
  <c r="AZ30" i="1"/>
  <c r="AQ46" i="1"/>
  <c r="AQ47" i="1"/>
  <c r="AR47" i="1"/>
  <c r="AR45" i="1"/>
  <c r="AK18" i="1"/>
  <c r="AM6" i="1"/>
  <c r="AR6" i="1" s="1"/>
  <c r="AV25" i="1"/>
  <c r="AY25" i="1"/>
  <c r="AW13" i="1"/>
  <c r="AU25" i="1"/>
  <c r="AW25" i="1"/>
  <c r="AZ19" i="1"/>
  <c r="AY19" i="1"/>
  <c r="AS43" i="1"/>
  <c r="AZ13" i="1"/>
  <c r="AT19" i="1"/>
  <c r="AW19" i="1"/>
  <c r="AT25" i="1"/>
  <c r="AX25" i="1"/>
  <c r="AU19" i="1"/>
  <c r="AU13" i="1"/>
  <c r="AZ6" i="1"/>
  <c r="AY6" i="1"/>
  <c r="AU6" i="1"/>
  <c r="AT6" i="1"/>
  <c r="AX6" i="1"/>
  <c r="AV6" i="1"/>
  <c r="AW6" i="1"/>
  <c r="AQ36" i="1"/>
  <c r="AQ43" i="1"/>
  <c r="AQ41" i="1"/>
  <c r="AS41" i="1"/>
  <c r="AR41" i="1"/>
  <c r="N10" i="124"/>
  <c r="N34" i="11" s="1"/>
  <c r="AR21" i="109" l="1"/>
  <c r="AK145" i="1"/>
  <c r="AL145" i="1"/>
  <c r="AN145" i="1"/>
  <c r="AV145" i="1" s="1"/>
  <c r="AM26" i="109"/>
  <c r="AQ6" i="109"/>
  <c r="AM64" i="109"/>
  <c r="AR6" i="109"/>
  <c r="AQ15" i="109"/>
  <c r="AR18" i="7"/>
  <c r="AS28" i="11"/>
  <c r="AR13" i="107"/>
  <c r="AS18" i="7"/>
  <c r="AR28" i="11"/>
  <c r="AS29" i="11"/>
  <c r="AQ29" i="11"/>
  <c r="AR29" i="11"/>
  <c r="AS13" i="1"/>
  <c r="AR13" i="1"/>
  <c r="AR30" i="1"/>
  <c r="AQ30" i="1"/>
  <c r="AS25" i="1"/>
  <c r="AS19" i="1"/>
  <c r="AQ25" i="1"/>
  <c r="AZ18" i="7"/>
  <c r="AN28" i="11"/>
  <c r="AT28" i="11" s="1"/>
  <c r="AX18" i="7"/>
  <c r="AT18" i="7"/>
  <c r="AV18" i="7"/>
  <c r="AW18" i="7"/>
  <c r="AU18" i="7"/>
  <c r="AY18" i="7"/>
  <c r="AR26" i="109"/>
  <c r="AM27" i="11"/>
  <c r="AQ26" i="109"/>
  <c r="H25" i="12"/>
  <c r="AZ27" i="11"/>
  <c r="AV27" i="11"/>
  <c r="AU27" i="11"/>
  <c r="AY27" i="11"/>
  <c r="AX27" i="11"/>
  <c r="AT27" i="11"/>
  <c r="AQ39" i="1"/>
  <c r="AS26" i="109"/>
  <c r="AR19" i="1"/>
  <c r="AR39" i="1"/>
  <c r="AQ18" i="7"/>
  <c r="AW27" i="11"/>
  <c r="AR15" i="7"/>
  <c r="AQ15" i="7"/>
  <c r="AS15" i="7"/>
  <c r="AM29" i="1"/>
  <c r="AS6" i="1"/>
  <c r="AQ6" i="1"/>
  <c r="AK48" i="1"/>
  <c r="AK25" i="11" s="1"/>
  <c r="AL48" i="1"/>
  <c r="AL25" i="11" s="1"/>
  <c r="AL18" i="1"/>
  <c r="AN18" i="1"/>
  <c r="B15" i="122"/>
  <c r="B33" i="11" s="1"/>
  <c r="C31" i="12" s="1"/>
  <c r="AN14" i="122"/>
  <c r="AY14" i="122" s="1"/>
  <c r="AL14" i="122"/>
  <c r="AK14" i="122"/>
  <c r="H14" i="122"/>
  <c r="AO14" i="122" s="1"/>
  <c r="AN13" i="122"/>
  <c r="AY13" i="122" s="1"/>
  <c r="AL13" i="122"/>
  <c r="AK13" i="122"/>
  <c r="H13" i="122"/>
  <c r="AO13" i="122" s="1"/>
  <c r="AN12" i="122"/>
  <c r="AY12" i="122" s="1"/>
  <c r="AL12" i="122"/>
  <c r="AK12" i="122"/>
  <c r="H12" i="122"/>
  <c r="K12" i="122" s="1"/>
  <c r="AN11" i="122"/>
  <c r="AY11" i="122" s="1"/>
  <c r="AL11" i="122"/>
  <c r="AK11" i="122"/>
  <c r="H11" i="122"/>
  <c r="AO11" i="122" s="1"/>
  <c r="AN10" i="122"/>
  <c r="AY10" i="122" s="1"/>
  <c r="AL10" i="122"/>
  <c r="AK10" i="122"/>
  <c r="H10" i="122"/>
  <c r="AT145" i="1" l="1"/>
  <c r="AU145" i="1"/>
  <c r="AZ145" i="1"/>
  <c r="AW145" i="1"/>
  <c r="AY145" i="1"/>
  <c r="AM145" i="1"/>
  <c r="AS145" i="1" s="1"/>
  <c r="AX145" i="1"/>
  <c r="AM12" i="122"/>
  <c r="AR12" i="122" s="1"/>
  <c r="AM13" i="122"/>
  <c r="AR13" i="122" s="1"/>
  <c r="AO10" i="122"/>
  <c r="H15" i="122"/>
  <c r="H33" i="11" s="1"/>
  <c r="I25" i="12"/>
  <c r="AS27" i="11"/>
  <c r="AR27" i="11"/>
  <c r="H26" i="12"/>
  <c r="AQ28" i="11"/>
  <c r="AZ28" i="11"/>
  <c r="AX28" i="11"/>
  <c r="AV28" i="11"/>
  <c r="AU28" i="11"/>
  <c r="AW28" i="11"/>
  <c r="AY28" i="11"/>
  <c r="AM11" i="122"/>
  <c r="AR11" i="122" s="1"/>
  <c r="AQ27" i="11"/>
  <c r="AM48" i="1"/>
  <c r="AM25" i="11" s="1"/>
  <c r="I23" i="12" s="1"/>
  <c r="AW18" i="1"/>
  <c r="AZ18" i="1"/>
  <c r="AM18" i="1"/>
  <c r="AX18" i="1"/>
  <c r="AT18" i="1"/>
  <c r="AU18" i="1"/>
  <c r="AY18" i="1"/>
  <c r="AV18" i="1"/>
  <c r="K10" i="122"/>
  <c r="K14" i="122"/>
  <c r="K13" i="122"/>
  <c r="AM10" i="122"/>
  <c r="AR10" i="122" s="1"/>
  <c r="K11" i="122"/>
  <c r="AM14" i="122"/>
  <c r="AR14" i="122" s="1"/>
  <c r="AR15" i="122"/>
  <c r="AP10" i="122"/>
  <c r="AT10" i="122"/>
  <c r="AV10" i="122"/>
  <c r="AX10" i="122"/>
  <c r="AZ10" i="122"/>
  <c r="AP11" i="122"/>
  <c r="AT11" i="122"/>
  <c r="AV11" i="122"/>
  <c r="AX11" i="122"/>
  <c r="AZ11" i="122"/>
  <c r="AP12" i="122"/>
  <c r="AT12" i="122"/>
  <c r="AV12" i="122"/>
  <c r="AX12" i="122"/>
  <c r="AZ12" i="122"/>
  <c r="AP13" i="122"/>
  <c r="AT13" i="122"/>
  <c r="AV13" i="122"/>
  <c r="AX13" i="122"/>
  <c r="AZ13" i="122"/>
  <c r="AP14" i="122"/>
  <c r="AT14" i="122"/>
  <c r="AV14" i="122"/>
  <c r="AX14" i="122"/>
  <c r="AZ14" i="122"/>
  <c r="AU10" i="122"/>
  <c r="AW10" i="122"/>
  <c r="AU11" i="122"/>
  <c r="AW11" i="122"/>
  <c r="AO12" i="122"/>
  <c r="AU12" i="122"/>
  <c r="AW12" i="122"/>
  <c r="AU13" i="122"/>
  <c r="AW13" i="122"/>
  <c r="AU14" i="122"/>
  <c r="AW14" i="122"/>
  <c r="AQ145" i="1" l="1"/>
  <c r="AR145" i="1"/>
  <c r="AQ10" i="122"/>
  <c r="AQ12" i="122"/>
  <c r="AS12" i="122"/>
  <c r="AS13" i="122"/>
  <c r="AQ13" i="122"/>
  <c r="AS10" i="122"/>
  <c r="AQ18" i="1"/>
  <c r="AO15" i="122"/>
  <c r="AQ11" i="122"/>
  <c r="AS11" i="122"/>
  <c r="F31" i="12"/>
  <c r="AP33" i="11"/>
  <c r="AO33" i="11"/>
  <c r="AQ14" i="122"/>
  <c r="K15" i="122"/>
  <c r="K33" i="11" s="1"/>
  <c r="AS25" i="11"/>
  <c r="AR25" i="11"/>
  <c r="AS48" i="1"/>
  <c r="AR48" i="1"/>
  <c r="AS18" i="1"/>
  <c r="AR18" i="1"/>
  <c r="AS14" i="122"/>
  <c r="AP15" i="122"/>
  <c r="AQ15" i="122"/>
  <c r="AZ15" i="122"/>
  <c r="AV15" i="122"/>
  <c r="AW15" i="122"/>
  <c r="AS15" i="122"/>
  <c r="AX15" i="122"/>
  <c r="AT15" i="122"/>
  <c r="AY15" i="122"/>
  <c r="AU15" i="122"/>
  <c r="J31" i="12" l="1"/>
  <c r="K31" i="12"/>
  <c r="AJ11" i="31"/>
  <c r="AI11" i="31"/>
  <c r="AH11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J11" i="31"/>
  <c r="J31" i="11" s="1"/>
  <c r="I11" i="31"/>
  <c r="I31" i="11" s="1"/>
  <c r="I35" i="11" s="1"/>
  <c r="G11" i="31"/>
  <c r="G31" i="11" s="1"/>
  <c r="F11" i="31"/>
  <c r="F31" i="11" s="1"/>
  <c r="F35" i="11" s="1"/>
  <c r="E11" i="31"/>
  <c r="E31" i="11" s="1"/>
  <c r="E29" i="12" s="1"/>
  <c r="D11" i="31"/>
  <c r="D31" i="11" s="1"/>
  <c r="D29" i="12" s="1"/>
  <c r="C11" i="31"/>
  <c r="C31" i="11" s="1"/>
  <c r="AN10" i="31"/>
  <c r="AY10" i="31" s="1"/>
  <c r="AL10" i="31"/>
  <c r="AK10" i="31"/>
  <c r="H10" i="31"/>
  <c r="AO10" i="31" s="1"/>
  <c r="AN33" i="36"/>
  <c r="AT33" i="36" s="1"/>
  <c r="AL33" i="36"/>
  <c r="AK33" i="36"/>
  <c r="H33" i="36"/>
  <c r="AO33" i="36" s="1"/>
  <c r="AN32" i="36"/>
  <c r="AL32" i="36"/>
  <c r="AK32" i="36"/>
  <c r="H32" i="36"/>
  <c r="AO32" i="36" s="1"/>
  <c r="AN31" i="36"/>
  <c r="AX31" i="36" s="1"/>
  <c r="AL31" i="36"/>
  <c r="AK31" i="36"/>
  <c r="H31" i="36"/>
  <c r="AO31" i="36" s="1"/>
  <c r="AN30" i="36"/>
  <c r="AL30" i="36"/>
  <c r="AK30" i="36"/>
  <c r="H30" i="36"/>
  <c r="AO30" i="36" s="1"/>
  <c r="AN29" i="36"/>
  <c r="AX29" i="36" s="1"/>
  <c r="AL29" i="36"/>
  <c r="AK29" i="36"/>
  <c r="H29" i="36"/>
  <c r="AO29" i="36" s="1"/>
  <c r="AN28" i="36"/>
  <c r="AL28" i="36"/>
  <c r="AK28" i="36"/>
  <c r="H28" i="36"/>
  <c r="AO28" i="36" s="1"/>
  <c r="AN27" i="36"/>
  <c r="AL27" i="36"/>
  <c r="AK27" i="36"/>
  <c r="H27" i="36"/>
  <c r="AO27" i="36" s="1"/>
  <c r="AN26" i="36"/>
  <c r="AL26" i="36"/>
  <c r="AK26" i="36"/>
  <c r="H26" i="36"/>
  <c r="AO26" i="36" s="1"/>
  <c r="AN25" i="36"/>
  <c r="AT25" i="36" s="1"/>
  <c r="AL25" i="36"/>
  <c r="AK25" i="36"/>
  <c r="H25" i="36"/>
  <c r="AO25" i="36" s="1"/>
  <c r="AN24" i="36"/>
  <c r="AL24" i="36"/>
  <c r="AK24" i="36"/>
  <c r="H24" i="36"/>
  <c r="AN17" i="95"/>
  <c r="AY17" i="95" s="1"/>
  <c r="AL17" i="95"/>
  <c r="AK17" i="95"/>
  <c r="H17" i="95"/>
  <c r="AN16" i="95"/>
  <c r="AY16" i="95" s="1"/>
  <c r="AL16" i="95"/>
  <c r="AK16" i="95"/>
  <c r="H16" i="95"/>
  <c r="AN15" i="95"/>
  <c r="AY15" i="95" s="1"/>
  <c r="AL15" i="95"/>
  <c r="AK15" i="95"/>
  <c r="H15" i="95"/>
  <c r="K15" i="95" s="1"/>
  <c r="AO33" i="35"/>
  <c r="AN33" i="35"/>
  <c r="AM33" i="35"/>
  <c r="AL33" i="35"/>
  <c r="I33" i="35"/>
  <c r="L33" i="35" s="1"/>
  <c r="AO32" i="35"/>
  <c r="BA32" i="35" s="1"/>
  <c r="AN32" i="35"/>
  <c r="AM32" i="35"/>
  <c r="AL32" i="35"/>
  <c r="I32" i="35"/>
  <c r="L32" i="35" s="1"/>
  <c r="AO31" i="35"/>
  <c r="BA31" i="35" s="1"/>
  <c r="AN31" i="35"/>
  <c r="AM31" i="35"/>
  <c r="AL31" i="35"/>
  <c r="I31" i="35"/>
  <c r="L31" i="35" s="1"/>
  <c r="AO30" i="35"/>
  <c r="BA30" i="35" s="1"/>
  <c r="AN30" i="35"/>
  <c r="AM30" i="35"/>
  <c r="AL30" i="35"/>
  <c r="I30" i="35"/>
  <c r="L30" i="35" s="1"/>
  <c r="AO29" i="35"/>
  <c r="AX29" i="35" s="1"/>
  <c r="AN29" i="35"/>
  <c r="AM29" i="35"/>
  <c r="AL29" i="35"/>
  <c r="I29" i="35"/>
  <c r="L31" i="11" l="1"/>
  <c r="N31" i="11"/>
  <c r="P31" i="11"/>
  <c r="R31" i="11"/>
  <c r="T31" i="11"/>
  <c r="V31" i="11"/>
  <c r="X31" i="11"/>
  <c r="Z31" i="11"/>
  <c r="AB31" i="11"/>
  <c r="AD31" i="11"/>
  <c r="AF31" i="11"/>
  <c r="AH31" i="11"/>
  <c r="AJ31" i="11"/>
  <c r="M31" i="11"/>
  <c r="O31" i="11"/>
  <c r="G29" i="12" s="1"/>
  <c r="S31" i="11"/>
  <c r="U31" i="11"/>
  <c r="W31" i="11"/>
  <c r="Y31" i="11"/>
  <c r="AA31" i="11"/>
  <c r="AC31" i="11"/>
  <c r="AE31" i="11"/>
  <c r="AG31" i="11"/>
  <c r="AI31" i="11"/>
  <c r="AM10" i="31"/>
  <c r="AR10" i="31" s="1"/>
  <c r="AP27" i="36"/>
  <c r="AM28" i="36"/>
  <c r="AR28" i="36" s="1"/>
  <c r="K29" i="36"/>
  <c r="K30" i="36"/>
  <c r="B13" i="31"/>
  <c r="B42" i="11" s="1"/>
  <c r="C40" i="12" s="1"/>
  <c r="B31" i="11"/>
  <c r="C29" i="12" s="1"/>
  <c r="AO17" i="95"/>
  <c r="H22" i="95"/>
  <c r="H43" i="11" s="1"/>
  <c r="AL11" i="31"/>
  <c r="AL31" i="11" s="1"/>
  <c r="Q31" i="11"/>
  <c r="K28" i="36"/>
  <c r="AM24" i="36"/>
  <c r="AR24" i="36" s="1"/>
  <c r="AP29" i="36"/>
  <c r="AT27" i="36"/>
  <c r="AM30" i="36"/>
  <c r="AR30" i="36" s="1"/>
  <c r="AX25" i="36"/>
  <c r="AX27" i="36"/>
  <c r="AT29" i="36"/>
  <c r="AX33" i="36"/>
  <c r="AM15" i="95"/>
  <c r="AR15" i="95" s="1"/>
  <c r="AM16" i="95"/>
  <c r="AR16" i="95" s="1"/>
  <c r="AO16" i="95"/>
  <c r="H14" i="95"/>
  <c r="I28" i="35"/>
  <c r="AZ29" i="35"/>
  <c r="AX32" i="35"/>
  <c r="AZ32" i="35"/>
  <c r="AX30" i="35"/>
  <c r="AZ31" i="35"/>
  <c r="AX31" i="35"/>
  <c r="AZ30" i="35"/>
  <c r="AT29" i="35"/>
  <c r="AT30" i="35"/>
  <c r="K24" i="36"/>
  <c r="AP31" i="36"/>
  <c r="K32" i="36"/>
  <c r="L29" i="35"/>
  <c r="L28" i="35" s="1"/>
  <c r="BA29" i="35"/>
  <c r="K17" i="95"/>
  <c r="K22" i="95" s="1"/>
  <c r="K43" i="11" s="1"/>
  <c r="K46" i="11" s="1"/>
  <c r="AM18" i="95"/>
  <c r="K25" i="36"/>
  <c r="AP25" i="36"/>
  <c r="K26" i="36"/>
  <c r="AT31" i="36"/>
  <c r="AM32" i="36"/>
  <c r="AR32" i="36" s="1"/>
  <c r="K33" i="36"/>
  <c r="AP33" i="36"/>
  <c r="AK11" i="31"/>
  <c r="AK31" i="11" s="1"/>
  <c r="AT31" i="35"/>
  <c r="AT32" i="35"/>
  <c r="AT33" i="35"/>
  <c r="K16" i="95"/>
  <c r="K31" i="36"/>
  <c r="AS29" i="35"/>
  <c r="AV29" i="35"/>
  <c r="AS30" i="35"/>
  <c r="AV30" i="35"/>
  <c r="AS31" i="35"/>
  <c r="AV31" i="35"/>
  <c r="AS32" i="35"/>
  <c r="AV32" i="35"/>
  <c r="AS33" i="35"/>
  <c r="AM17" i="95"/>
  <c r="AR17" i="95" s="1"/>
  <c r="AM26" i="36"/>
  <c r="AR26" i="36" s="1"/>
  <c r="K27" i="36"/>
  <c r="K10" i="31"/>
  <c r="H11" i="31"/>
  <c r="AS10" i="31"/>
  <c r="AP10" i="31"/>
  <c r="AT10" i="31"/>
  <c r="AV10" i="31"/>
  <c r="AX10" i="31"/>
  <c r="AZ10" i="31"/>
  <c r="AQ10" i="31"/>
  <c r="AU10" i="31"/>
  <c r="AW10" i="31"/>
  <c r="AN11" i="31"/>
  <c r="AN31" i="11" s="1"/>
  <c r="AY24" i="36"/>
  <c r="AW24" i="36"/>
  <c r="AU24" i="36"/>
  <c r="AV24" i="36"/>
  <c r="AZ24" i="36"/>
  <c r="AY26" i="36"/>
  <c r="AW26" i="36"/>
  <c r="AU26" i="36"/>
  <c r="AV26" i="36"/>
  <c r="AZ26" i="36"/>
  <c r="AY28" i="36"/>
  <c r="AW28" i="36"/>
  <c r="AU28" i="36"/>
  <c r="AV28" i="36"/>
  <c r="AZ28" i="36"/>
  <c r="AY30" i="36"/>
  <c r="AW30" i="36"/>
  <c r="AU30" i="36"/>
  <c r="AV30" i="36"/>
  <c r="AZ30" i="36"/>
  <c r="AY32" i="36"/>
  <c r="AW32" i="36"/>
  <c r="AU32" i="36"/>
  <c r="AV32" i="36"/>
  <c r="AZ32" i="36"/>
  <c r="AP24" i="36"/>
  <c r="AT24" i="36"/>
  <c r="AX24" i="36"/>
  <c r="AM25" i="36"/>
  <c r="AR25" i="36" s="1"/>
  <c r="AY25" i="36"/>
  <c r="AW25" i="36"/>
  <c r="AU25" i="36"/>
  <c r="AV25" i="36"/>
  <c r="AZ25" i="36"/>
  <c r="AP26" i="36"/>
  <c r="AT26" i="36"/>
  <c r="AX26" i="36"/>
  <c r="AM27" i="36"/>
  <c r="AR27" i="36" s="1"/>
  <c r="AY27" i="36"/>
  <c r="AW27" i="36"/>
  <c r="AU27" i="36"/>
  <c r="AV27" i="36"/>
  <c r="AZ27" i="36"/>
  <c r="AP28" i="36"/>
  <c r="AT28" i="36"/>
  <c r="AX28" i="36"/>
  <c r="AM29" i="36"/>
  <c r="AR29" i="36" s="1"/>
  <c r="AY29" i="36"/>
  <c r="AW29" i="36"/>
  <c r="AU29" i="36"/>
  <c r="AV29" i="36"/>
  <c r="AZ29" i="36"/>
  <c r="AP30" i="36"/>
  <c r="AT30" i="36"/>
  <c r="AX30" i="36"/>
  <c r="AM31" i="36"/>
  <c r="AR31" i="36" s="1"/>
  <c r="AY31" i="36"/>
  <c r="AW31" i="36"/>
  <c r="AU31" i="36"/>
  <c r="AQ31" i="36"/>
  <c r="AV31" i="36"/>
  <c r="AZ31" i="36"/>
  <c r="AP32" i="36"/>
  <c r="AT32" i="36"/>
  <c r="AX32" i="36"/>
  <c r="AM33" i="36"/>
  <c r="AR33" i="36" s="1"/>
  <c r="AY33" i="36"/>
  <c r="AW33" i="36"/>
  <c r="AU33" i="36"/>
  <c r="AV33" i="36"/>
  <c r="AZ33" i="36"/>
  <c r="AO24" i="36"/>
  <c r="AS15" i="95"/>
  <c r="AP15" i="95"/>
  <c r="AT15" i="95"/>
  <c r="AV15" i="95"/>
  <c r="AX15" i="95"/>
  <c r="AZ15" i="95"/>
  <c r="AP16" i="95"/>
  <c r="AT16" i="95"/>
  <c r="AV16" i="95"/>
  <c r="AX16" i="95"/>
  <c r="AZ16" i="95"/>
  <c r="AP17" i="95"/>
  <c r="AT17" i="95"/>
  <c r="AV17" i="95"/>
  <c r="AX17" i="95"/>
  <c r="AZ17" i="95"/>
  <c r="AO15" i="95"/>
  <c r="AU15" i="95"/>
  <c r="AW15" i="95"/>
  <c r="AQ16" i="95"/>
  <c r="AU16" i="95"/>
  <c r="AW16" i="95"/>
  <c r="AU17" i="95"/>
  <c r="AW17" i="95"/>
  <c r="AW18" i="95"/>
  <c r="AP29" i="35"/>
  <c r="AR29" i="35"/>
  <c r="AP30" i="35"/>
  <c r="AR30" i="35"/>
  <c r="AP31" i="35"/>
  <c r="AR31" i="35"/>
  <c r="AP32" i="35"/>
  <c r="AR32" i="35"/>
  <c r="AP33" i="35"/>
  <c r="AR33" i="35"/>
  <c r="AQ29" i="35"/>
  <c r="AU29" i="35"/>
  <c r="AW29" i="35"/>
  <c r="AY29" i="35"/>
  <c r="AQ30" i="35"/>
  <c r="AU30" i="35"/>
  <c r="AW30" i="35"/>
  <c r="AY30" i="35"/>
  <c r="AQ31" i="35"/>
  <c r="AU31" i="35"/>
  <c r="AW31" i="35"/>
  <c r="AY31" i="35"/>
  <c r="AQ32" i="35"/>
  <c r="AU32" i="35"/>
  <c r="AW32" i="35"/>
  <c r="AY32" i="35"/>
  <c r="AQ33" i="35"/>
  <c r="AQ17" i="95" l="1"/>
  <c r="AQ15" i="95"/>
  <c r="AQ27" i="36"/>
  <c r="AS17" i="95"/>
  <c r="AS28" i="36"/>
  <c r="AQ28" i="36"/>
  <c r="AQ24" i="36"/>
  <c r="AQ25" i="36"/>
  <c r="AQ29" i="36"/>
  <c r="AS30" i="36"/>
  <c r="AS24" i="36"/>
  <c r="AQ30" i="36"/>
  <c r="F41" i="12"/>
  <c r="AO43" i="11"/>
  <c r="AP43" i="11"/>
  <c r="H46" i="11"/>
  <c r="AS16" i="95"/>
  <c r="K14" i="95"/>
  <c r="K18" i="95" s="1"/>
  <c r="AO22" i="95"/>
  <c r="AP22" i="95"/>
  <c r="AS32" i="36"/>
  <c r="AS26" i="36"/>
  <c r="AQ32" i="36"/>
  <c r="AQ26" i="36"/>
  <c r="K11" i="31"/>
  <c r="H31" i="11"/>
  <c r="AP31" i="11" s="1"/>
  <c r="AW31" i="11"/>
  <c r="AZ31" i="11"/>
  <c r="AV31" i="11"/>
  <c r="AY31" i="11"/>
  <c r="AX31" i="11"/>
  <c r="H29" i="12"/>
  <c r="AU31" i="11"/>
  <c r="AT31" i="11"/>
  <c r="AM11" i="31"/>
  <c r="AQ11" i="31" s="1"/>
  <c r="AO11" i="31"/>
  <c r="AR18" i="95"/>
  <c r="AM32" i="11"/>
  <c r="H18" i="95"/>
  <c r="AO14" i="95"/>
  <c r="AP14" i="95"/>
  <c r="AP28" i="35"/>
  <c r="AQ28" i="35"/>
  <c r="AT18" i="95"/>
  <c r="AQ33" i="36"/>
  <c r="AX18" i="95"/>
  <c r="AP11" i="31"/>
  <c r="AX11" i="31"/>
  <c r="AT11" i="31"/>
  <c r="AY11" i="31"/>
  <c r="AU11" i="31"/>
  <c r="AZ11" i="31"/>
  <c r="AV11" i="31"/>
  <c r="AW11" i="31"/>
  <c r="AS31" i="36"/>
  <c r="AS27" i="36"/>
  <c r="AS33" i="36"/>
  <c r="AS29" i="36"/>
  <c r="AS25" i="36"/>
  <c r="AS18" i="95"/>
  <c r="AQ18" i="95"/>
  <c r="AZ18" i="95"/>
  <c r="AV18" i="95"/>
  <c r="AY18" i="95"/>
  <c r="AU18" i="95"/>
  <c r="K32" i="11" l="1"/>
  <c r="AP18" i="95"/>
  <c r="K31" i="11"/>
  <c r="AR11" i="31"/>
  <c r="AO46" i="11"/>
  <c r="AP46" i="11"/>
  <c r="J41" i="12"/>
  <c r="K41" i="12"/>
  <c r="F44" i="12"/>
  <c r="J44" i="12" s="1"/>
  <c r="AS11" i="31"/>
  <c r="AM31" i="11"/>
  <c r="F29" i="12"/>
  <c r="J29" i="12" s="1"/>
  <c r="AO31" i="11"/>
  <c r="I30" i="12"/>
  <c r="AR32" i="11"/>
  <c r="AS32" i="11"/>
  <c r="AQ32" i="11"/>
  <c r="H32" i="11"/>
  <c r="AO18" i="95"/>
  <c r="AN17" i="7"/>
  <c r="AZ17" i="7" s="1"/>
  <c r="AL17" i="7"/>
  <c r="AK17" i="7"/>
  <c r="H17" i="7"/>
  <c r="K17" i="7" s="1"/>
  <c r="AN16" i="7"/>
  <c r="AZ16" i="7" s="1"/>
  <c r="AL16" i="7"/>
  <c r="AK16" i="7"/>
  <c r="H16" i="7"/>
  <c r="H15" i="7" s="1"/>
  <c r="AN12" i="107"/>
  <c r="AY12" i="107" s="1"/>
  <c r="AL12" i="107"/>
  <c r="AK12" i="107"/>
  <c r="H12" i="107"/>
  <c r="AO12" i="107" s="1"/>
  <c r="AN11" i="107"/>
  <c r="AY11" i="107" s="1"/>
  <c r="AL11" i="107"/>
  <c r="AK11" i="107"/>
  <c r="H11" i="107"/>
  <c r="AN44" i="1"/>
  <c r="AZ44" i="1" s="1"/>
  <c r="AL44" i="1"/>
  <c r="AK44" i="1"/>
  <c r="H44" i="1"/>
  <c r="AO44" i="1" s="1"/>
  <c r="AN42" i="1"/>
  <c r="AT42" i="1" s="1"/>
  <c r="AL42" i="1"/>
  <c r="AK42" i="1"/>
  <c r="H42" i="1"/>
  <c r="AO42" i="1" s="1"/>
  <c r="AN40" i="1"/>
  <c r="AX40" i="1" s="1"/>
  <c r="AL40" i="1"/>
  <c r="AK40" i="1"/>
  <c r="H40" i="1"/>
  <c r="AN37" i="1"/>
  <c r="AX37" i="1" s="1"/>
  <c r="AL37" i="1"/>
  <c r="AK37" i="1"/>
  <c r="H37" i="1"/>
  <c r="AO37" i="1" s="1"/>
  <c r="AT34" i="1"/>
  <c r="H34" i="1"/>
  <c r="AO34" i="1" s="1"/>
  <c r="AN33" i="1"/>
  <c r="AL33" i="1"/>
  <c r="AK33" i="1"/>
  <c r="H33" i="1"/>
  <c r="AO33" i="1" s="1"/>
  <c r="AN32" i="1"/>
  <c r="AX32" i="1" s="1"/>
  <c r="AL32" i="1"/>
  <c r="AK32" i="1"/>
  <c r="H32" i="1"/>
  <c r="AN31" i="1"/>
  <c r="AL31" i="1"/>
  <c r="AK31" i="1"/>
  <c r="H31" i="1"/>
  <c r="AN25" i="109"/>
  <c r="AZ25" i="109" s="1"/>
  <c r="AL25" i="109"/>
  <c r="AK25" i="109"/>
  <c r="H25" i="109"/>
  <c r="K25" i="109" s="1"/>
  <c r="AN24" i="109"/>
  <c r="AZ24" i="109" s="1"/>
  <c r="AL24" i="109"/>
  <c r="AK24" i="109"/>
  <c r="H24" i="109"/>
  <c r="AN23" i="109"/>
  <c r="AZ23" i="109" s="1"/>
  <c r="AL23" i="109"/>
  <c r="AK23" i="109"/>
  <c r="H23" i="109"/>
  <c r="K23" i="109" s="1"/>
  <c r="AN22" i="109"/>
  <c r="AZ22" i="109" s="1"/>
  <c r="AL22" i="109"/>
  <c r="AK22" i="109"/>
  <c r="H22" i="109"/>
  <c r="AL10" i="124"/>
  <c r="AL34" i="11" s="1"/>
  <c r="AK10" i="124"/>
  <c r="AK34" i="11" s="1"/>
  <c r="H10" i="124"/>
  <c r="AO9" i="124"/>
  <c r="AN9" i="124"/>
  <c r="AY9" i="124" s="1"/>
  <c r="AL9" i="124"/>
  <c r="AK9" i="124"/>
  <c r="AO8" i="124"/>
  <c r="AN8" i="124"/>
  <c r="AY8" i="124" s="1"/>
  <c r="AL8" i="124"/>
  <c r="AK8" i="124"/>
  <c r="K24" i="109" l="1"/>
  <c r="K29" i="12"/>
  <c r="I29" i="12"/>
  <c r="AS31" i="11"/>
  <c r="AQ31" i="11"/>
  <c r="AR31" i="11"/>
  <c r="F30" i="12"/>
  <c r="AP32" i="11"/>
  <c r="AO32" i="11"/>
  <c r="H21" i="109"/>
  <c r="H26" i="109" s="1"/>
  <c r="AY22" i="109"/>
  <c r="AY25" i="109"/>
  <c r="AM12" i="107"/>
  <c r="AS12" i="107" s="1"/>
  <c r="AO11" i="107"/>
  <c r="H13" i="107"/>
  <c r="AM11" i="107"/>
  <c r="AQ11" i="107" s="1"/>
  <c r="K12" i="107"/>
  <c r="AU17" i="7"/>
  <c r="H18" i="7"/>
  <c r="AO15" i="7"/>
  <c r="AP15" i="7"/>
  <c r="AW17" i="7"/>
  <c r="H34" i="11"/>
  <c r="K10" i="124"/>
  <c r="K34" i="11" s="1"/>
  <c r="AU24" i="109"/>
  <c r="AU25" i="109"/>
  <c r="AW25" i="109"/>
  <c r="H30" i="1"/>
  <c r="AO40" i="1"/>
  <c r="H39" i="1"/>
  <c r="AN48" i="1"/>
  <c r="AO32" i="1"/>
  <c r="AM33" i="1"/>
  <c r="AR33" i="1" s="1"/>
  <c r="AU23" i="109"/>
  <c r="AW24" i="109"/>
  <c r="K34" i="1"/>
  <c r="AP34" i="1"/>
  <c r="K42" i="1"/>
  <c r="AP42" i="1"/>
  <c r="K16" i="7"/>
  <c r="K15" i="7" s="1"/>
  <c r="K18" i="7" s="1"/>
  <c r="K28" i="11" s="1"/>
  <c r="AU16" i="7"/>
  <c r="AU22" i="109"/>
  <c r="AW23" i="109"/>
  <c r="AY24" i="109"/>
  <c r="AW16" i="7"/>
  <c r="AY17" i="7"/>
  <c r="AM8" i="124"/>
  <c r="AR8" i="124" s="1"/>
  <c r="AM9" i="124"/>
  <c r="AS9" i="124" s="1"/>
  <c r="AW22" i="109"/>
  <c r="AY23" i="109"/>
  <c r="K11" i="107"/>
  <c r="AY16" i="7"/>
  <c r="AM31" i="1"/>
  <c r="AR31" i="1" s="1"/>
  <c r="K32" i="1"/>
  <c r="AX34" i="1"/>
  <c r="AX42" i="1"/>
  <c r="K44" i="1"/>
  <c r="AO31" i="1"/>
  <c r="AT37" i="1"/>
  <c r="AT40" i="1"/>
  <c r="K31" i="1"/>
  <c r="K33" i="1"/>
  <c r="K37" i="1"/>
  <c r="AP37" i="1"/>
  <c r="K40" i="1"/>
  <c r="AP40" i="1"/>
  <c r="AM44" i="1"/>
  <c r="AR44" i="1" s="1"/>
  <c r="AT32" i="1"/>
  <c r="AP32" i="1"/>
  <c r="AM16" i="7"/>
  <c r="AO16" i="7"/>
  <c r="AM17" i="7"/>
  <c r="AO17" i="7"/>
  <c r="AP16" i="7"/>
  <c r="AT16" i="7"/>
  <c r="AV16" i="7"/>
  <c r="AX16" i="7"/>
  <c r="AP17" i="7"/>
  <c r="AT17" i="7"/>
  <c r="AV17" i="7"/>
  <c r="AX17" i="7"/>
  <c r="AP11" i="107"/>
  <c r="AT11" i="107"/>
  <c r="AV11" i="107"/>
  <c r="AX11" i="107"/>
  <c r="AZ11" i="107"/>
  <c r="AP12" i="107"/>
  <c r="AT12" i="107"/>
  <c r="AV12" i="107"/>
  <c r="AX12" i="107"/>
  <c r="AZ12" i="107"/>
  <c r="AU11" i="107"/>
  <c r="AW11" i="107"/>
  <c r="AU12" i="107"/>
  <c r="AW12" i="107"/>
  <c r="AY31" i="1"/>
  <c r="AW31" i="1"/>
  <c r="AU31" i="1"/>
  <c r="AV31" i="1"/>
  <c r="AZ31" i="1"/>
  <c r="AY33" i="1"/>
  <c r="AW33" i="1"/>
  <c r="AU33" i="1"/>
  <c r="AV33" i="1"/>
  <c r="AZ33" i="1"/>
  <c r="AP31" i="1"/>
  <c r="AT31" i="1"/>
  <c r="AX31" i="1"/>
  <c r="AM32" i="1"/>
  <c r="AR32" i="1" s="1"/>
  <c r="AY32" i="1"/>
  <c r="AW32" i="1"/>
  <c r="AU32" i="1"/>
  <c r="AV32" i="1"/>
  <c r="AZ32" i="1"/>
  <c r="AP33" i="1"/>
  <c r="AT33" i="1"/>
  <c r="AX33" i="1"/>
  <c r="AR34" i="1"/>
  <c r="AY34" i="1"/>
  <c r="AW34" i="1"/>
  <c r="AU34" i="1"/>
  <c r="AV34" i="1"/>
  <c r="AZ34" i="1"/>
  <c r="AY44" i="1"/>
  <c r="AW44" i="1"/>
  <c r="AU44" i="1"/>
  <c r="AX44" i="1"/>
  <c r="AT44" i="1"/>
  <c r="AP44" i="1"/>
  <c r="AV44" i="1"/>
  <c r="AM37" i="1"/>
  <c r="AR37" i="1" s="1"/>
  <c r="AY37" i="1"/>
  <c r="AW37" i="1"/>
  <c r="AU37" i="1"/>
  <c r="AV37" i="1"/>
  <c r="AZ37" i="1"/>
  <c r="AM40" i="1"/>
  <c r="AR40" i="1" s="1"/>
  <c r="AY40" i="1"/>
  <c r="AW40" i="1"/>
  <c r="AU40" i="1"/>
  <c r="AV40" i="1"/>
  <c r="AZ40" i="1"/>
  <c r="AM42" i="1"/>
  <c r="AR42" i="1" s="1"/>
  <c r="AY42" i="1"/>
  <c r="AW42" i="1"/>
  <c r="AU42" i="1"/>
  <c r="AV42" i="1"/>
  <c r="AZ42" i="1"/>
  <c r="AM22" i="109"/>
  <c r="AO22" i="109"/>
  <c r="AM23" i="109"/>
  <c r="AO23" i="109"/>
  <c r="AM24" i="109"/>
  <c r="AO24" i="109"/>
  <c r="AM25" i="109"/>
  <c r="AO25" i="109"/>
  <c r="K22" i="109"/>
  <c r="K21" i="109" s="1"/>
  <c r="AP22" i="109"/>
  <c r="AT22" i="109"/>
  <c r="AV22" i="109"/>
  <c r="AX22" i="109"/>
  <c r="AP23" i="109"/>
  <c r="AT23" i="109"/>
  <c r="AV23" i="109"/>
  <c r="AX23" i="109"/>
  <c r="AP24" i="109"/>
  <c r="AT24" i="109"/>
  <c r="AV24" i="109"/>
  <c r="AX24" i="109"/>
  <c r="AP25" i="109"/>
  <c r="AT25" i="109"/>
  <c r="AV25" i="109"/>
  <c r="AX25" i="109"/>
  <c r="AO10" i="124"/>
  <c r="AM10" i="124"/>
  <c r="AM34" i="11" s="1"/>
  <c r="I32" i="12" s="1"/>
  <c r="AP8" i="124"/>
  <c r="AT8" i="124"/>
  <c r="AV8" i="124"/>
  <c r="AX8" i="124"/>
  <c r="AZ8" i="124"/>
  <c r="AP9" i="124"/>
  <c r="AT9" i="124"/>
  <c r="AV9" i="124"/>
  <c r="AX9" i="124"/>
  <c r="AZ9" i="124"/>
  <c r="AU8" i="124"/>
  <c r="AW8" i="124"/>
  <c r="AU9" i="124"/>
  <c r="AW9" i="124"/>
  <c r="AN10" i="124"/>
  <c r="AN34" i="11" s="1"/>
  <c r="AN25" i="11" l="1"/>
  <c r="AQ25" i="11" s="1"/>
  <c r="AN148" i="1"/>
  <c r="AO21" i="109"/>
  <c r="AQ8" i="124"/>
  <c r="K26" i="109"/>
  <c r="K27" i="11" s="1"/>
  <c r="AQ12" i="107"/>
  <c r="K30" i="12"/>
  <c r="J30" i="12"/>
  <c r="AP21" i="109"/>
  <c r="H27" i="11"/>
  <c r="AO27" i="11" s="1"/>
  <c r="AO26" i="109"/>
  <c r="AP26" i="109"/>
  <c r="K13" i="107"/>
  <c r="K29" i="11" s="1"/>
  <c r="AR11" i="107"/>
  <c r="AS11" i="107"/>
  <c r="AR12" i="107"/>
  <c r="H29" i="11"/>
  <c r="AO13" i="107"/>
  <c r="H28" i="11"/>
  <c r="AO18" i="7"/>
  <c r="AP18" i="7"/>
  <c r="AS33" i="1"/>
  <c r="AQ33" i="1"/>
  <c r="H48" i="1"/>
  <c r="H25" i="11" s="1"/>
  <c r="AS34" i="11"/>
  <c r="AR34" i="11"/>
  <c r="AQ9" i="124"/>
  <c r="AR9" i="124"/>
  <c r="AR10" i="124" s="1"/>
  <c r="AP34" i="11"/>
  <c r="H32" i="12"/>
  <c r="AX34" i="11"/>
  <c r="AZ34" i="11"/>
  <c r="AW34" i="11"/>
  <c r="AY34" i="11"/>
  <c r="AT34" i="11"/>
  <c r="AU34" i="11"/>
  <c r="AV34" i="11"/>
  <c r="AQ34" i="11"/>
  <c r="AS8" i="124"/>
  <c r="AS10" i="124" s="1"/>
  <c r="F32" i="12"/>
  <c r="AO34" i="11"/>
  <c r="AS13" i="107"/>
  <c r="AZ13" i="107"/>
  <c r="AV13" i="107"/>
  <c r="AQ13" i="107"/>
  <c r="AY13" i="107"/>
  <c r="AT13" i="107"/>
  <c r="AP13" i="107"/>
  <c r="AU13" i="107"/>
  <c r="AX13" i="107"/>
  <c r="AW13" i="107"/>
  <c r="K30" i="1"/>
  <c r="AO39" i="1"/>
  <c r="AP39" i="1"/>
  <c r="AQ34" i="1"/>
  <c r="K39" i="1"/>
  <c r="AV48" i="1"/>
  <c r="AY48" i="1"/>
  <c r="AU48" i="1"/>
  <c r="AT48" i="1"/>
  <c r="AX48" i="1"/>
  <c r="AW48" i="1"/>
  <c r="AQ48" i="1"/>
  <c r="AZ48" i="1"/>
  <c r="AO30" i="1"/>
  <c r="AP30" i="1"/>
  <c r="AQ32" i="1"/>
  <c r="AQ37" i="1"/>
  <c r="AQ31" i="1"/>
  <c r="AS31" i="1"/>
  <c r="AS44" i="1"/>
  <c r="AQ42" i="1"/>
  <c r="AQ40" i="1"/>
  <c r="AR16" i="7"/>
  <c r="AQ44" i="1"/>
  <c r="AS32" i="1"/>
  <c r="AS17" i="7"/>
  <c r="AQ17" i="7"/>
  <c r="AS16" i="7"/>
  <c r="AQ16" i="7"/>
  <c r="AR17" i="7"/>
  <c r="AS40" i="1"/>
  <c r="AS42" i="1"/>
  <c r="AS37" i="1"/>
  <c r="AS34" i="1"/>
  <c r="AS25" i="109"/>
  <c r="AQ25" i="109"/>
  <c r="AS24" i="109"/>
  <c r="AQ24" i="109"/>
  <c r="AS23" i="109"/>
  <c r="AQ23" i="109"/>
  <c r="AS22" i="109"/>
  <c r="AQ22" i="109"/>
  <c r="AR22" i="109"/>
  <c r="AR25" i="109"/>
  <c r="AR24" i="109"/>
  <c r="AR23" i="109"/>
  <c r="AP10" i="124"/>
  <c r="AQ10" i="124"/>
  <c r="AX10" i="124"/>
  <c r="AT10" i="124"/>
  <c r="AW10" i="124"/>
  <c r="AZ10" i="124"/>
  <c r="AV10" i="124"/>
  <c r="AY10" i="124"/>
  <c r="AU10" i="124"/>
  <c r="AV25" i="11" l="1"/>
  <c r="AX25" i="11"/>
  <c r="AW25" i="11"/>
  <c r="H23" i="12"/>
  <c r="AZ25" i="11"/>
  <c r="AT25" i="11"/>
  <c r="AU25" i="11"/>
  <c r="AY25" i="11"/>
  <c r="F25" i="12"/>
  <c r="J25" i="12" s="1"/>
  <c r="AP27" i="11"/>
  <c r="F27" i="12"/>
  <c r="AP29" i="11"/>
  <c r="AO29" i="11"/>
  <c r="F26" i="12"/>
  <c r="AO28" i="11"/>
  <c r="AP28" i="11"/>
  <c r="AP48" i="1"/>
  <c r="K48" i="1"/>
  <c r="K25" i="11" s="1"/>
  <c r="F23" i="12"/>
  <c r="AO25" i="11"/>
  <c r="AP25" i="11"/>
  <c r="AO48" i="1"/>
  <c r="J32" i="12"/>
  <c r="K32" i="12"/>
  <c r="B20" i="11"/>
  <c r="C18" i="12" s="1"/>
  <c r="AA16" i="11"/>
  <c r="AI16" i="11"/>
  <c r="O9" i="122"/>
  <c r="M9" i="122"/>
  <c r="F9" i="122"/>
  <c r="G9" i="31"/>
  <c r="G20" i="11" s="1"/>
  <c r="I9" i="31"/>
  <c r="I20" i="11" s="1"/>
  <c r="J9" i="31"/>
  <c r="J20" i="11" s="1"/>
  <c r="L9" i="31"/>
  <c r="L20" i="11" s="1"/>
  <c r="M9" i="31"/>
  <c r="M20" i="11" s="1"/>
  <c r="N9" i="31"/>
  <c r="N20" i="11" s="1"/>
  <c r="O9" i="31"/>
  <c r="O20" i="11" s="1"/>
  <c r="G18" i="12" s="1"/>
  <c r="P9" i="31"/>
  <c r="Q9" i="31"/>
  <c r="Q20" i="11" s="1"/>
  <c r="R9" i="31"/>
  <c r="R20" i="11" s="1"/>
  <c r="S9" i="31"/>
  <c r="S20" i="11" s="1"/>
  <c r="T9" i="31"/>
  <c r="U9" i="31"/>
  <c r="U20" i="11" s="1"/>
  <c r="V9" i="31"/>
  <c r="V20" i="11" s="1"/>
  <c r="W9" i="31"/>
  <c r="W20" i="11" s="1"/>
  <c r="X9" i="31"/>
  <c r="X20" i="11" s="1"/>
  <c r="Y9" i="31"/>
  <c r="Y20" i="11" s="1"/>
  <c r="Z9" i="31"/>
  <c r="Z20" i="11" s="1"/>
  <c r="AA9" i="31"/>
  <c r="AA20" i="11" s="1"/>
  <c r="AB9" i="31"/>
  <c r="AB20" i="11" s="1"/>
  <c r="AC9" i="31"/>
  <c r="AC20" i="11" s="1"/>
  <c r="AD9" i="31"/>
  <c r="AD20" i="11" s="1"/>
  <c r="AE9" i="31"/>
  <c r="AE20" i="11" s="1"/>
  <c r="AF9" i="31"/>
  <c r="AF20" i="11" s="1"/>
  <c r="AG9" i="31"/>
  <c r="AG20" i="11" s="1"/>
  <c r="AH9" i="31"/>
  <c r="AH20" i="11" s="1"/>
  <c r="AI9" i="31"/>
  <c r="AI20" i="11" s="1"/>
  <c r="AJ9" i="31"/>
  <c r="AJ20" i="11" s="1"/>
  <c r="F9" i="31"/>
  <c r="F20" i="11" s="1"/>
  <c r="E9" i="31"/>
  <c r="E20" i="11" s="1"/>
  <c r="E18" i="12" s="1"/>
  <c r="D9" i="31"/>
  <c r="D20" i="11" s="1"/>
  <c r="D18" i="12" s="1"/>
  <c r="C9" i="31"/>
  <c r="C20" i="11" s="1"/>
  <c r="G23" i="36"/>
  <c r="F23" i="36"/>
  <c r="E23" i="36"/>
  <c r="C23" i="36"/>
  <c r="B23" i="36"/>
  <c r="AG6" i="95"/>
  <c r="AD6" i="95"/>
  <c r="AA6" i="95"/>
  <c r="O6" i="95"/>
  <c r="R6" i="95"/>
  <c r="F6" i="95"/>
  <c r="F9" i="95" s="1"/>
  <c r="D10" i="95"/>
  <c r="C10" i="95"/>
  <c r="C13" i="95" s="1"/>
  <c r="C21" i="11" s="1"/>
  <c r="B13" i="95"/>
  <c r="B21" i="11" s="1"/>
  <c r="C19" i="12" s="1"/>
  <c r="C6" i="95"/>
  <c r="B9" i="95"/>
  <c r="G6" i="95"/>
  <c r="E6" i="95"/>
  <c r="D6" i="95"/>
  <c r="AP26" i="35"/>
  <c r="AP21" i="35"/>
  <c r="G6" i="35"/>
  <c r="G12" i="35" s="1"/>
  <c r="C12" i="35"/>
  <c r="D6" i="35"/>
  <c r="D12" i="35" s="1"/>
  <c r="F11" i="7"/>
  <c r="F14" i="7" s="1"/>
  <c r="E11" i="7"/>
  <c r="D11" i="7"/>
  <c r="D14" i="7" s="1"/>
  <c r="C11" i="7"/>
  <c r="C14" i="7" s="1"/>
  <c r="G6" i="7"/>
  <c r="I6" i="7"/>
  <c r="J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F6" i="7"/>
  <c r="E6" i="7"/>
  <c r="D6" i="7"/>
  <c r="C6" i="7"/>
  <c r="C10" i="7" s="1"/>
  <c r="C45" i="7" s="1"/>
  <c r="B10" i="7"/>
  <c r="B45" i="7" s="1"/>
  <c r="B10" i="107"/>
  <c r="G10" i="107"/>
  <c r="G18" i="11" s="1"/>
  <c r="I10" i="107"/>
  <c r="I18" i="11" s="1"/>
  <c r="J10" i="107"/>
  <c r="J18" i="11" s="1"/>
  <c r="L10" i="107"/>
  <c r="L18" i="11" s="1"/>
  <c r="M10" i="107"/>
  <c r="M18" i="11" s="1"/>
  <c r="N10" i="107"/>
  <c r="N18" i="11" s="1"/>
  <c r="O10" i="107"/>
  <c r="P10" i="107"/>
  <c r="Q10" i="107"/>
  <c r="R10" i="107"/>
  <c r="S10" i="107"/>
  <c r="S18" i="11" s="1"/>
  <c r="T10" i="107"/>
  <c r="T18" i="11" s="1"/>
  <c r="U10" i="107"/>
  <c r="U18" i="11" s="1"/>
  <c r="V10" i="107"/>
  <c r="V18" i="11" s="1"/>
  <c r="W10" i="107"/>
  <c r="W18" i="11" s="1"/>
  <c r="X10" i="107"/>
  <c r="X18" i="11" s="1"/>
  <c r="Y10" i="107"/>
  <c r="Y18" i="11" s="1"/>
  <c r="Z10" i="107"/>
  <c r="Z18" i="11" s="1"/>
  <c r="AA10" i="107"/>
  <c r="AA18" i="11" s="1"/>
  <c r="AB10" i="107"/>
  <c r="AB18" i="11" s="1"/>
  <c r="AC10" i="107"/>
  <c r="AC18" i="11" s="1"/>
  <c r="AD10" i="107"/>
  <c r="AD18" i="11" s="1"/>
  <c r="AE10" i="107"/>
  <c r="AE18" i="11" s="1"/>
  <c r="AF10" i="107"/>
  <c r="AF18" i="11" s="1"/>
  <c r="AG10" i="107"/>
  <c r="AG18" i="11" s="1"/>
  <c r="AH10" i="107"/>
  <c r="AH18" i="11" s="1"/>
  <c r="AI10" i="107"/>
  <c r="AI18" i="11" s="1"/>
  <c r="AJ10" i="107"/>
  <c r="AJ18" i="11" s="1"/>
  <c r="F10" i="107"/>
  <c r="F18" i="11" s="1"/>
  <c r="E10" i="107"/>
  <c r="E18" i="11" s="1"/>
  <c r="E16" i="12" s="1"/>
  <c r="D10" i="107"/>
  <c r="D18" i="11" s="1"/>
  <c r="D16" i="12" s="1"/>
  <c r="C10" i="107"/>
  <c r="C18" i="11" s="1"/>
  <c r="AK28" i="1"/>
  <c r="AN17" i="1"/>
  <c r="AX17" i="1" s="1"/>
  <c r="AL17" i="1"/>
  <c r="AK17" i="1"/>
  <c r="H17" i="1"/>
  <c r="AO17" i="1" s="1"/>
  <c r="AN16" i="1"/>
  <c r="AZ16" i="1" s="1"/>
  <c r="AL16" i="1"/>
  <c r="AK16" i="1"/>
  <c r="H16" i="1"/>
  <c r="AO15" i="1"/>
  <c r="AN15" i="1"/>
  <c r="AX15" i="1" s="1"/>
  <c r="AL15" i="1"/>
  <c r="AK15" i="1"/>
  <c r="K15" i="1"/>
  <c r="AN14" i="1"/>
  <c r="AZ14" i="1" s="1"/>
  <c r="AL14" i="1"/>
  <c r="AK14" i="1"/>
  <c r="H14" i="1"/>
  <c r="K14" i="1" s="1"/>
  <c r="AN28" i="1"/>
  <c r="AZ28" i="1" s="1"/>
  <c r="AL28" i="1"/>
  <c r="H28" i="1"/>
  <c r="AO28" i="1" s="1"/>
  <c r="AN27" i="1"/>
  <c r="AX27" i="1" s="1"/>
  <c r="AL27" i="1"/>
  <c r="AK27" i="1"/>
  <c r="H27" i="1"/>
  <c r="AO27" i="1" s="1"/>
  <c r="AN26" i="1"/>
  <c r="AZ26" i="1" s="1"/>
  <c r="AL26" i="1"/>
  <c r="AK26" i="1"/>
  <c r="H26" i="1"/>
  <c r="AK8" i="1"/>
  <c r="E16" i="11"/>
  <c r="E14" i="12" s="1"/>
  <c r="E14" i="109"/>
  <c r="G7" i="124"/>
  <c r="I7" i="124"/>
  <c r="J7" i="124"/>
  <c r="L7" i="124"/>
  <c r="M7" i="124"/>
  <c r="N7" i="124"/>
  <c r="O7" i="124"/>
  <c r="P7" i="124"/>
  <c r="Q7" i="124"/>
  <c r="R7" i="124"/>
  <c r="S7" i="124"/>
  <c r="T7" i="124"/>
  <c r="U7" i="124"/>
  <c r="V7" i="124"/>
  <c r="W7" i="124"/>
  <c r="X7" i="124"/>
  <c r="Y7" i="124"/>
  <c r="Z7" i="124"/>
  <c r="AA7" i="124"/>
  <c r="AB7" i="124"/>
  <c r="AC7" i="124"/>
  <c r="AD7" i="124"/>
  <c r="AE7" i="124"/>
  <c r="AF7" i="124"/>
  <c r="AG7" i="124"/>
  <c r="AH7" i="124"/>
  <c r="AH11" i="124" s="1"/>
  <c r="AI7" i="124"/>
  <c r="AJ7" i="124"/>
  <c r="F7" i="124"/>
  <c r="E7" i="124"/>
  <c r="D7" i="124"/>
  <c r="C7" i="124"/>
  <c r="K25" i="12" l="1"/>
  <c r="M22" i="11"/>
  <c r="M22" i="122"/>
  <c r="O22" i="11"/>
  <c r="G20" i="12" s="1"/>
  <c r="O22" i="122"/>
  <c r="F22" i="11"/>
  <c r="AK10" i="107"/>
  <c r="D30" i="11"/>
  <c r="D28" i="12" s="1"/>
  <c r="E30" i="11"/>
  <c r="E28" i="12" s="1"/>
  <c r="AH23" i="11"/>
  <c r="AL10" i="107"/>
  <c r="AL18" i="11" s="1"/>
  <c r="J27" i="12"/>
  <c r="K27" i="12"/>
  <c r="J26" i="12"/>
  <c r="K26" i="12"/>
  <c r="K23" i="12"/>
  <c r="J23" i="12"/>
  <c r="AG23" i="11"/>
  <c r="AG11" i="124"/>
  <c r="Y23" i="11"/>
  <c r="Y11" i="124"/>
  <c r="M23" i="11"/>
  <c r="M11" i="124"/>
  <c r="AF23" i="11"/>
  <c r="AF11" i="124"/>
  <c r="P23" i="11"/>
  <c r="P11" i="124"/>
  <c r="F23" i="11"/>
  <c r="F11" i="124"/>
  <c r="AC23" i="11"/>
  <c r="AC11" i="124"/>
  <c r="U23" i="11"/>
  <c r="U11" i="124"/>
  <c r="G23" i="11"/>
  <c r="G11" i="124"/>
  <c r="C23" i="11"/>
  <c r="C11" i="124"/>
  <c r="AJ23" i="11"/>
  <c r="AJ11" i="124"/>
  <c r="AB23" i="11"/>
  <c r="AB11" i="124"/>
  <c r="X23" i="11"/>
  <c r="X11" i="124"/>
  <c r="T23" i="11"/>
  <c r="T11" i="124"/>
  <c r="L23" i="11"/>
  <c r="L11" i="124"/>
  <c r="D23" i="11"/>
  <c r="D11" i="124"/>
  <c r="AI23" i="11"/>
  <c r="AI11" i="124"/>
  <c r="AE23" i="11"/>
  <c r="AE11" i="124"/>
  <c r="AA23" i="11"/>
  <c r="AA11" i="124"/>
  <c r="W23" i="11"/>
  <c r="W11" i="124"/>
  <c r="S23" i="11"/>
  <c r="S11" i="124"/>
  <c r="O23" i="11"/>
  <c r="G21" i="12" s="1"/>
  <c r="O11" i="124"/>
  <c r="J23" i="11"/>
  <c r="J11" i="124"/>
  <c r="E23" i="11"/>
  <c r="E11" i="124"/>
  <c r="AD23" i="11"/>
  <c r="AD11" i="124"/>
  <c r="Z23" i="11"/>
  <c r="Z11" i="124"/>
  <c r="V23" i="11"/>
  <c r="V11" i="124"/>
  <c r="R23" i="11"/>
  <c r="R11" i="124"/>
  <c r="N23" i="11"/>
  <c r="N11" i="124"/>
  <c r="I23" i="11"/>
  <c r="I11" i="124"/>
  <c r="Q23" i="11"/>
  <c r="Q11" i="124"/>
  <c r="AG16" i="11"/>
  <c r="Y16" i="11"/>
  <c r="Q16" i="11"/>
  <c r="AL20" i="109"/>
  <c r="AL16" i="11" s="1"/>
  <c r="AF16" i="11"/>
  <c r="X16" i="11"/>
  <c r="B16" i="11"/>
  <c r="C14" i="12" s="1"/>
  <c r="AE16" i="11"/>
  <c r="W16" i="11"/>
  <c r="O16" i="11"/>
  <c r="G14" i="12" s="1"/>
  <c r="S16" i="11"/>
  <c r="AC16" i="11"/>
  <c r="U16" i="11"/>
  <c r="D16" i="11"/>
  <c r="D14" i="12" s="1"/>
  <c r="AB16" i="11"/>
  <c r="T16" i="11"/>
  <c r="P16" i="11"/>
  <c r="AK20" i="109"/>
  <c r="AD16" i="11"/>
  <c r="Z16" i="11"/>
  <c r="V16" i="11"/>
  <c r="R16" i="11"/>
  <c r="AN20" i="109"/>
  <c r="N16" i="11"/>
  <c r="I16" i="11"/>
  <c r="J16" i="11"/>
  <c r="AO26" i="1"/>
  <c r="H25" i="1"/>
  <c r="AO16" i="1"/>
  <c r="H13" i="1"/>
  <c r="T20" i="11"/>
  <c r="AL9" i="31"/>
  <c r="AL20" i="11" s="1"/>
  <c r="AK9" i="31"/>
  <c r="AK20" i="11" s="1"/>
  <c r="P20" i="11"/>
  <c r="AJ16" i="11"/>
  <c r="L16" i="11"/>
  <c r="B34" i="36"/>
  <c r="B30" i="11" s="1"/>
  <c r="B19" i="11"/>
  <c r="C17" i="12" s="1"/>
  <c r="C16" i="11"/>
  <c r="AL6" i="7"/>
  <c r="AK6" i="7"/>
  <c r="F19" i="11"/>
  <c r="Q18" i="11"/>
  <c r="C34" i="36"/>
  <c r="C30" i="11" s="1"/>
  <c r="C35" i="11" s="1"/>
  <c r="C19" i="11"/>
  <c r="G34" i="36"/>
  <c r="G30" i="11" s="1"/>
  <c r="G35" i="11" s="1"/>
  <c r="G19" i="11"/>
  <c r="F16" i="11"/>
  <c r="P18" i="11"/>
  <c r="E19" i="11"/>
  <c r="AH16" i="11"/>
  <c r="AN6" i="7"/>
  <c r="O18" i="11"/>
  <c r="D19" i="11"/>
  <c r="M16" i="11"/>
  <c r="G16" i="11"/>
  <c r="AN10" i="107"/>
  <c r="AN18" i="11" s="1"/>
  <c r="AX18" i="11" s="1"/>
  <c r="R18" i="11"/>
  <c r="AN9" i="31"/>
  <c r="AW9" i="31" s="1"/>
  <c r="AM17" i="1"/>
  <c r="AS17" i="1" s="1"/>
  <c r="B18" i="11"/>
  <c r="C16" i="12" s="1"/>
  <c r="AM15" i="1"/>
  <c r="AS15" i="1" s="1"/>
  <c r="AU17" i="1"/>
  <c r="AY17" i="1"/>
  <c r="K17" i="1"/>
  <c r="AV17" i="1"/>
  <c r="AZ17" i="1"/>
  <c r="AW17" i="1"/>
  <c r="AP17" i="1"/>
  <c r="AT17" i="1"/>
  <c r="AW16" i="1"/>
  <c r="AP16" i="1"/>
  <c r="AT16" i="1"/>
  <c r="K16" i="1"/>
  <c r="AX16" i="1"/>
  <c r="AM16" i="1"/>
  <c r="AS16" i="1" s="1"/>
  <c r="AU16" i="1"/>
  <c r="AY16" i="1"/>
  <c r="AV16" i="1"/>
  <c r="AU15" i="1"/>
  <c r="AW14" i="1"/>
  <c r="AY15" i="1"/>
  <c r="AV15" i="1"/>
  <c r="AZ15" i="1"/>
  <c r="AW15" i="1"/>
  <c r="AP15" i="1"/>
  <c r="AT15" i="1"/>
  <c r="AO14" i="1"/>
  <c r="AU14" i="1"/>
  <c r="AY14" i="1"/>
  <c r="AP14" i="1"/>
  <c r="AT14" i="1"/>
  <c r="AX14" i="1"/>
  <c r="AM14" i="1"/>
  <c r="AQ14" i="1" s="1"/>
  <c r="AV14" i="1"/>
  <c r="AW26" i="1"/>
  <c r="AY27" i="1"/>
  <c r="K26" i="1"/>
  <c r="AM27" i="1"/>
  <c r="AQ27" i="1" s="1"/>
  <c r="K28" i="1"/>
  <c r="AU27" i="1"/>
  <c r="AW28" i="1"/>
  <c r="AP26" i="1"/>
  <c r="AT26" i="1"/>
  <c r="AX26" i="1"/>
  <c r="K27" i="1"/>
  <c r="AV27" i="1"/>
  <c r="AZ27" i="1"/>
  <c r="AP28" i="1"/>
  <c r="AT28" i="1"/>
  <c r="AX28" i="1"/>
  <c r="AM26" i="1"/>
  <c r="AS26" i="1" s="1"/>
  <c r="AU26" i="1"/>
  <c r="AY26" i="1"/>
  <c r="AW27" i="1"/>
  <c r="AM28" i="1"/>
  <c r="AS28" i="1" s="1"/>
  <c r="AU28" i="1"/>
  <c r="AY28" i="1"/>
  <c r="AV26" i="1"/>
  <c r="AP27" i="1"/>
  <c r="AT27" i="1"/>
  <c r="AV28" i="1"/>
  <c r="E13" i="95"/>
  <c r="E21" i="11" s="1"/>
  <c r="E19" i="12" s="1"/>
  <c r="D13" i="95"/>
  <c r="D21" i="11" s="1"/>
  <c r="D19" i="12" s="1"/>
  <c r="D17" i="12" l="1"/>
  <c r="E17" i="12"/>
  <c r="AT10" i="107"/>
  <c r="H16" i="12"/>
  <c r="AM6" i="7"/>
  <c r="AM20" i="109"/>
  <c r="AZ18" i="11"/>
  <c r="B41" i="11"/>
  <c r="C28" i="12"/>
  <c r="C33" i="12" s="1"/>
  <c r="B35" i="11"/>
  <c r="AM10" i="107"/>
  <c r="AS10" i="107" s="1"/>
  <c r="AV9" i="31"/>
  <c r="AK18" i="11"/>
  <c r="AM9" i="31"/>
  <c r="AS9" i="31" s="1"/>
  <c r="AV18" i="11"/>
  <c r="AY18" i="11"/>
  <c r="AT18" i="11"/>
  <c r="D21" i="12"/>
  <c r="AK11" i="124"/>
  <c r="E21" i="12"/>
  <c r="AK16" i="11"/>
  <c r="AP25" i="1"/>
  <c r="AO25" i="1"/>
  <c r="K25" i="1"/>
  <c r="K13" i="1"/>
  <c r="AO13" i="1"/>
  <c r="AP13" i="1"/>
  <c r="AY9" i="31"/>
  <c r="G16" i="12"/>
  <c r="AZ9" i="31"/>
  <c r="AX9" i="31"/>
  <c r="AT9" i="31"/>
  <c r="AN20" i="11"/>
  <c r="H18" i="12" s="1"/>
  <c r="AU9" i="31"/>
  <c r="AW18" i="11"/>
  <c r="AU18" i="11"/>
  <c r="AR15" i="1"/>
  <c r="AR17" i="1"/>
  <c r="AQ17" i="1"/>
  <c r="AQ15" i="1"/>
  <c r="AR16" i="1"/>
  <c r="AQ16" i="1"/>
  <c r="AR14" i="1"/>
  <c r="AS14" i="1"/>
  <c r="AQ28" i="1"/>
  <c r="AR27" i="1"/>
  <c r="AS27" i="1"/>
  <c r="AR28" i="1"/>
  <c r="AQ26" i="1"/>
  <c r="AR26" i="1"/>
  <c r="H20" i="36"/>
  <c r="K20" i="36" s="1"/>
  <c r="AN20" i="36"/>
  <c r="AZ20" i="36" s="1"/>
  <c r="AL20" i="36"/>
  <c r="AK20" i="36"/>
  <c r="H8" i="36"/>
  <c r="K8" i="36" s="1"/>
  <c r="H9" i="36"/>
  <c r="H10" i="36"/>
  <c r="K10" i="36" s="1"/>
  <c r="H11" i="36"/>
  <c r="K11" i="36" s="1"/>
  <c r="H12" i="36"/>
  <c r="K12" i="36" s="1"/>
  <c r="H13" i="36"/>
  <c r="H14" i="36"/>
  <c r="K14" i="36" s="1"/>
  <c r="H15" i="36"/>
  <c r="H16" i="36"/>
  <c r="K16" i="36" s="1"/>
  <c r="H17" i="36"/>
  <c r="K17" i="36" s="1"/>
  <c r="H18" i="36"/>
  <c r="K18" i="36" s="1"/>
  <c r="H19" i="36"/>
  <c r="AO19" i="36" s="1"/>
  <c r="H21" i="36"/>
  <c r="K21" i="36" s="1"/>
  <c r="K9" i="36"/>
  <c r="AK8" i="36"/>
  <c r="AL8" i="36"/>
  <c r="AN8" i="36"/>
  <c r="AU8" i="36" s="1"/>
  <c r="AK9" i="36"/>
  <c r="AL9" i="36"/>
  <c r="AN9" i="36"/>
  <c r="AU9" i="36" s="1"/>
  <c r="AK10" i="36"/>
  <c r="AL10" i="36"/>
  <c r="AN10" i="36"/>
  <c r="AT10" i="36" s="1"/>
  <c r="AK11" i="36"/>
  <c r="AL11" i="36"/>
  <c r="AN11" i="36"/>
  <c r="AT11" i="36" s="1"/>
  <c r="AK12" i="36"/>
  <c r="AL12" i="36"/>
  <c r="AN12" i="36"/>
  <c r="AU12" i="36" s="1"/>
  <c r="AK13" i="36"/>
  <c r="AL13" i="36"/>
  <c r="AN13" i="36"/>
  <c r="AW13" i="36" s="1"/>
  <c r="AK14" i="36"/>
  <c r="AL14" i="36"/>
  <c r="AN14" i="36"/>
  <c r="AU14" i="36" s="1"/>
  <c r="AK15" i="36"/>
  <c r="AL15" i="36"/>
  <c r="AN15" i="36"/>
  <c r="AT15" i="36" s="1"/>
  <c r="AK16" i="36"/>
  <c r="AL16" i="36"/>
  <c r="AN16" i="36"/>
  <c r="AU16" i="36" s="1"/>
  <c r="AK17" i="36"/>
  <c r="AL17" i="36"/>
  <c r="AN17" i="36"/>
  <c r="AW17" i="36" s="1"/>
  <c r="AK18" i="36"/>
  <c r="AL18" i="36"/>
  <c r="AN18" i="36"/>
  <c r="AU18" i="36" s="1"/>
  <c r="AK19" i="36"/>
  <c r="AL19" i="36"/>
  <c r="AN19" i="36"/>
  <c r="AT19" i="36" s="1"/>
  <c r="AK21" i="36"/>
  <c r="AL21" i="36"/>
  <c r="AN21" i="36"/>
  <c r="AU21" i="36" s="1"/>
  <c r="AN8" i="31"/>
  <c r="AY8" i="31" s="1"/>
  <c r="AL8" i="31"/>
  <c r="AK8" i="31"/>
  <c r="AQ10" i="107" l="1"/>
  <c r="AR9" i="31"/>
  <c r="AQ9" i="31"/>
  <c r="AM20" i="11"/>
  <c r="I18" i="12" s="1"/>
  <c r="C39" i="12"/>
  <c r="C44" i="12" s="1"/>
  <c r="B46" i="11"/>
  <c r="K13" i="36"/>
  <c r="AR10" i="107"/>
  <c r="AM18" i="11"/>
  <c r="AZ18" i="36"/>
  <c r="AZ21" i="36"/>
  <c r="AV18" i="36"/>
  <c r="AM18" i="36"/>
  <c r="AS18" i="36" s="1"/>
  <c r="AX18" i="36"/>
  <c r="AT18" i="36"/>
  <c r="AW18" i="36"/>
  <c r="AO18" i="36"/>
  <c r="AY18" i="36"/>
  <c r="AZ14" i="36"/>
  <c r="AT14" i="36"/>
  <c r="AO14" i="36"/>
  <c r="AX14" i="36"/>
  <c r="AO13" i="36"/>
  <c r="AP9" i="36"/>
  <c r="AV15" i="36"/>
  <c r="AO9" i="36"/>
  <c r="AZ8" i="36"/>
  <c r="K19" i="36"/>
  <c r="AP15" i="36"/>
  <c r="AV21" i="36"/>
  <c r="AP19" i="36"/>
  <c r="AO17" i="36"/>
  <c r="AZ16" i="36"/>
  <c r="AZ15" i="36"/>
  <c r="AO15" i="36"/>
  <c r="AO11" i="36"/>
  <c r="K15" i="36"/>
  <c r="AX21" i="36"/>
  <c r="AT21" i="36"/>
  <c r="AM21" i="36"/>
  <c r="AQ21" i="36" s="1"/>
  <c r="AZ19" i="36"/>
  <c r="AP17" i="36"/>
  <c r="AV16" i="36"/>
  <c r="AY14" i="36"/>
  <c r="AV14" i="36"/>
  <c r="AM14" i="36"/>
  <c r="AQ14" i="36" s="1"/>
  <c r="AP13" i="36"/>
  <c r="AP11" i="36"/>
  <c r="AV19" i="36"/>
  <c r="AX16" i="36"/>
  <c r="AT16" i="36"/>
  <c r="AM16" i="36"/>
  <c r="AQ16" i="36" s="1"/>
  <c r="AW14" i="36"/>
  <c r="AW10" i="36"/>
  <c r="AU20" i="36"/>
  <c r="AX19" i="36"/>
  <c r="AM19" i="36"/>
  <c r="AS19" i="36" s="1"/>
  <c r="AX15" i="36"/>
  <c r="AM15" i="36"/>
  <c r="AS15" i="36" s="1"/>
  <c r="AY10" i="36"/>
  <c r="AU10" i="36"/>
  <c r="AV8" i="36"/>
  <c r="AY20" i="36"/>
  <c r="AY19" i="36"/>
  <c r="AW19" i="36"/>
  <c r="AU19" i="36"/>
  <c r="AY17" i="36"/>
  <c r="AU17" i="36"/>
  <c r="AM17" i="36"/>
  <c r="AS17" i="36" s="1"/>
  <c r="AY15" i="36"/>
  <c r="AW15" i="36"/>
  <c r="AU15" i="36"/>
  <c r="AY13" i="36"/>
  <c r="AU13" i="36"/>
  <c r="AM13" i="36"/>
  <c r="AS13" i="36" s="1"/>
  <c r="AZ10" i="36"/>
  <c r="AX10" i="36"/>
  <c r="AV10" i="36"/>
  <c r="AX8" i="36"/>
  <c r="AT8" i="36"/>
  <c r="AM8" i="36"/>
  <c r="AS8" i="36" s="1"/>
  <c r="AW20" i="36"/>
  <c r="AZ12" i="36"/>
  <c r="AV12" i="36"/>
  <c r="AM12" i="36"/>
  <c r="AQ12" i="36" s="1"/>
  <c r="AX12" i="36"/>
  <c r="AT12" i="36"/>
  <c r="AZ11" i="36"/>
  <c r="AV11" i="36"/>
  <c r="AX11" i="36"/>
  <c r="AM11" i="36"/>
  <c r="AS11" i="36" s="1"/>
  <c r="AY11" i="36"/>
  <c r="AW11" i="36"/>
  <c r="AU11" i="36"/>
  <c r="AM10" i="36"/>
  <c r="AQ10" i="36" s="1"/>
  <c r="AO10" i="36"/>
  <c r="AW9" i="36"/>
  <c r="AM9" i="36"/>
  <c r="AS9" i="36" s="1"/>
  <c r="AY9" i="36"/>
  <c r="AO20" i="36"/>
  <c r="AM20" i="36"/>
  <c r="AP20" i="36"/>
  <c r="AT20" i="36"/>
  <c r="AV20" i="36"/>
  <c r="AX20" i="36"/>
  <c r="AY21" i="36"/>
  <c r="AW21" i="36"/>
  <c r="AO21" i="36"/>
  <c r="AZ17" i="36"/>
  <c r="AX17" i="36"/>
  <c r="AV17" i="36"/>
  <c r="AT17" i="36"/>
  <c r="AY16" i="36"/>
  <c r="AW16" i="36"/>
  <c r="AO16" i="36"/>
  <c r="AZ13" i="36"/>
  <c r="AX13" i="36"/>
  <c r="AV13" i="36"/>
  <c r="AT13" i="36"/>
  <c r="AY12" i="36"/>
  <c r="AW12" i="36"/>
  <c r="AO12" i="36"/>
  <c r="AZ9" i="36"/>
  <c r="AX9" i="36"/>
  <c r="AV9" i="36"/>
  <c r="AT9" i="36"/>
  <c r="AY8" i="36"/>
  <c r="AW8" i="36"/>
  <c r="AO8" i="36"/>
  <c r="AP21" i="36"/>
  <c r="AP18" i="36"/>
  <c r="AP16" i="36"/>
  <c r="AP14" i="36"/>
  <c r="AP12" i="36"/>
  <c r="AP10" i="36"/>
  <c r="AP8" i="36"/>
  <c r="AM8" i="31"/>
  <c r="AR8" i="31" s="1"/>
  <c r="AT8" i="31"/>
  <c r="AV8" i="31"/>
  <c r="AX8" i="31"/>
  <c r="AZ8" i="31"/>
  <c r="AU8" i="31"/>
  <c r="AW8" i="31"/>
  <c r="H8" i="31"/>
  <c r="H9" i="31" s="1"/>
  <c r="AQ8" i="36" l="1"/>
  <c r="AQ9" i="36"/>
  <c r="I16" i="12"/>
  <c r="AR18" i="11"/>
  <c r="AS18" i="11"/>
  <c r="AQ18" i="11"/>
  <c r="H20" i="11"/>
  <c r="F18" i="12" s="1"/>
  <c r="AO9" i="31"/>
  <c r="AP9" i="31"/>
  <c r="AQ18" i="36"/>
  <c r="AR18" i="36"/>
  <c r="AQ15" i="36"/>
  <c r="AR16" i="36"/>
  <c r="AS16" i="36"/>
  <c r="AR14" i="36"/>
  <c r="AR21" i="36"/>
  <c r="AS21" i="36"/>
  <c r="AS14" i="36"/>
  <c r="AR8" i="36"/>
  <c r="AR13" i="36"/>
  <c r="AR15" i="36"/>
  <c r="AR19" i="36"/>
  <c r="AQ19" i="36"/>
  <c r="AR17" i="36"/>
  <c r="AQ13" i="36"/>
  <c r="AQ17" i="36"/>
  <c r="AR12" i="36"/>
  <c r="AS12" i="36"/>
  <c r="AR11" i="36"/>
  <c r="AQ11" i="36"/>
  <c r="AR10" i="36"/>
  <c r="AS10" i="36"/>
  <c r="AR9" i="36"/>
  <c r="AS20" i="36"/>
  <c r="AQ20" i="36"/>
  <c r="AR20" i="36"/>
  <c r="AQ8" i="31"/>
  <c r="AS8" i="31"/>
  <c r="AO8" i="31"/>
  <c r="K8" i="31"/>
  <c r="K9" i="31" s="1"/>
  <c r="K20" i="11" s="1"/>
  <c r="AP8" i="31"/>
  <c r="B7" i="124"/>
  <c r="B11" i="124" s="1"/>
  <c r="AN6" i="124"/>
  <c r="AL6" i="124"/>
  <c r="AK6" i="124"/>
  <c r="H6" i="124"/>
  <c r="AO6" i="124" l="1"/>
  <c r="H7" i="124"/>
  <c r="H11" i="124" s="1"/>
  <c r="B23" i="11"/>
  <c r="C21" i="12" s="1"/>
  <c r="AK7" i="124"/>
  <c r="AK23" i="11" s="1"/>
  <c r="AM6" i="124"/>
  <c r="AR6" i="124" s="1"/>
  <c r="AL7" i="124"/>
  <c r="AL23" i="11" s="1"/>
  <c r="AL11" i="124"/>
  <c r="K6" i="124"/>
  <c r="K7" i="124" s="1"/>
  <c r="K11" i="124" s="1"/>
  <c r="AY6" i="124"/>
  <c r="AW6" i="124"/>
  <c r="AU6" i="124"/>
  <c r="AV6" i="124"/>
  <c r="AZ6" i="124"/>
  <c r="AN11" i="124"/>
  <c r="AW11" i="124" s="1"/>
  <c r="AP6" i="124"/>
  <c r="AT6" i="124"/>
  <c r="AX6" i="124"/>
  <c r="AN7" i="124"/>
  <c r="AN12" i="95"/>
  <c r="AL12" i="95"/>
  <c r="AK12" i="95"/>
  <c r="AN11" i="95"/>
  <c r="AL11" i="95"/>
  <c r="AK11" i="95"/>
  <c r="H9" i="107"/>
  <c r="K9" i="107" s="1"/>
  <c r="H8" i="107"/>
  <c r="K8" i="107" s="1"/>
  <c r="AN9" i="107"/>
  <c r="AZ9" i="107" s="1"/>
  <c r="AL9" i="107"/>
  <c r="AK9" i="107"/>
  <c r="AN8" i="107"/>
  <c r="AZ8" i="107" s="1"/>
  <c r="AL8" i="107"/>
  <c r="AK8" i="107"/>
  <c r="AK18" i="109"/>
  <c r="AL18" i="109"/>
  <c r="AN18" i="109"/>
  <c r="AT18" i="109" s="1"/>
  <c r="AK19" i="109"/>
  <c r="AL19" i="109"/>
  <c r="AN19" i="109"/>
  <c r="AX19" i="109" s="1"/>
  <c r="H19" i="109"/>
  <c r="H18" i="109"/>
  <c r="H17" i="109"/>
  <c r="AO17" i="109" s="1"/>
  <c r="AN17" i="109"/>
  <c r="AZ17" i="109" s="1"/>
  <c r="AL17" i="109"/>
  <c r="AK17" i="109"/>
  <c r="L26" i="35"/>
  <c r="AO9" i="107" l="1"/>
  <c r="K10" i="107"/>
  <c r="K18" i="11" s="1"/>
  <c r="H20" i="109"/>
  <c r="H16" i="11" s="1"/>
  <c r="F14" i="12" s="1"/>
  <c r="AZ20" i="109"/>
  <c r="AN16" i="11"/>
  <c r="H14" i="12" s="1"/>
  <c r="H23" i="11"/>
  <c r="F21" i="12" s="1"/>
  <c r="J21" i="12" s="1"/>
  <c r="AO8" i="107"/>
  <c r="H10" i="107"/>
  <c r="AO10" i="107" s="1"/>
  <c r="K23" i="11"/>
  <c r="AZ19" i="109"/>
  <c r="AM7" i="124"/>
  <c r="AR7" i="124" s="1"/>
  <c r="AW7" i="124"/>
  <c r="AN23" i="11"/>
  <c r="H21" i="12" s="1"/>
  <c r="AZ7" i="124"/>
  <c r="AV19" i="109"/>
  <c r="AS6" i="124"/>
  <c r="AP19" i="109"/>
  <c r="AT19" i="109"/>
  <c r="AM11" i="95"/>
  <c r="AQ6" i="124"/>
  <c r="AX11" i="124"/>
  <c r="AV7" i="124"/>
  <c r="AZ11" i="124"/>
  <c r="AV11" i="124"/>
  <c r="AT11" i="124"/>
  <c r="AO7" i="124"/>
  <c r="AO11" i="124"/>
  <c r="AP7" i="124"/>
  <c r="AX7" i="124"/>
  <c r="AT7" i="124"/>
  <c r="AM11" i="124"/>
  <c r="AS11" i="124" s="1"/>
  <c r="AY11" i="124"/>
  <c r="AU11" i="124"/>
  <c r="AY7" i="124"/>
  <c r="AU7" i="124"/>
  <c r="AM12" i="95"/>
  <c r="AM9" i="107"/>
  <c r="AR9" i="107" s="1"/>
  <c r="AU9" i="107"/>
  <c r="AW9" i="107"/>
  <c r="AY9" i="107"/>
  <c r="AP9" i="107"/>
  <c r="AT9" i="107"/>
  <c r="AV9" i="107"/>
  <c r="AX9" i="107"/>
  <c r="AM8" i="107"/>
  <c r="AS8" i="107" s="1"/>
  <c r="AU8" i="107"/>
  <c r="AW8" i="107"/>
  <c r="AY8" i="107"/>
  <c r="AP8" i="107"/>
  <c r="AT8" i="107"/>
  <c r="AV8" i="107"/>
  <c r="AX8" i="107"/>
  <c r="AY10" i="107"/>
  <c r="AM19" i="109"/>
  <c r="AR19" i="109" s="1"/>
  <c r="K19" i="109"/>
  <c r="AO19" i="109"/>
  <c r="AZ18" i="109"/>
  <c r="AV18" i="109"/>
  <c r="AP18" i="109"/>
  <c r="AX18" i="109"/>
  <c r="AM18" i="109"/>
  <c r="AR18" i="109" s="1"/>
  <c r="AO18" i="109"/>
  <c r="K18" i="109"/>
  <c r="K17" i="109"/>
  <c r="AU20" i="109"/>
  <c r="AW20" i="109"/>
  <c r="AY20" i="109"/>
  <c r="AT20" i="109"/>
  <c r="AV20" i="109"/>
  <c r="AX20" i="109"/>
  <c r="AY19" i="109"/>
  <c r="AW19" i="109"/>
  <c r="AU19" i="109"/>
  <c r="AY18" i="109"/>
  <c r="AW18" i="109"/>
  <c r="AU18" i="109"/>
  <c r="AU17" i="109"/>
  <c r="AW17" i="109"/>
  <c r="AY17" i="109"/>
  <c r="AM17" i="109"/>
  <c r="AR17" i="109" s="1"/>
  <c r="AP17" i="109"/>
  <c r="AT17" i="109"/>
  <c r="AV17" i="109"/>
  <c r="AX17" i="109"/>
  <c r="L21" i="35"/>
  <c r="L22" i="35"/>
  <c r="L25" i="35"/>
  <c r="L23" i="35"/>
  <c r="AO16" i="35"/>
  <c r="AO18" i="35"/>
  <c r="AO20" i="35"/>
  <c r="AO21" i="35"/>
  <c r="AO22" i="35"/>
  <c r="AQ22" i="35" s="1"/>
  <c r="AO23" i="35"/>
  <c r="AQ23" i="35" s="1"/>
  <c r="AO25" i="35"/>
  <c r="AW25" i="35" s="1"/>
  <c r="AO26" i="35"/>
  <c r="AQ26" i="35" s="1"/>
  <c r="AN18" i="35"/>
  <c r="AN20" i="35"/>
  <c r="AN21" i="35"/>
  <c r="AN22" i="35"/>
  <c r="AN23" i="35"/>
  <c r="AN25" i="35"/>
  <c r="AN26" i="35"/>
  <c r="AM16" i="35"/>
  <c r="AM18" i="35"/>
  <c r="AM20" i="35"/>
  <c r="AM21" i="35"/>
  <c r="AM22" i="35"/>
  <c r="AM23" i="35"/>
  <c r="AM25" i="35"/>
  <c r="AM26" i="35"/>
  <c r="AL16" i="35"/>
  <c r="AL18" i="35"/>
  <c r="AL20" i="35"/>
  <c r="AL21" i="35"/>
  <c r="AS21" i="35" s="1"/>
  <c r="AL22" i="35"/>
  <c r="AL23" i="35"/>
  <c r="AL25" i="35"/>
  <c r="AL26" i="35"/>
  <c r="AN16" i="35"/>
  <c r="AO14" i="35"/>
  <c r="AM14" i="35"/>
  <c r="AL14" i="35"/>
  <c r="AP23" i="35"/>
  <c r="I16" i="35"/>
  <c r="L16" i="35" s="1"/>
  <c r="I18" i="35"/>
  <c r="L18" i="35" s="1"/>
  <c r="I20" i="35"/>
  <c r="I14" i="35"/>
  <c r="L14" i="35" s="1"/>
  <c r="AN24" i="1"/>
  <c r="AU24" i="1" s="1"/>
  <c r="AL24" i="1"/>
  <c r="AK24" i="1"/>
  <c r="H24" i="1"/>
  <c r="K24" i="1" s="1"/>
  <c r="K20" i="109" l="1"/>
  <c r="K16" i="11" s="1"/>
  <c r="L20" i="35"/>
  <c r="L34" i="35" s="1"/>
  <c r="K26" i="11" s="1"/>
  <c r="I34" i="35"/>
  <c r="AM23" i="11"/>
  <c r="I21" i="12" s="1"/>
  <c r="L13" i="35"/>
  <c r="AS25" i="35"/>
  <c r="AS23" i="35"/>
  <c r="AT25" i="35"/>
  <c r="AT21" i="35"/>
  <c r="AT22" i="35"/>
  <c r="AS22" i="35"/>
  <c r="H18" i="11"/>
  <c r="AP10" i="107"/>
  <c r="AR20" i="109"/>
  <c r="AM16" i="11"/>
  <c r="I14" i="12" s="1"/>
  <c r="AQ25" i="35"/>
  <c r="AU25" i="35"/>
  <c r="AV23" i="35"/>
  <c r="AR21" i="35"/>
  <c r="AQ21" i="35"/>
  <c r="AQ7" i="124"/>
  <c r="AS7" i="124"/>
  <c r="K21" i="12"/>
  <c r="AT24" i="1"/>
  <c r="AO24" i="1"/>
  <c r="AX24" i="1"/>
  <c r="AY24" i="1"/>
  <c r="AM24" i="1"/>
  <c r="AR24" i="1" s="1"/>
  <c r="AP24" i="1"/>
  <c r="AP11" i="124"/>
  <c r="AW24" i="1"/>
  <c r="AZ24" i="1"/>
  <c r="AV24" i="1"/>
  <c r="AS18" i="109"/>
  <c r="AQ11" i="124"/>
  <c r="AR11" i="124"/>
  <c r="AV10" i="107"/>
  <c r="AU10" i="107"/>
  <c r="AZ10" i="107"/>
  <c r="AQ9" i="107"/>
  <c r="AS9" i="107"/>
  <c r="AQ8" i="107"/>
  <c r="AR8" i="107"/>
  <c r="AX10" i="107"/>
  <c r="AW10" i="107"/>
  <c r="AS19" i="109"/>
  <c r="AQ19" i="109"/>
  <c r="AQ18" i="109"/>
  <c r="AS17" i="109"/>
  <c r="AQ20" i="109"/>
  <c r="AS20" i="109"/>
  <c r="AQ17" i="109"/>
  <c r="AY25" i="35"/>
  <c r="BA25" i="35"/>
  <c r="AR25" i="35"/>
  <c r="AZ23" i="35"/>
  <c r="AX23" i="35"/>
  <c r="BA23" i="35"/>
  <c r="AY23" i="35"/>
  <c r="AW23" i="35"/>
  <c r="AU23" i="35"/>
  <c r="AR23" i="35"/>
  <c r="AY22" i="35"/>
  <c r="AU22" i="35"/>
  <c r="BA22" i="35"/>
  <c r="AW22" i="35"/>
  <c r="AR22" i="35"/>
  <c r="BA21" i="35"/>
  <c r="AW21" i="35"/>
  <c r="AY21" i="35"/>
  <c r="AU21" i="35"/>
  <c r="AN14" i="35"/>
  <c r="AP25" i="35"/>
  <c r="AP22" i="35"/>
  <c r="AZ25" i="35"/>
  <c r="AX25" i="35"/>
  <c r="AV25" i="35"/>
  <c r="AZ22" i="35"/>
  <c r="AX22" i="35"/>
  <c r="AV22" i="35"/>
  <c r="AZ21" i="35"/>
  <c r="AX21" i="35"/>
  <c r="AV21" i="35"/>
  <c r="AT23" i="35"/>
  <c r="AK23" i="1"/>
  <c r="AK21" i="1"/>
  <c r="AK22" i="1"/>
  <c r="AN20" i="1"/>
  <c r="AT20" i="1" s="1"/>
  <c r="AN21" i="1"/>
  <c r="AT21" i="1" s="1"/>
  <c r="AN22" i="1"/>
  <c r="AT22" i="1" s="1"/>
  <c r="AL20" i="1"/>
  <c r="AL21" i="1"/>
  <c r="AL22" i="1"/>
  <c r="AK20" i="1"/>
  <c r="H20" i="1"/>
  <c r="H21" i="1"/>
  <c r="H22" i="1"/>
  <c r="AP34" i="35" l="1"/>
  <c r="AQ34" i="35"/>
  <c r="H26" i="11"/>
  <c r="F16" i="12"/>
  <c r="AO18" i="11"/>
  <c r="AP18" i="11"/>
  <c r="AS24" i="1"/>
  <c r="AO20" i="1"/>
  <c r="AQ24" i="1"/>
  <c r="K20" i="1"/>
  <c r="AY22" i="1"/>
  <c r="AU22" i="1"/>
  <c r="AW21" i="1"/>
  <c r="AP22" i="1"/>
  <c r="AP21" i="1"/>
  <c r="AW22" i="1"/>
  <c r="AY21" i="1"/>
  <c r="AU21" i="1"/>
  <c r="AM20" i="1"/>
  <c r="AR20" i="1" s="1"/>
  <c r="AY20" i="1"/>
  <c r="AW20" i="1"/>
  <c r="AU20" i="1"/>
  <c r="AM22" i="1"/>
  <c r="AM21" i="1"/>
  <c r="AR21" i="1" s="1"/>
  <c r="AZ22" i="1"/>
  <c r="AX22" i="1"/>
  <c r="AV22" i="1"/>
  <c r="AZ21" i="1"/>
  <c r="AX21" i="1"/>
  <c r="AV21" i="1"/>
  <c r="AZ20" i="1"/>
  <c r="AX20" i="1"/>
  <c r="AV20" i="1"/>
  <c r="AP20" i="1"/>
  <c r="K21" i="1"/>
  <c r="AO21" i="1"/>
  <c r="K22" i="1"/>
  <c r="AO22" i="1"/>
  <c r="AN7" i="1"/>
  <c r="AN8" i="1"/>
  <c r="AV8" i="1" s="1"/>
  <c r="AN9" i="1"/>
  <c r="AU9" i="1" s="1"/>
  <c r="AN10" i="1"/>
  <c r="AU10" i="1" s="1"/>
  <c r="AN11" i="1"/>
  <c r="AV11" i="1" s="1"/>
  <c r="AL7" i="1"/>
  <c r="AL8" i="1"/>
  <c r="AL9" i="1"/>
  <c r="AL10" i="1"/>
  <c r="AL11" i="1"/>
  <c r="AK7" i="1"/>
  <c r="AK9" i="1"/>
  <c r="AK10" i="1"/>
  <c r="AK11" i="1"/>
  <c r="H7" i="1"/>
  <c r="H8" i="1"/>
  <c r="H9" i="1"/>
  <c r="H10" i="1"/>
  <c r="H11" i="1"/>
  <c r="AO11" i="1" s="1"/>
  <c r="AO26" i="11" l="1"/>
  <c r="F24" i="12"/>
  <c r="AP26" i="11"/>
  <c r="AP10" i="1"/>
  <c r="AU7" i="1"/>
  <c r="AP7" i="1"/>
  <c r="AP8" i="1"/>
  <c r="AQ20" i="1"/>
  <c r="AQ22" i="1"/>
  <c r="AS22" i="1"/>
  <c r="AS20" i="1"/>
  <c r="AQ21" i="1"/>
  <c r="AS21" i="1"/>
  <c r="AR22" i="1"/>
  <c r="AP9" i="1"/>
  <c r="K11" i="1"/>
  <c r="AT11" i="1"/>
  <c r="AY11" i="1"/>
  <c r="AW11" i="1"/>
  <c r="AU11" i="1"/>
  <c r="AP11" i="1"/>
  <c r="AZ11" i="1"/>
  <c r="AX11" i="1"/>
  <c r="AM11" i="1"/>
  <c r="AM10" i="1"/>
  <c r="AS10" i="1" s="1"/>
  <c r="AZ10" i="1"/>
  <c r="AX10" i="1"/>
  <c r="AV10" i="1"/>
  <c r="AT10" i="1"/>
  <c r="AY10" i="1"/>
  <c r="AW10" i="1"/>
  <c r="K10" i="1"/>
  <c r="AO10" i="1"/>
  <c r="AX9" i="1"/>
  <c r="AZ9" i="1"/>
  <c r="AV9" i="1"/>
  <c r="AT9" i="1"/>
  <c r="AY9" i="1"/>
  <c r="AW9" i="1"/>
  <c r="AM9" i="1"/>
  <c r="K9" i="1"/>
  <c r="AO9" i="1"/>
  <c r="AY8" i="1"/>
  <c r="AU8" i="1"/>
  <c r="AT8" i="1"/>
  <c r="AW8" i="1"/>
  <c r="AM8" i="1"/>
  <c r="AS8" i="1" s="1"/>
  <c r="AZ8" i="1"/>
  <c r="AX8" i="1"/>
  <c r="K8" i="1"/>
  <c r="AO8" i="1"/>
  <c r="AZ7" i="1"/>
  <c r="AX7" i="1"/>
  <c r="AV7" i="1"/>
  <c r="AT7" i="1"/>
  <c r="AY7" i="1"/>
  <c r="AW7" i="1"/>
  <c r="AM7" i="1"/>
  <c r="AO7" i="1"/>
  <c r="K7" i="1"/>
  <c r="J24" i="12" l="1"/>
  <c r="K24" i="12"/>
  <c r="AS11" i="1"/>
  <c r="AQ11" i="1"/>
  <c r="AR11" i="1"/>
  <c r="AQ10" i="1"/>
  <c r="AR10" i="1"/>
  <c r="AS9" i="1"/>
  <c r="AQ9" i="1"/>
  <c r="AR9" i="1"/>
  <c r="AQ8" i="1"/>
  <c r="AR8" i="1"/>
  <c r="AS7" i="1"/>
  <c r="AQ7" i="1"/>
  <c r="AR7" i="1"/>
  <c r="H8" i="109"/>
  <c r="H9" i="109"/>
  <c r="H10" i="109"/>
  <c r="K10" i="109" s="1"/>
  <c r="H11" i="109"/>
  <c r="AO11" i="109" s="1"/>
  <c r="H12" i="109"/>
  <c r="K12" i="109" s="1"/>
  <c r="AK8" i="109"/>
  <c r="AL8" i="109"/>
  <c r="AN8" i="109"/>
  <c r="AT8" i="109" s="1"/>
  <c r="AO8" i="109"/>
  <c r="AK9" i="109"/>
  <c r="AL9" i="109"/>
  <c r="AN9" i="109"/>
  <c r="AU9" i="109" s="1"/>
  <c r="AK10" i="109"/>
  <c r="AL10" i="109"/>
  <c r="AN10" i="109"/>
  <c r="AU10" i="109" s="1"/>
  <c r="AK11" i="109"/>
  <c r="AL11" i="109"/>
  <c r="AN11" i="109"/>
  <c r="AU11" i="109" s="1"/>
  <c r="AK12" i="109"/>
  <c r="AL12" i="109"/>
  <c r="AN12" i="109"/>
  <c r="K9" i="109" l="1"/>
  <c r="K8" i="109"/>
  <c r="AU8" i="109"/>
  <c r="AZ10" i="109"/>
  <c r="AT10" i="109"/>
  <c r="AZ9" i="109"/>
  <c r="AY8" i="109"/>
  <c r="AW8" i="109"/>
  <c r="AW11" i="109"/>
  <c r="AV9" i="109"/>
  <c r="AY11" i="109"/>
  <c r="AT11" i="109"/>
  <c r="AX9" i="109"/>
  <c r="AT9" i="109"/>
  <c r="AP12" i="109"/>
  <c r="AX10" i="109"/>
  <c r="AO10" i="109"/>
  <c r="AP8" i="109"/>
  <c r="AZ11" i="109"/>
  <c r="AX11" i="109"/>
  <c r="AV11" i="109"/>
  <c r="AY9" i="109"/>
  <c r="AW9" i="109"/>
  <c r="AO9" i="109"/>
  <c r="AZ8" i="109"/>
  <c r="AX8" i="109"/>
  <c r="AV8" i="109"/>
  <c r="AM8" i="109"/>
  <c r="AQ8" i="109" s="1"/>
  <c r="AV10" i="109"/>
  <c r="AY10" i="109"/>
  <c r="AW10" i="109"/>
  <c r="AZ12" i="109"/>
  <c r="AV12" i="109"/>
  <c r="AX12" i="109"/>
  <c r="AT12" i="109"/>
  <c r="AM12" i="109"/>
  <c r="AR12" i="109" s="1"/>
  <c r="AY12" i="109"/>
  <c r="AW12" i="109"/>
  <c r="AU12" i="109"/>
  <c r="AO12" i="109"/>
  <c r="AM11" i="109"/>
  <c r="AQ11" i="109" s="1"/>
  <c r="AP11" i="109"/>
  <c r="K11" i="109"/>
  <c r="AM10" i="109"/>
  <c r="AQ10" i="109" s="1"/>
  <c r="AP10" i="109"/>
  <c r="AM9" i="109"/>
  <c r="AQ9" i="109" s="1"/>
  <c r="AP9" i="109"/>
  <c r="AQ12" i="109" l="1"/>
  <c r="AR8" i="109"/>
  <c r="AR9" i="109"/>
  <c r="AR11" i="109"/>
  <c r="AS11" i="109"/>
  <c r="AS8" i="109"/>
  <c r="AS9" i="109"/>
  <c r="AS12" i="109"/>
  <c r="AR10" i="109"/>
  <c r="AS10" i="109"/>
  <c r="B9" i="122" l="1"/>
  <c r="B22" i="11" l="1"/>
  <c r="C20" i="12" s="1"/>
  <c r="B22" i="122"/>
  <c r="H6" i="107"/>
  <c r="K6" i="107" s="1"/>
  <c r="AN7" i="122" l="1"/>
  <c r="AN8" i="122"/>
  <c r="AN6" i="122"/>
  <c r="G9" i="122" l="1"/>
  <c r="I9" i="122"/>
  <c r="J9" i="122"/>
  <c r="L9" i="122"/>
  <c r="N9" i="122"/>
  <c r="P9" i="122"/>
  <c r="Q9" i="122"/>
  <c r="R9" i="122"/>
  <c r="S9" i="122"/>
  <c r="T9" i="122"/>
  <c r="U9" i="122"/>
  <c r="V9" i="122"/>
  <c r="W9" i="122"/>
  <c r="X9" i="122"/>
  <c r="Y9" i="122"/>
  <c r="Z9" i="122"/>
  <c r="AA9" i="122"/>
  <c r="AB9" i="122"/>
  <c r="AC9" i="122"/>
  <c r="AD9" i="122"/>
  <c r="AE9" i="122"/>
  <c r="AF9" i="122"/>
  <c r="AG9" i="122"/>
  <c r="AH9" i="122"/>
  <c r="AI9" i="122"/>
  <c r="AJ9" i="122"/>
  <c r="E9" i="122"/>
  <c r="D9" i="122"/>
  <c r="C9" i="122"/>
  <c r="AZ8" i="122"/>
  <c r="AY8" i="122"/>
  <c r="AX8" i="122"/>
  <c r="AW8" i="122"/>
  <c r="AV8" i="122"/>
  <c r="AU8" i="122"/>
  <c r="AT8" i="122"/>
  <c r="AL8" i="122"/>
  <c r="AK8" i="122"/>
  <c r="H8" i="122"/>
  <c r="AO8" i="122" s="1"/>
  <c r="AZ7" i="122"/>
  <c r="AY7" i="122"/>
  <c r="AX7" i="122"/>
  <c r="AW7" i="122"/>
  <c r="AV7" i="122"/>
  <c r="AU7" i="122"/>
  <c r="AT7" i="122"/>
  <c r="AL7" i="122"/>
  <c r="AK7" i="122"/>
  <c r="H7" i="122"/>
  <c r="AZ6" i="122"/>
  <c r="AY6" i="122"/>
  <c r="AX6" i="122"/>
  <c r="AW6" i="122"/>
  <c r="AV6" i="122"/>
  <c r="AU6" i="122"/>
  <c r="AT6" i="122"/>
  <c r="AL6" i="122"/>
  <c r="AK6" i="122"/>
  <c r="H6" i="122"/>
  <c r="D22" i="11" l="1"/>
  <c r="D20" i="12" s="1"/>
  <c r="D22" i="122"/>
  <c r="AH22" i="11"/>
  <c r="AH22" i="122"/>
  <c r="AD22" i="11"/>
  <c r="AD22" i="122"/>
  <c r="Z22" i="11"/>
  <c r="Z22" i="122"/>
  <c r="V22" i="11"/>
  <c r="V22" i="122"/>
  <c r="R22" i="11"/>
  <c r="R22" i="122"/>
  <c r="L22" i="11"/>
  <c r="L22" i="122"/>
  <c r="E22" i="11"/>
  <c r="E20" i="12" s="1"/>
  <c r="AG22" i="11"/>
  <c r="AG22" i="122"/>
  <c r="AC22" i="11"/>
  <c r="AC22" i="122"/>
  <c r="Y22" i="11"/>
  <c r="Y22" i="122"/>
  <c r="U22" i="11"/>
  <c r="U22" i="122"/>
  <c r="Q22" i="11"/>
  <c r="Q22" i="122"/>
  <c r="J22" i="11"/>
  <c r="J22" i="122"/>
  <c r="AJ22" i="11"/>
  <c r="AJ22" i="122"/>
  <c r="AF22" i="11"/>
  <c r="AF22" i="122"/>
  <c r="AB22" i="11"/>
  <c r="AB22" i="122"/>
  <c r="X22" i="11"/>
  <c r="X22" i="122"/>
  <c r="T22" i="11"/>
  <c r="T22" i="122"/>
  <c r="P22" i="11"/>
  <c r="P22" i="122"/>
  <c r="AK9" i="122"/>
  <c r="I22" i="11"/>
  <c r="I22" i="122"/>
  <c r="C22" i="11"/>
  <c r="C22" i="122"/>
  <c r="AI22" i="11"/>
  <c r="AI22" i="122"/>
  <c r="AE22" i="11"/>
  <c r="AE22" i="122"/>
  <c r="AA22" i="11"/>
  <c r="AA22" i="122"/>
  <c r="W22" i="11"/>
  <c r="W22" i="122"/>
  <c r="S22" i="11"/>
  <c r="S22" i="122"/>
  <c r="N22" i="11"/>
  <c r="N22" i="122"/>
  <c r="G22" i="11"/>
  <c r="G22" i="122"/>
  <c r="AP8" i="122"/>
  <c r="H9" i="122"/>
  <c r="H22" i="122" s="1"/>
  <c r="AM6" i="122"/>
  <c r="AQ6" i="122" s="1"/>
  <c r="AL9" i="122"/>
  <c r="AL22" i="11" s="1"/>
  <c r="AP6" i="122"/>
  <c r="AK22" i="11"/>
  <c r="K6" i="122"/>
  <c r="AO6" i="122"/>
  <c r="AM8" i="122"/>
  <c r="AQ8" i="122" s="1"/>
  <c r="AM7" i="122"/>
  <c r="AS7" i="122" s="1"/>
  <c r="AP7" i="122"/>
  <c r="AO7" i="122"/>
  <c r="K7" i="122"/>
  <c r="K8" i="122"/>
  <c r="G11" i="7"/>
  <c r="I11" i="7"/>
  <c r="I14" i="7" s="1"/>
  <c r="J11" i="7"/>
  <c r="L11" i="7"/>
  <c r="M11" i="7"/>
  <c r="N11" i="7"/>
  <c r="O11" i="7"/>
  <c r="P11" i="7"/>
  <c r="Q11" i="7"/>
  <c r="Q14" i="7" s="1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R6" i="122" l="1"/>
  <c r="AK22" i="122"/>
  <c r="AS6" i="122"/>
  <c r="G14" i="7"/>
  <c r="H22" i="11"/>
  <c r="K9" i="122"/>
  <c r="K22" i="122" s="1"/>
  <c r="AS8" i="122"/>
  <c r="AL22" i="122"/>
  <c r="AM9" i="122"/>
  <c r="AM22" i="11" s="1"/>
  <c r="I20" i="12" s="1"/>
  <c r="AN9" i="122"/>
  <c r="AN22" i="11" s="1"/>
  <c r="AQ7" i="122"/>
  <c r="AR7" i="122"/>
  <c r="AR8" i="122"/>
  <c r="AO9" i="122"/>
  <c r="AS22" i="11" l="1"/>
  <c r="AP22" i="11"/>
  <c r="AQ22" i="11"/>
  <c r="H20" i="12"/>
  <c r="AU22" i="11"/>
  <c r="AZ22" i="11"/>
  <c r="AW22" i="11"/>
  <c r="AV22" i="11"/>
  <c r="AX22" i="11"/>
  <c r="AT22" i="11"/>
  <c r="AY22" i="11"/>
  <c r="K22" i="11"/>
  <c r="AR22" i="11"/>
  <c r="F20" i="12"/>
  <c r="J20" i="12" s="1"/>
  <c r="AO22" i="11"/>
  <c r="AM22" i="122"/>
  <c r="AR22" i="122" s="1"/>
  <c r="AS9" i="122"/>
  <c r="AY9" i="122"/>
  <c r="AR9" i="122"/>
  <c r="AT9" i="122"/>
  <c r="AP9" i="122"/>
  <c r="AQ9" i="122"/>
  <c r="AZ9" i="122"/>
  <c r="AV9" i="122"/>
  <c r="AW9" i="122"/>
  <c r="AX9" i="122"/>
  <c r="AU9" i="122"/>
  <c r="AN22" i="122"/>
  <c r="AO22" i="122"/>
  <c r="AS22" i="122" l="1"/>
  <c r="K20" i="12"/>
  <c r="AQ22" i="122"/>
  <c r="AP22" i="122"/>
  <c r="AV22" i="122"/>
  <c r="AZ22" i="122"/>
  <c r="AW22" i="122"/>
  <c r="AX22" i="122"/>
  <c r="AU22" i="122"/>
  <c r="AT22" i="122"/>
  <c r="AY22" i="122"/>
  <c r="AK13" i="7"/>
  <c r="AL13" i="7"/>
  <c r="AN13" i="7"/>
  <c r="AW13" i="7" s="1"/>
  <c r="H13" i="7"/>
  <c r="K13" i="7" s="1"/>
  <c r="H12" i="7"/>
  <c r="H11" i="7" l="1"/>
  <c r="H14" i="7" s="1"/>
  <c r="AO13" i="7"/>
  <c r="AP13" i="7"/>
  <c r="K12" i="7"/>
  <c r="K11" i="7" s="1"/>
  <c r="AY13" i="7"/>
  <c r="AU13" i="7"/>
  <c r="AM13" i="7"/>
  <c r="AS13" i="7" s="1"/>
  <c r="AZ13" i="7"/>
  <c r="AV13" i="7"/>
  <c r="AX13" i="7"/>
  <c r="AT13" i="7"/>
  <c r="G10" i="95"/>
  <c r="G13" i="95" s="1"/>
  <c r="G21" i="11" s="1"/>
  <c r="I10" i="95"/>
  <c r="I13" i="95" s="1"/>
  <c r="I21" i="11" s="1"/>
  <c r="J10" i="95"/>
  <c r="J13" i="95" s="1"/>
  <c r="J21" i="11" s="1"/>
  <c r="L10" i="95"/>
  <c r="L13" i="95" s="1"/>
  <c r="L21" i="11" s="1"/>
  <c r="M10" i="95"/>
  <c r="M13" i="95" s="1"/>
  <c r="M21" i="11" s="1"/>
  <c r="N10" i="95"/>
  <c r="N13" i="95" s="1"/>
  <c r="N21" i="11" s="1"/>
  <c r="O10" i="95"/>
  <c r="O13" i="95" s="1"/>
  <c r="O21" i="11" s="1"/>
  <c r="G19" i="12" s="1"/>
  <c r="P10" i="95"/>
  <c r="P13" i="95" s="1"/>
  <c r="P21" i="11" s="1"/>
  <c r="Q10" i="95"/>
  <c r="Q13" i="95" s="1"/>
  <c r="Q21" i="11" s="1"/>
  <c r="R10" i="95"/>
  <c r="R13" i="95" s="1"/>
  <c r="R21" i="11" s="1"/>
  <c r="S10" i="95"/>
  <c r="S13" i="95" s="1"/>
  <c r="S21" i="11" s="1"/>
  <c r="T10" i="95"/>
  <c r="T13" i="95" s="1"/>
  <c r="T21" i="11" s="1"/>
  <c r="U10" i="95"/>
  <c r="U13" i="95" s="1"/>
  <c r="U21" i="11" s="1"/>
  <c r="V10" i="95"/>
  <c r="V13" i="95" s="1"/>
  <c r="V21" i="11" s="1"/>
  <c r="W10" i="95"/>
  <c r="W13" i="95" s="1"/>
  <c r="W21" i="11" s="1"/>
  <c r="X10" i="95"/>
  <c r="X13" i="95" s="1"/>
  <c r="X21" i="11" s="1"/>
  <c r="Y10" i="95"/>
  <c r="Y13" i="95" s="1"/>
  <c r="Y21" i="11" s="1"/>
  <c r="Z10" i="95"/>
  <c r="Z13" i="95" s="1"/>
  <c r="Z21" i="11" s="1"/>
  <c r="AA10" i="95"/>
  <c r="AA13" i="95" s="1"/>
  <c r="AA21" i="11" s="1"/>
  <c r="AB10" i="95"/>
  <c r="AB13" i="95" s="1"/>
  <c r="AB21" i="11" s="1"/>
  <c r="AC10" i="95"/>
  <c r="AC13" i="95" s="1"/>
  <c r="AC21" i="11" s="1"/>
  <c r="AD10" i="95"/>
  <c r="AD13" i="95" s="1"/>
  <c r="AD21" i="11" s="1"/>
  <c r="AE10" i="95"/>
  <c r="AE13" i="95" s="1"/>
  <c r="AE21" i="11" s="1"/>
  <c r="AF10" i="95"/>
  <c r="AF13" i="95" s="1"/>
  <c r="AF21" i="11" s="1"/>
  <c r="AG10" i="95"/>
  <c r="AG13" i="95" s="1"/>
  <c r="AG21" i="11" s="1"/>
  <c r="AH10" i="95"/>
  <c r="AH13" i="95" s="1"/>
  <c r="AH21" i="11" s="1"/>
  <c r="AI10" i="95"/>
  <c r="AI13" i="95" s="1"/>
  <c r="AI21" i="11" s="1"/>
  <c r="AJ10" i="95"/>
  <c r="AJ13" i="95" s="1"/>
  <c r="AJ21" i="11" s="1"/>
  <c r="F10" i="95"/>
  <c r="F13" i="95" s="1"/>
  <c r="E10" i="95"/>
  <c r="F21" i="11" l="1"/>
  <c r="AL13" i="95"/>
  <c r="AL21" i="11" s="1"/>
  <c r="AK13" i="95"/>
  <c r="AK21" i="11" s="1"/>
  <c r="AN13" i="95"/>
  <c r="AN21" i="11" s="1"/>
  <c r="H19" i="12" s="1"/>
  <c r="AQ13" i="7"/>
  <c r="AR13" i="7"/>
  <c r="H23" i="1"/>
  <c r="H19" i="1" s="1"/>
  <c r="AP19" i="1" l="1"/>
  <c r="H29" i="1"/>
  <c r="AO19" i="1"/>
  <c r="AU13" i="95"/>
  <c r="AT13" i="95"/>
  <c r="AV13" i="95"/>
  <c r="AM13" i="95"/>
  <c r="AY13" i="95"/>
  <c r="AX13" i="95"/>
  <c r="AW13" i="95"/>
  <c r="AZ13" i="95"/>
  <c r="K23" i="1"/>
  <c r="K19" i="1" s="1"/>
  <c r="K29" i="1" s="1"/>
  <c r="AS13" i="95" l="1"/>
  <c r="AM21" i="11"/>
  <c r="I19" i="12" s="1"/>
  <c r="AR13" i="95"/>
  <c r="AQ13" i="95"/>
  <c r="H11" i="95" l="1"/>
  <c r="K11" i="95" s="1"/>
  <c r="K12" i="95" l="1"/>
  <c r="K10" i="95" s="1"/>
  <c r="K13" i="95" s="1"/>
  <c r="K21" i="11" s="1"/>
  <c r="H10" i="95"/>
  <c r="H13" i="95" s="1"/>
  <c r="H21" i="11" s="1"/>
  <c r="F19" i="12" s="1"/>
  <c r="E27" i="35"/>
  <c r="Q27" i="35"/>
  <c r="D27" i="35"/>
  <c r="D26" i="11" l="1"/>
  <c r="AO13" i="95"/>
  <c r="AP13" i="95"/>
  <c r="BA26" i="35"/>
  <c r="AV20" i="35"/>
  <c r="D24" i="12" l="1"/>
  <c r="D33" i="12" s="1"/>
  <c r="D35" i="11"/>
  <c r="AW26" i="35"/>
  <c r="AZ20" i="35"/>
  <c r="AP18" i="35"/>
  <c r="AP20" i="35"/>
  <c r="AS18" i="35"/>
  <c r="AQ20" i="35"/>
  <c r="AY20" i="35"/>
  <c r="AU20" i="35"/>
  <c r="AS20" i="35"/>
  <c r="AX20" i="35"/>
  <c r="BA20" i="35"/>
  <c r="AW20" i="35"/>
  <c r="AZ26" i="35"/>
  <c r="AV26" i="35"/>
  <c r="AY26" i="35"/>
  <c r="AU26" i="35"/>
  <c r="AX26" i="35"/>
  <c r="AS26" i="35"/>
  <c r="BA18" i="35"/>
  <c r="AW18" i="35"/>
  <c r="AQ18" i="35"/>
  <c r="AZ18" i="35"/>
  <c r="AV18" i="35"/>
  <c r="AY18" i="35"/>
  <c r="AU18" i="35"/>
  <c r="AX18" i="35"/>
  <c r="AR18" i="35" l="1"/>
  <c r="AT18" i="35"/>
  <c r="AR26" i="35"/>
  <c r="AR20" i="35"/>
  <c r="AT20" i="35"/>
  <c r="AT26" i="35"/>
  <c r="I6" i="95" l="1"/>
  <c r="J6" i="95"/>
  <c r="L6" i="95"/>
  <c r="M6" i="95"/>
  <c r="N6" i="95"/>
  <c r="P6" i="95"/>
  <c r="Q6" i="95"/>
  <c r="S6" i="95"/>
  <c r="T6" i="95"/>
  <c r="U6" i="95"/>
  <c r="V6" i="95"/>
  <c r="W6" i="95"/>
  <c r="X6" i="95"/>
  <c r="Y6" i="95"/>
  <c r="Z6" i="95"/>
  <c r="AB6" i="95"/>
  <c r="AC6" i="95"/>
  <c r="AE6" i="95"/>
  <c r="AF6" i="95"/>
  <c r="AH6" i="95"/>
  <c r="AI6" i="95"/>
  <c r="AJ6" i="95"/>
  <c r="H6" i="35"/>
  <c r="H12" i="35" s="1"/>
  <c r="J6" i="35"/>
  <c r="J12" i="35" s="1"/>
  <c r="K6" i="35"/>
  <c r="K12" i="35" s="1"/>
  <c r="M6" i="35"/>
  <c r="M12" i="35" s="1"/>
  <c r="N6" i="35"/>
  <c r="N12" i="35" s="1"/>
  <c r="O6" i="35"/>
  <c r="O12" i="35" s="1"/>
  <c r="P6" i="35"/>
  <c r="P12" i="35" s="1"/>
  <c r="Q6" i="35"/>
  <c r="Q12" i="35" s="1"/>
  <c r="R6" i="35"/>
  <c r="R12" i="35" s="1"/>
  <c r="S6" i="35"/>
  <c r="S12" i="35" s="1"/>
  <c r="T6" i="35"/>
  <c r="T12" i="35" s="1"/>
  <c r="U6" i="35"/>
  <c r="U12" i="35" s="1"/>
  <c r="V6" i="35"/>
  <c r="V12" i="35" s="1"/>
  <c r="W6" i="35"/>
  <c r="W12" i="35" s="1"/>
  <c r="X6" i="35"/>
  <c r="X12" i="35" s="1"/>
  <c r="Y6" i="35"/>
  <c r="Y12" i="35" s="1"/>
  <c r="Z6" i="35"/>
  <c r="Z12" i="35" s="1"/>
  <c r="AA6" i="35"/>
  <c r="AA12" i="35" s="1"/>
  <c r="AB6" i="35"/>
  <c r="AB12" i="35" s="1"/>
  <c r="AC6" i="35"/>
  <c r="AC12" i="35" s="1"/>
  <c r="AD6" i="35"/>
  <c r="AD12" i="35" s="1"/>
  <c r="AE6" i="35"/>
  <c r="AE12" i="35" s="1"/>
  <c r="AF6" i="35"/>
  <c r="AF12" i="35" s="1"/>
  <c r="AG6" i="35"/>
  <c r="AG12" i="35" s="1"/>
  <c r="AH6" i="35"/>
  <c r="AH12" i="35" s="1"/>
  <c r="AI6" i="35"/>
  <c r="AI12" i="35" s="1"/>
  <c r="AJ6" i="35"/>
  <c r="AJ12" i="35" s="1"/>
  <c r="AK6" i="35"/>
  <c r="AK12" i="35" s="1"/>
  <c r="F6" i="35"/>
  <c r="F12" i="35" s="1"/>
  <c r="E6" i="35"/>
  <c r="G10" i="7"/>
  <c r="G45" i="7" s="1"/>
  <c r="I10" i="7"/>
  <c r="I45" i="7" s="1"/>
  <c r="J10" i="7"/>
  <c r="L10" i="7"/>
  <c r="M10" i="7"/>
  <c r="N10" i="7"/>
  <c r="O10" i="7"/>
  <c r="P10" i="7"/>
  <c r="Q10" i="7"/>
  <c r="Q45" i="7" s="1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F10" i="7"/>
  <c r="F45" i="7" s="1"/>
  <c r="H12" i="1"/>
  <c r="H6" i="1" s="1"/>
  <c r="I7" i="35"/>
  <c r="L7" i="35" s="1"/>
  <c r="AL7" i="35"/>
  <c r="AM7" i="35"/>
  <c r="AO7" i="35"/>
  <c r="AW7" i="35" s="1"/>
  <c r="I8" i="35"/>
  <c r="AP8" i="35" s="1"/>
  <c r="AL8" i="35"/>
  <c r="AM8" i="35"/>
  <c r="AO8" i="35"/>
  <c r="I9" i="35"/>
  <c r="L9" i="35" s="1"/>
  <c r="AL9" i="35"/>
  <c r="AM9" i="35"/>
  <c r="AO9" i="35"/>
  <c r="AX9" i="35" s="1"/>
  <c r="I10" i="35"/>
  <c r="L10" i="35" s="1"/>
  <c r="AL10" i="35"/>
  <c r="AM10" i="35"/>
  <c r="AO10" i="35"/>
  <c r="AW10" i="35" s="1"/>
  <c r="I11" i="35"/>
  <c r="L11" i="35" s="1"/>
  <c r="AL11" i="35"/>
  <c r="AM11" i="35"/>
  <c r="AO11" i="35"/>
  <c r="BA11" i="35" s="1"/>
  <c r="H6" i="31"/>
  <c r="K6" i="31" s="1"/>
  <c r="AK13" i="109"/>
  <c r="AL13" i="109"/>
  <c r="AN13" i="109"/>
  <c r="AW13" i="109" s="1"/>
  <c r="H13" i="109"/>
  <c r="H8" i="95"/>
  <c r="K8" i="95" s="1"/>
  <c r="H7" i="95"/>
  <c r="H18" i="1" l="1"/>
  <c r="AO6" i="1"/>
  <c r="AP6" i="1"/>
  <c r="E12" i="35"/>
  <c r="H6" i="95"/>
  <c r="K12" i="1"/>
  <c r="K6" i="1" s="1"/>
  <c r="K18" i="1" s="1"/>
  <c r="AO13" i="109"/>
  <c r="AW64" i="109"/>
  <c r="AM6" i="35"/>
  <c r="AZ13" i="109"/>
  <c r="AU7" i="35"/>
  <c r="BA7" i="35"/>
  <c r="AY7" i="35"/>
  <c r="K7" i="95"/>
  <c r="K6" i="95" s="1"/>
  <c r="AM13" i="109"/>
  <c r="AS13" i="109" s="1"/>
  <c r="AO6" i="35"/>
  <c r="BA6" i="35" s="1"/>
  <c r="AL6" i="35"/>
  <c r="AX7" i="35"/>
  <c r="I6" i="35"/>
  <c r="I12" i="35" s="1"/>
  <c r="I68" i="35" s="1"/>
  <c r="AP11" i="35"/>
  <c r="AQ8" i="35"/>
  <c r="AV13" i="109"/>
  <c r="K13" i="109"/>
  <c r="AW11" i="35"/>
  <c r="AU11" i="35"/>
  <c r="AN11" i="35"/>
  <c r="AR11" i="35" s="1"/>
  <c r="AU10" i="35"/>
  <c r="BA10" i="35"/>
  <c r="AY10" i="35"/>
  <c r="BA9" i="35"/>
  <c r="AN9" i="35"/>
  <c r="AT9" i="35" s="1"/>
  <c r="AW9" i="35"/>
  <c r="AU9" i="35"/>
  <c r="AX8" i="35"/>
  <c r="AW8" i="35"/>
  <c r="L8" i="35"/>
  <c r="L6" i="35" s="1"/>
  <c r="L12" i="35" s="1"/>
  <c r="AN7" i="35"/>
  <c r="AS7" i="35" s="1"/>
  <c r="AP7" i="35"/>
  <c r="AY11" i="35"/>
  <c r="AQ11" i="35"/>
  <c r="AX10" i="35"/>
  <c r="AY9" i="35"/>
  <c r="BA8" i="35"/>
  <c r="AU8" i="35"/>
  <c r="AX11" i="35"/>
  <c r="AY8" i="35"/>
  <c r="AN10" i="35"/>
  <c r="AT10" i="35" s="1"/>
  <c r="AN8" i="35"/>
  <c r="AT8" i="35" s="1"/>
  <c r="AQ9" i="35"/>
  <c r="AP10" i="35"/>
  <c r="AQ10" i="35"/>
  <c r="AP9" i="35"/>
  <c r="AZ11" i="35"/>
  <c r="AV11" i="35"/>
  <c r="AZ10" i="35"/>
  <c r="AV10" i="35"/>
  <c r="AZ9" i="35"/>
  <c r="AV9" i="35"/>
  <c r="AZ8" i="35"/>
  <c r="AV8" i="35"/>
  <c r="AZ7" i="35"/>
  <c r="AV7" i="35"/>
  <c r="AQ7" i="35"/>
  <c r="AY13" i="109"/>
  <c r="AU13" i="109"/>
  <c r="AX13" i="109"/>
  <c r="AT13" i="109"/>
  <c r="AP13" i="109"/>
  <c r="AO145" i="1" l="1"/>
  <c r="AP148" i="1"/>
  <c r="AQ13" i="109"/>
  <c r="AO18" i="1"/>
  <c r="AP18" i="1"/>
  <c r="AO20" i="109"/>
  <c r="AP20" i="109"/>
  <c r="AT64" i="109"/>
  <c r="AV64" i="109"/>
  <c r="AZ64" i="109"/>
  <c r="AX64" i="109"/>
  <c r="AU64" i="109"/>
  <c r="AY64" i="109"/>
  <c r="AN6" i="35"/>
  <c r="AT6" i="35" s="1"/>
  <c r="AV6" i="35"/>
  <c r="AR13" i="109"/>
  <c r="AR9" i="35"/>
  <c r="AT11" i="35"/>
  <c r="AS9" i="35"/>
  <c r="AQ6" i="35"/>
  <c r="AP6" i="35"/>
  <c r="AW6" i="35"/>
  <c r="AY6" i="35"/>
  <c r="AX6" i="35"/>
  <c r="AZ6" i="35"/>
  <c r="AU6" i="35"/>
  <c r="AT7" i="35"/>
  <c r="AS11" i="35"/>
  <c r="AR10" i="35"/>
  <c r="AR7" i="35"/>
  <c r="AR8" i="35"/>
  <c r="AS8" i="35"/>
  <c r="AS10" i="35"/>
  <c r="AP145" i="1" l="1"/>
  <c r="AS64" i="109"/>
  <c r="AR64" i="109"/>
  <c r="AS6" i="35"/>
  <c r="AQ64" i="109"/>
  <c r="AR6" i="35"/>
  <c r="H8" i="7"/>
  <c r="H9" i="7"/>
  <c r="K9" i="7" s="1"/>
  <c r="H7" i="7"/>
  <c r="K7" i="7" s="1"/>
  <c r="H7" i="109"/>
  <c r="H6" i="109" s="1"/>
  <c r="AK7" i="36"/>
  <c r="AL7" i="36"/>
  <c r="AN7" i="36"/>
  <c r="AW7" i="36" s="1"/>
  <c r="AK22" i="36"/>
  <c r="AL22" i="36"/>
  <c r="AN22" i="36"/>
  <c r="H6" i="36"/>
  <c r="H7" i="36"/>
  <c r="AO7" i="36" s="1"/>
  <c r="H22" i="36"/>
  <c r="H6" i="7" l="1"/>
  <c r="H10" i="7" s="1"/>
  <c r="H45" i="7" s="1"/>
  <c r="AP6" i="109"/>
  <c r="AO6" i="109"/>
  <c r="H14" i="109"/>
  <c r="AO22" i="36"/>
  <c r="K6" i="36"/>
  <c r="H23" i="36"/>
  <c r="K7" i="109"/>
  <c r="K6" i="109" s="1"/>
  <c r="K14" i="109" s="1"/>
  <c r="AP22" i="36"/>
  <c r="K8" i="7"/>
  <c r="AZ22" i="36"/>
  <c r="AW22" i="36"/>
  <c r="AV22" i="36"/>
  <c r="AM22" i="36"/>
  <c r="AS22" i="36" s="1"/>
  <c r="K22" i="36"/>
  <c r="AV7" i="36"/>
  <c r="AM7" i="36"/>
  <c r="AS7" i="36" s="1"/>
  <c r="AZ7" i="36"/>
  <c r="K7" i="36"/>
  <c r="AP7" i="36"/>
  <c r="AY22" i="36"/>
  <c r="AU22" i="36"/>
  <c r="AY7" i="36"/>
  <c r="AU7" i="36"/>
  <c r="AX22" i="36"/>
  <c r="AT22" i="36"/>
  <c r="AX7" i="36"/>
  <c r="AT7" i="36"/>
  <c r="AO64" i="109" l="1"/>
  <c r="H30" i="11"/>
  <c r="F28" i="12" s="1"/>
  <c r="H19" i="11"/>
  <c r="F17" i="12" s="1"/>
  <c r="K6" i="7"/>
  <c r="K10" i="7" s="1"/>
  <c r="AP64" i="109"/>
  <c r="K23" i="36"/>
  <c r="AR22" i="36"/>
  <c r="AQ22" i="36"/>
  <c r="AQ7" i="36"/>
  <c r="AR7" i="36"/>
  <c r="H35" i="11" l="1"/>
  <c r="K34" i="36"/>
  <c r="K30" i="11" s="1"/>
  <c r="K35" i="11" s="1"/>
  <c r="F33" i="12"/>
  <c r="K19" i="11"/>
  <c r="AK6" i="31"/>
  <c r="AL6" i="31"/>
  <c r="AN6" i="31"/>
  <c r="AM6" i="31" l="1"/>
  <c r="C7" i="107" l="1"/>
  <c r="C10" i="11" l="1"/>
  <c r="N7" i="31"/>
  <c r="M7" i="31"/>
  <c r="L7" i="31"/>
  <c r="J7" i="31"/>
  <c r="I7" i="31"/>
  <c r="G7" i="31"/>
  <c r="F7" i="31"/>
  <c r="E7" i="31"/>
  <c r="D7" i="31"/>
  <c r="C7" i="31"/>
  <c r="G9" i="95"/>
  <c r="I9" i="95"/>
  <c r="J9" i="95"/>
  <c r="L9" i="95"/>
  <c r="M9" i="95"/>
  <c r="N9" i="95"/>
  <c r="O9" i="95"/>
  <c r="P9" i="95"/>
  <c r="Q9" i="95"/>
  <c r="R9" i="95"/>
  <c r="T9" i="95"/>
  <c r="U9" i="95"/>
  <c r="V9" i="95"/>
  <c r="W9" i="95"/>
  <c r="X9" i="95"/>
  <c r="Y9" i="95"/>
  <c r="Z9" i="95"/>
  <c r="AA9" i="95"/>
  <c r="AB9" i="95"/>
  <c r="AC9" i="95"/>
  <c r="AD9" i="95"/>
  <c r="AE9" i="95"/>
  <c r="AF9" i="95"/>
  <c r="AG9" i="95"/>
  <c r="AH9" i="95"/>
  <c r="AI9" i="95"/>
  <c r="AJ9" i="95"/>
  <c r="C9" i="95"/>
  <c r="H27" i="35"/>
  <c r="J27" i="35"/>
  <c r="K27" i="35"/>
  <c r="M27" i="35"/>
  <c r="N27" i="35"/>
  <c r="O27" i="35"/>
  <c r="P27" i="35"/>
  <c r="R27" i="35"/>
  <c r="S27" i="35"/>
  <c r="T27" i="35"/>
  <c r="U27" i="35"/>
  <c r="V27" i="35"/>
  <c r="W27" i="35"/>
  <c r="Y27" i="35"/>
  <c r="Z27" i="35"/>
  <c r="AA27" i="35"/>
  <c r="AC27" i="35"/>
  <c r="AD27" i="35"/>
  <c r="AE27" i="35"/>
  <c r="AF27" i="35"/>
  <c r="AG27" i="35"/>
  <c r="AH27" i="35"/>
  <c r="AI27" i="35"/>
  <c r="AJ27" i="35"/>
  <c r="AK27" i="35"/>
  <c r="AL27" i="35" l="1"/>
  <c r="AL68" i="35"/>
  <c r="H7" i="31"/>
  <c r="AM13" i="35"/>
  <c r="AL13" i="35"/>
  <c r="AO13" i="35"/>
  <c r="BA13" i="35" s="1"/>
  <c r="AB27" i="35"/>
  <c r="X27" i="35"/>
  <c r="AK10" i="95"/>
  <c r="AK6" i="95"/>
  <c r="S9" i="95"/>
  <c r="AN10" i="95"/>
  <c r="AW10" i="95" s="1"/>
  <c r="AN6" i="95"/>
  <c r="AW6" i="95" s="1"/>
  <c r="AL10" i="95"/>
  <c r="AL6" i="95"/>
  <c r="E14" i="7"/>
  <c r="J14" i="7"/>
  <c r="J45" i="7" s="1"/>
  <c r="L14" i="7"/>
  <c r="L45" i="7" s="1"/>
  <c r="M14" i="7"/>
  <c r="M45" i="7" s="1"/>
  <c r="N14" i="7"/>
  <c r="N45" i="7" s="1"/>
  <c r="O14" i="7"/>
  <c r="O45" i="7" s="1"/>
  <c r="P14" i="7"/>
  <c r="P45" i="7" s="1"/>
  <c r="S14" i="7"/>
  <c r="S45" i="7" s="1"/>
  <c r="T14" i="7"/>
  <c r="T45" i="7" s="1"/>
  <c r="U14" i="7"/>
  <c r="U45" i="7" s="1"/>
  <c r="V14" i="7"/>
  <c r="V45" i="7" s="1"/>
  <c r="W14" i="7"/>
  <c r="W45" i="7" s="1"/>
  <c r="X14" i="7"/>
  <c r="X45" i="7" s="1"/>
  <c r="Y14" i="7"/>
  <c r="Y45" i="7" s="1"/>
  <c r="Z14" i="7"/>
  <c r="Z45" i="7" s="1"/>
  <c r="AA14" i="7"/>
  <c r="AA45" i="7" s="1"/>
  <c r="AB14" i="7"/>
  <c r="AB45" i="7" s="1"/>
  <c r="AC14" i="7"/>
  <c r="AC45" i="7" s="1"/>
  <c r="AD14" i="7"/>
  <c r="AD45" i="7" s="1"/>
  <c r="AE14" i="7"/>
  <c r="AE45" i="7" s="1"/>
  <c r="AF14" i="7"/>
  <c r="AF45" i="7" s="1"/>
  <c r="AG14" i="7"/>
  <c r="AG45" i="7" s="1"/>
  <c r="AH14" i="7"/>
  <c r="AH45" i="7" s="1"/>
  <c r="AI14" i="7"/>
  <c r="AI45" i="7" s="1"/>
  <c r="AJ14" i="7"/>
  <c r="AJ45" i="7" s="1"/>
  <c r="AN8" i="7"/>
  <c r="AU8" i="7" s="1"/>
  <c r="AL8" i="7"/>
  <c r="AK8" i="7"/>
  <c r="G7" i="107"/>
  <c r="I7" i="107"/>
  <c r="J7" i="107"/>
  <c r="L7" i="107"/>
  <c r="M7" i="107"/>
  <c r="N7" i="107"/>
  <c r="O7" i="107"/>
  <c r="P7" i="107"/>
  <c r="Q7" i="107"/>
  <c r="R7" i="107"/>
  <c r="S7" i="107"/>
  <c r="T7" i="107"/>
  <c r="U7" i="107"/>
  <c r="V7" i="107"/>
  <c r="W7" i="107"/>
  <c r="X7" i="107"/>
  <c r="Y7" i="107"/>
  <c r="Z7" i="107"/>
  <c r="AA7" i="107"/>
  <c r="AB7" i="107"/>
  <c r="AC7" i="107"/>
  <c r="AD7" i="107"/>
  <c r="AE7" i="107"/>
  <c r="AF7" i="107"/>
  <c r="AG7" i="107"/>
  <c r="AH7" i="107"/>
  <c r="AI7" i="107"/>
  <c r="AJ7" i="107"/>
  <c r="F7" i="107"/>
  <c r="E7" i="107"/>
  <c r="D7" i="107"/>
  <c r="B7" i="107"/>
  <c r="AK45" i="7" l="1"/>
  <c r="AM27" i="35"/>
  <c r="AN27" i="35" s="1"/>
  <c r="AL25" i="107"/>
  <c r="AL7" i="107"/>
  <c r="AL10" i="11" s="1"/>
  <c r="AL45" i="7"/>
  <c r="AK7" i="107"/>
  <c r="AK10" i="11" s="1"/>
  <c r="AO27" i="35"/>
  <c r="AK14" i="7"/>
  <c r="Z10" i="11"/>
  <c r="F10" i="11"/>
  <c r="AG10" i="11"/>
  <c r="AC10" i="11"/>
  <c r="Y10" i="11"/>
  <c r="U10" i="11"/>
  <c r="Q10" i="11"/>
  <c r="M10" i="11"/>
  <c r="G10" i="11"/>
  <c r="E10" i="11"/>
  <c r="N10" i="11"/>
  <c r="T10" i="11"/>
  <c r="AH10" i="11"/>
  <c r="AD10" i="11"/>
  <c r="V10" i="11"/>
  <c r="R10" i="11"/>
  <c r="I10" i="11"/>
  <c r="B10" i="11"/>
  <c r="AJ10" i="11"/>
  <c r="AF10" i="11"/>
  <c r="AB10" i="11"/>
  <c r="X10" i="11"/>
  <c r="P10" i="11"/>
  <c r="L10" i="11"/>
  <c r="D10" i="11"/>
  <c r="AI10" i="11"/>
  <c r="AE10" i="11"/>
  <c r="AA10" i="11"/>
  <c r="W10" i="11"/>
  <c r="S10" i="11"/>
  <c r="O10" i="11"/>
  <c r="J10" i="11"/>
  <c r="I27" i="35"/>
  <c r="AO68" i="35"/>
  <c r="AN25" i="107"/>
  <c r="H7" i="107"/>
  <c r="AJ17" i="11"/>
  <c r="O17" i="11"/>
  <c r="G15" i="12" s="1"/>
  <c r="AV10" i="95"/>
  <c r="K7" i="31"/>
  <c r="AY10" i="95"/>
  <c r="AU10" i="95"/>
  <c r="AV6" i="95"/>
  <c r="AM68" i="35"/>
  <c r="AN7" i="107"/>
  <c r="AN10" i="11" s="1"/>
  <c r="AX10" i="95"/>
  <c r="AT10" i="95"/>
  <c r="AZ10" i="95"/>
  <c r="AW13" i="35"/>
  <c r="AV13" i="35"/>
  <c r="AY13" i="35"/>
  <c r="AN13" i="35"/>
  <c r="AT13" i="35" s="1"/>
  <c r="AN11" i="7"/>
  <c r="AW11" i="7" s="1"/>
  <c r="R14" i="7"/>
  <c r="R45" i="7" s="1"/>
  <c r="AX13" i="35"/>
  <c r="AZ13" i="35"/>
  <c r="AU13" i="35"/>
  <c r="AZ6" i="95"/>
  <c r="AY6" i="95"/>
  <c r="AT6" i="95"/>
  <c r="AU6" i="95"/>
  <c r="AX6" i="95"/>
  <c r="AM6" i="95"/>
  <c r="AS6" i="95" s="1"/>
  <c r="AM10" i="95"/>
  <c r="AS10" i="95" s="1"/>
  <c r="AL11" i="7"/>
  <c r="AW6" i="7"/>
  <c r="AK11" i="7"/>
  <c r="AX8" i="7"/>
  <c r="AT8" i="7"/>
  <c r="AW8" i="7"/>
  <c r="AZ8" i="7"/>
  <c r="AV8" i="7"/>
  <c r="AY8" i="7"/>
  <c r="AP8" i="7"/>
  <c r="AO8" i="7"/>
  <c r="AM8" i="7"/>
  <c r="AN7" i="109"/>
  <c r="AW7" i="109" s="1"/>
  <c r="AL7" i="109"/>
  <c r="AK7" i="109"/>
  <c r="AM25" i="107" l="1"/>
  <c r="AN45" i="7"/>
  <c r="AO25" i="107"/>
  <c r="AM45" i="7"/>
  <c r="H10" i="11"/>
  <c r="AO10" i="11" s="1"/>
  <c r="AX10" i="11"/>
  <c r="AU10" i="11"/>
  <c r="AV10" i="11"/>
  <c r="AT10" i="11"/>
  <c r="AY10" i="11"/>
  <c r="AZ10" i="11"/>
  <c r="AW10" i="11"/>
  <c r="AN14" i="7"/>
  <c r="AY7" i="107"/>
  <c r="K7" i="107"/>
  <c r="AO23" i="11"/>
  <c r="AW25" i="107"/>
  <c r="AS6" i="7"/>
  <c r="AT11" i="7"/>
  <c r="AU11" i="7"/>
  <c r="AN68" i="35"/>
  <c r="AR68" i="35" s="1"/>
  <c r="AY6" i="7"/>
  <c r="AM11" i="7"/>
  <c r="AR11" i="7" s="1"/>
  <c r="AV6" i="7"/>
  <c r="AX7" i="107"/>
  <c r="AW7" i="107"/>
  <c r="AV7" i="107"/>
  <c r="AU7" i="107"/>
  <c r="AT7" i="107"/>
  <c r="AZ7" i="107"/>
  <c r="AZ11" i="7"/>
  <c r="AV11" i="7"/>
  <c r="AX11" i="7"/>
  <c r="AY11" i="7"/>
  <c r="AM7" i="107"/>
  <c r="AM10" i="11" s="1"/>
  <c r="AQ10" i="11" s="1"/>
  <c r="AS13" i="35"/>
  <c r="AR13" i="35"/>
  <c r="AU6" i="7"/>
  <c r="AX6" i="7"/>
  <c r="AR10" i="95"/>
  <c r="AQ10" i="95"/>
  <c r="AQ6" i="95"/>
  <c r="AR6" i="95"/>
  <c r="AZ6" i="7"/>
  <c r="AT6" i="7"/>
  <c r="AQ6" i="7"/>
  <c r="AQ8" i="7"/>
  <c r="AS8" i="7"/>
  <c r="AR8" i="7"/>
  <c r="AM7" i="109"/>
  <c r="AL14" i="109"/>
  <c r="AK14" i="109"/>
  <c r="AN14" i="109"/>
  <c r="AW14" i="109" s="1"/>
  <c r="AP10" i="11" l="1"/>
  <c r="K10" i="11"/>
  <c r="AS10" i="11"/>
  <c r="AR10" i="11"/>
  <c r="AR7" i="107"/>
  <c r="J19" i="12"/>
  <c r="AR6" i="7"/>
  <c r="AS45" i="7"/>
  <c r="AS11" i="7"/>
  <c r="AQ11" i="7"/>
  <c r="AQ45" i="7"/>
  <c r="AT45" i="7"/>
  <c r="AS7" i="107"/>
  <c r="AS23" i="11"/>
  <c r="AR23" i="11"/>
  <c r="AQ7" i="107"/>
  <c r="K14" i="7"/>
  <c r="K45" i="7" s="1"/>
  <c r="AM14" i="109"/>
  <c r="AR45" i="7" l="1"/>
  <c r="AZ45" i="7"/>
  <c r="AV45" i="7"/>
  <c r="AW45" i="7"/>
  <c r="AY45" i="7"/>
  <c r="AU45" i="7"/>
  <c r="AX45" i="7"/>
  <c r="AO11" i="7"/>
  <c r="AP11" i="7"/>
  <c r="AP6" i="7"/>
  <c r="AO6" i="7"/>
  <c r="AP45" i="7" l="1"/>
  <c r="AO45" i="7"/>
  <c r="AL14" i="7"/>
  <c r="AM14" i="7" s="1"/>
  <c r="AS14" i="7" l="1"/>
  <c r="AU14" i="7"/>
  <c r="AY14" i="7"/>
  <c r="AV14" i="7"/>
  <c r="AZ14" i="7"/>
  <c r="AW14" i="7"/>
  <c r="AT14" i="7"/>
  <c r="AX14" i="7"/>
  <c r="AN8" i="95"/>
  <c r="AW8" i="95" s="1"/>
  <c r="AW11" i="95"/>
  <c r="AW12" i="95"/>
  <c r="AL8" i="95"/>
  <c r="AK8" i="95"/>
  <c r="AR14" i="7" l="1"/>
  <c r="AQ14" i="7"/>
  <c r="AM8" i="95"/>
  <c r="D7" i="11" l="1"/>
  <c r="D7" i="12" s="1"/>
  <c r="E7" i="11"/>
  <c r="F7" i="11"/>
  <c r="G7" i="11"/>
  <c r="I7" i="11"/>
  <c r="J7" i="11"/>
  <c r="L7" i="11"/>
  <c r="M7" i="11"/>
  <c r="N7" i="11"/>
  <c r="O7" i="11"/>
  <c r="G7" i="12" s="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C7" i="11"/>
  <c r="B7" i="11"/>
  <c r="C7" i="12" s="1"/>
  <c r="C8" i="11"/>
  <c r="D8" i="11"/>
  <c r="E8" i="11"/>
  <c r="G8" i="11"/>
  <c r="J8" i="11"/>
  <c r="O8" i="11"/>
  <c r="G6" i="12" s="1"/>
  <c r="P8" i="11"/>
  <c r="T8" i="11"/>
  <c r="U8" i="11"/>
  <c r="AA8" i="11"/>
  <c r="AE8" i="11"/>
  <c r="AF8" i="11"/>
  <c r="B8" i="11"/>
  <c r="C6" i="12" s="1"/>
  <c r="I8" i="11"/>
  <c r="L8" i="11"/>
  <c r="N8" i="11"/>
  <c r="Q8" i="11"/>
  <c r="R8" i="11"/>
  <c r="V8" i="11"/>
  <c r="Z8" i="11"/>
  <c r="AB8" i="11"/>
  <c r="AD8" i="11"/>
  <c r="AG8" i="11"/>
  <c r="AH8" i="11"/>
  <c r="F8" i="11"/>
  <c r="C17" i="11"/>
  <c r="D17" i="11"/>
  <c r="D15" i="12" s="1"/>
  <c r="E17" i="11"/>
  <c r="E15" i="12" s="1"/>
  <c r="F17" i="11"/>
  <c r="G17" i="11"/>
  <c r="I17" i="11"/>
  <c r="J17" i="11"/>
  <c r="L17" i="11"/>
  <c r="M17" i="11"/>
  <c r="N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K17" i="11"/>
  <c r="AL17" i="11"/>
  <c r="AN17" i="11"/>
  <c r="H15" i="12" s="1"/>
  <c r="B17" i="11"/>
  <c r="C15" i="12" s="1"/>
  <c r="U15" i="11"/>
  <c r="B15" i="11"/>
  <c r="C13" i="12" s="1"/>
  <c r="E9" i="95"/>
  <c r="D9" i="95"/>
  <c r="D30" i="95" s="1"/>
  <c r="I15" i="11"/>
  <c r="L15" i="11"/>
  <c r="M15" i="11"/>
  <c r="N15" i="11"/>
  <c r="T15" i="11"/>
  <c r="V15" i="11"/>
  <c r="X15" i="11"/>
  <c r="Y15" i="11"/>
  <c r="Z15" i="11"/>
  <c r="AB15" i="11"/>
  <c r="AC15" i="11"/>
  <c r="AF15" i="11"/>
  <c r="AH15" i="11"/>
  <c r="F15" i="11"/>
  <c r="F27" i="35"/>
  <c r="E26" i="11" l="1"/>
  <c r="E7" i="12"/>
  <c r="D24" i="11"/>
  <c r="E6" i="12"/>
  <c r="D6" i="12"/>
  <c r="AW17" i="11"/>
  <c r="AJ15" i="11"/>
  <c r="AE15" i="11"/>
  <c r="P15" i="11"/>
  <c r="G15" i="11"/>
  <c r="D15" i="11"/>
  <c r="D13" i="12" s="1"/>
  <c r="S15" i="11"/>
  <c r="AA15" i="11"/>
  <c r="C15" i="11"/>
  <c r="E15" i="11"/>
  <c r="E13" i="12" s="1"/>
  <c r="O15" i="11"/>
  <c r="G13" i="12" s="1"/>
  <c r="AC8" i="11"/>
  <c r="M8" i="11"/>
  <c r="AI15" i="11"/>
  <c r="W15" i="11"/>
  <c r="AD15" i="11"/>
  <c r="AX27" i="35"/>
  <c r="R15" i="11"/>
  <c r="J15" i="11"/>
  <c r="X8" i="11"/>
  <c r="AJ8" i="11"/>
  <c r="Y8" i="11"/>
  <c r="AI8" i="11"/>
  <c r="S8" i="11"/>
  <c r="AG15" i="11"/>
  <c r="Q15" i="11"/>
  <c r="W8" i="11"/>
  <c r="AZ17" i="11"/>
  <c r="AV17" i="11"/>
  <c r="AX17" i="11"/>
  <c r="AT17" i="11"/>
  <c r="AY17" i="11"/>
  <c r="AU17" i="11"/>
  <c r="AM17" i="11"/>
  <c r="I15" i="12" s="1"/>
  <c r="D10" i="7"/>
  <c r="D45" i="7" s="1"/>
  <c r="L14" i="11"/>
  <c r="J14" i="11"/>
  <c r="I14" i="11"/>
  <c r="G14" i="11"/>
  <c r="E14" i="11"/>
  <c r="D14" i="11"/>
  <c r="D12" i="12" s="1"/>
  <c r="C14" i="11"/>
  <c r="B14" i="11"/>
  <c r="M14" i="11"/>
  <c r="N14" i="11"/>
  <c r="S14" i="11"/>
  <c r="T14" i="11"/>
  <c r="V14" i="11"/>
  <c r="W14" i="11"/>
  <c r="Y14" i="11"/>
  <c r="Z14" i="11"/>
  <c r="AB14" i="11"/>
  <c r="AC14" i="11"/>
  <c r="AE14" i="11"/>
  <c r="AF14" i="11"/>
  <c r="AH14" i="11"/>
  <c r="AI14" i="11"/>
  <c r="E24" i="12" l="1"/>
  <c r="E33" i="12" s="1"/>
  <c r="E35" i="11"/>
  <c r="D22" i="12"/>
  <c r="G24" i="11"/>
  <c r="C12" i="12"/>
  <c r="C22" i="12" s="1"/>
  <c r="B24" i="11"/>
  <c r="E12" i="12"/>
  <c r="E22" i="12" s="1"/>
  <c r="E24" i="11"/>
  <c r="AG14" i="11"/>
  <c r="AQ29" i="1"/>
  <c r="Q14" i="11"/>
  <c r="AS27" i="35"/>
  <c r="F14" i="11"/>
  <c r="F24" i="11" s="1"/>
  <c r="AW27" i="35"/>
  <c r="AX68" i="35"/>
  <c r="AA14" i="11"/>
  <c r="O14" i="11"/>
  <c r="BA27" i="35"/>
  <c r="AY27" i="35"/>
  <c r="U14" i="11"/>
  <c r="AJ14" i="11"/>
  <c r="X14" i="11"/>
  <c r="P14" i="11"/>
  <c r="AZ27" i="35"/>
  <c r="AD14" i="11"/>
  <c r="AW29" i="1"/>
  <c r="R14" i="11"/>
  <c r="AV27" i="35"/>
  <c r="AU27" i="35"/>
  <c r="AQ17" i="11"/>
  <c r="AS17" i="11"/>
  <c r="AR17" i="11"/>
  <c r="J16" i="12"/>
  <c r="G12" i="12" l="1"/>
  <c r="AR20" i="11"/>
  <c r="AT68" i="35"/>
  <c r="AV68" i="35"/>
  <c r="AZ68" i="35"/>
  <c r="BA68" i="35"/>
  <c r="AU68" i="35"/>
  <c r="AW68" i="35"/>
  <c r="AY68" i="35"/>
  <c r="AV21" i="11"/>
  <c r="AW21" i="11"/>
  <c r="AW20" i="11"/>
  <c r="AU20" i="11"/>
  <c r="AY20" i="11"/>
  <c r="AT20" i="11"/>
  <c r="AX20" i="11"/>
  <c r="AZ20" i="11"/>
  <c r="AV20" i="11"/>
  <c r="AU21" i="11"/>
  <c r="AT21" i="11"/>
  <c r="AX21" i="11"/>
  <c r="AZ21" i="11"/>
  <c r="AY21" i="11"/>
  <c r="AZ29" i="1"/>
  <c r="AT29" i="1"/>
  <c r="AU29" i="1"/>
  <c r="AV29" i="1"/>
  <c r="AT27" i="35"/>
  <c r="AN14" i="11"/>
  <c r="AU14" i="11" s="1"/>
  <c r="AM14" i="11"/>
  <c r="I12" i="12" s="1"/>
  <c r="AK14" i="11"/>
  <c r="AR27" i="35"/>
  <c r="AY29" i="1"/>
  <c r="AX29" i="1"/>
  <c r="AL14" i="11"/>
  <c r="AQ21" i="11"/>
  <c r="AS21" i="11"/>
  <c r="AR21" i="11"/>
  <c r="K16" i="12"/>
  <c r="AS20" i="11" l="1"/>
  <c r="AQ23" i="11"/>
  <c r="K19" i="12"/>
  <c r="AY23" i="11"/>
  <c r="AZ23" i="11"/>
  <c r="AX23" i="11"/>
  <c r="AU23" i="11"/>
  <c r="AV23" i="11"/>
  <c r="AW23" i="11"/>
  <c r="AT23" i="11"/>
  <c r="AP23" i="11"/>
  <c r="AQ20" i="11"/>
  <c r="AS68" i="35"/>
  <c r="AW14" i="11"/>
  <c r="AR14" i="11"/>
  <c r="AS14" i="11"/>
  <c r="AS29" i="1"/>
  <c r="AZ14" i="11"/>
  <c r="AV14" i="11"/>
  <c r="AR29" i="1"/>
  <c r="H12" i="12"/>
  <c r="AQ14" i="11"/>
  <c r="AX14" i="11"/>
  <c r="AY14" i="11"/>
  <c r="AT14" i="11"/>
  <c r="AZ12" i="95"/>
  <c r="AO12" i="95"/>
  <c r="AO10" i="95" l="1"/>
  <c r="AP10" i="95"/>
  <c r="AO11" i="95"/>
  <c r="AX12" i="95"/>
  <c r="AP12" i="95"/>
  <c r="AR12" i="95"/>
  <c r="AZ11" i="95"/>
  <c r="AP11" i="95"/>
  <c r="AU12" i="95"/>
  <c r="AV12" i="95"/>
  <c r="AY12" i="95"/>
  <c r="AT12" i="95"/>
  <c r="AU11" i="95"/>
  <c r="AY11" i="95"/>
  <c r="AV11" i="95"/>
  <c r="AX11" i="95"/>
  <c r="AT11" i="95"/>
  <c r="AP21" i="11" l="1"/>
  <c r="AS12" i="95"/>
  <c r="AQ12" i="95"/>
  <c r="AQ11" i="95"/>
  <c r="AO21" i="11" l="1"/>
  <c r="J18" i="12"/>
  <c r="AS11" i="95"/>
  <c r="AR11" i="95"/>
  <c r="K18" i="12" l="1"/>
  <c r="AN9" i="7"/>
  <c r="AN12" i="7"/>
  <c r="AL12" i="7"/>
  <c r="AK12" i="7"/>
  <c r="AT12" i="7" l="1"/>
  <c r="AX12" i="7"/>
  <c r="AU12" i="7"/>
  <c r="AY12" i="7"/>
  <c r="AV12" i="7"/>
  <c r="AZ12" i="7"/>
  <c r="AW12" i="7"/>
  <c r="AV9" i="7"/>
  <c r="AZ9" i="7"/>
  <c r="AW9" i="7"/>
  <c r="AT9" i="7"/>
  <c r="AX9" i="7"/>
  <c r="AU9" i="7"/>
  <c r="AY9" i="7"/>
  <c r="AO14" i="7"/>
  <c r="AP14" i="7"/>
  <c r="H17" i="11"/>
  <c r="F15" i="12" s="1"/>
  <c r="AM12" i="7"/>
  <c r="AQ12" i="7" s="1"/>
  <c r="AP12" i="7"/>
  <c r="K17" i="11"/>
  <c r="AO12" i="7"/>
  <c r="AS12" i="7" l="1"/>
  <c r="AR12" i="7"/>
  <c r="AO17" i="11"/>
  <c r="AP17" i="11"/>
  <c r="J15" i="12" l="1"/>
  <c r="K15" i="12"/>
  <c r="AN8" i="11" l="1"/>
  <c r="H6" i="12" l="1"/>
  <c r="AW8" i="11"/>
  <c r="AU8" i="11"/>
  <c r="AT8" i="11"/>
  <c r="AY8" i="11"/>
  <c r="AV8" i="11"/>
  <c r="AZ8" i="11"/>
  <c r="AX8" i="11"/>
  <c r="AP20" i="11"/>
  <c r="AO20" i="11"/>
  <c r="AN23" i="1" l="1"/>
  <c r="AL23" i="1"/>
  <c r="AZ23" i="1" l="1"/>
  <c r="AW23" i="1"/>
  <c r="AM23" i="1"/>
  <c r="AR23" i="1" s="1"/>
  <c r="AU23" i="1"/>
  <c r="AY23" i="1"/>
  <c r="AO23" i="1"/>
  <c r="AP23" i="1"/>
  <c r="AT23" i="1"/>
  <c r="AX23" i="1"/>
  <c r="AV23" i="1"/>
  <c r="H14" i="11" l="1"/>
  <c r="K14" i="11"/>
  <c r="AS23" i="1"/>
  <c r="AQ23" i="1"/>
  <c r="F12" i="12" l="1"/>
  <c r="AP29" i="1"/>
  <c r="AO29" i="1"/>
  <c r="AP14" i="11"/>
  <c r="AO14" i="11"/>
  <c r="J12" i="12" l="1"/>
  <c r="K12" i="12"/>
  <c r="AZ14" i="109"/>
  <c r="AL8" i="11"/>
  <c r="AK8" i="11"/>
  <c r="AZ7" i="109"/>
  <c r="AN12" i="1"/>
  <c r="AL12" i="1"/>
  <c r="AK12" i="1"/>
  <c r="AN6" i="107"/>
  <c r="AL6" i="107"/>
  <c r="AK6" i="107"/>
  <c r="E10" i="7"/>
  <c r="E45" i="7" s="1"/>
  <c r="AL9" i="7"/>
  <c r="AK9" i="7"/>
  <c r="AN7" i="7"/>
  <c r="AL7" i="7"/>
  <c r="AK7" i="7"/>
  <c r="AO12" i="35"/>
  <c r="AX12" i="35" s="1"/>
  <c r="AM12" i="35"/>
  <c r="AL7" i="11" s="1"/>
  <c r="AL12" i="35"/>
  <c r="AK7" i="11" s="1"/>
  <c r="AO8" i="95"/>
  <c r="AN7" i="95"/>
  <c r="AL7" i="95"/>
  <c r="AK7" i="95"/>
  <c r="AJ7" i="31"/>
  <c r="AI7" i="31"/>
  <c r="AH7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B7" i="31"/>
  <c r="AR6" i="31"/>
  <c r="AO6" i="31"/>
  <c r="I23" i="36"/>
  <c r="J23" i="36"/>
  <c r="L23" i="36"/>
  <c r="M23" i="36"/>
  <c r="N23" i="36"/>
  <c r="O23" i="36"/>
  <c r="P23" i="36"/>
  <c r="Q23" i="36"/>
  <c r="R23" i="36"/>
  <c r="S23" i="36"/>
  <c r="T23" i="36"/>
  <c r="U23" i="36"/>
  <c r="V23" i="36"/>
  <c r="W23" i="36"/>
  <c r="X23" i="36"/>
  <c r="Y23" i="36"/>
  <c r="Z23" i="36"/>
  <c r="AA23" i="36"/>
  <c r="AB23" i="36"/>
  <c r="AC23" i="36"/>
  <c r="AD23" i="36"/>
  <c r="AE23" i="36"/>
  <c r="AF23" i="36"/>
  <c r="AG23" i="36"/>
  <c r="AH23" i="36"/>
  <c r="AI23" i="36"/>
  <c r="AJ23" i="36"/>
  <c r="AO22" i="31" l="1"/>
  <c r="AI34" i="36"/>
  <c r="AI30" i="11" s="1"/>
  <c r="AI35" i="11" s="1"/>
  <c r="AI19" i="11"/>
  <c r="AI24" i="11" s="1"/>
  <c r="AE34" i="36"/>
  <c r="AE30" i="11" s="1"/>
  <c r="AE35" i="11" s="1"/>
  <c r="AE19" i="11"/>
  <c r="AE24" i="11" s="1"/>
  <c r="AA34" i="36"/>
  <c r="AA30" i="11" s="1"/>
  <c r="AA35" i="11" s="1"/>
  <c r="AA19" i="11"/>
  <c r="W34" i="36"/>
  <c r="W30" i="11" s="1"/>
  <c r="W35" i="11" s="1"/>
  <c r="W19" i="11"/>
  <c r="W24" i="11" s="1"/>
  <c r="S34" i="36"/>
  <c r="S30" i="11" s="1"/>
  <c r="S35" i="11" s="1"/>
  <c r="S19" i="11"/>
  <c r="S24" i="11" s="1"/>
  <c r="O34" i="36"/>
  <c r="AO54" i="36" s="1"/>
  <c r="O19" i="11"/>
  <c r="J34" i="36"/>
  <c r="J30" i="11" s="1"/>
  <c r="J35" i="11" s="1"/>
  <c r="J19" i="11"/>
  <c r="J24" i="11" s="1"/>
  <c r="AG34" i="36"/>
  <c r="AG30" i="11" s="1"/>
  <c r="AG35" i="11" s="1"/>
  <c r="AG19" i="11"/>
  <c r="AC34" i="36"/>
  <c r="AC30" i="11" s="1"/>
  <c r="AC35" i="11" s="1"/>
  <c r="AC19" i="11"/>
  <c r="AC24" i="11" s="1"/>
  <c r="Y34" i="36"/>
  <c r="Y30" i="11" s="1"/>
  <c r="Y35" i="11" s="1"/>
  <c r="Y19" i="11"/>
  <c r="Y24" i="11" s="1"/>
  <c r="U34" i="36"/>
  <c r="U30" i="11" s="1"/>
  <c r="U35" i="11" s="1"/>
  <c r="U19" i="11"/>
  <c r="Q34" i="36"/>
  <c r="Q30" i="11" s="1"/>
  <c r="Q35" i="11" s="1"/>
  <c r="Q19" i="11"/>
  <c r="Q24" i="11" s="1"/>
  <c r="M34" i="36"/>
  <c r="M30" i="11" s="1"/>
  <c r="M35" i="11" s="1"/>
  <c r="M19" i="11"/>
  <c r="M24" i="11" s="1"/>
  <c r="AJ34" i="36"/>
  <c r="AJ30" i="11" s="1"/>
  <c r="AJ35" i="11" s="1"/>
  <c r="AJ19" i="11"/>
  <c r="AF34" i="36"/>
  <c r="AF30" i="11" s="1"/>
  <c r="AF35" i="11" s="1"/>
  <c r="AF19" i="11"/>
  <c r="AF24" i="11" s="1"/>
  <c r="AB34" i="36"/>
  <c r="AB30" i="11" s="1"/>
  <c r="AB35" i="11" s="1"/>
  <c r="AB19" i="11"/>
  <c r="AB24" i="11" s="1"/>
  <c r="X34" i="36"/>
  <c r="X30" i="11" s="1"/>
  <c r="X35" i="11" s="1"/>
  <c r="X19" i="11"/>
  <c r="T34" i="36"/>
  <c r="T30" i="11" s="1"/>
  <c r="T35" i="11" s="1"/>
  <c r="T19" i="11"/>
  <c r="T24" i="11" s="1"/>
  <c r="P34" i="36"/>
  <c r="P30" i="11" s="1"/>
  <c r="P35" i="11" s="1"/>
  <c r="P19" i="11"/>
  <c r="P24" i="11" s="1"/>
  <c r="L34" i="36"/>
  <c r="L30" i="11" s="1"/>
  <c r="L35" i="11" s="1"/>
  <c r="L19" i="11"/>
  <c r="L24" i="11" s="1"/>
  <c r="AH34" i="36"/>
  <c r="AH30" i="11" s="1"/>
  <c r="AH35" i="11" s="1"/>
  <c r="AH19" i="11"/>
  <c r="AH24" i="11" s="1"/>
  <c r="AD34" i="36"/>
  <c r="AD30" i="11" s="1"/>
  <c r="AD35" i="11" s="1"/>
  <c r="AD19" i="11"/>
  <c r="Z34" i="36"/>
  <c r="Z30" i="11" s="1"/>
  <c r="Z35" i="11" s="1"/>
  <c r="Z19" i="11"/>
  <c r="Z24" i="11" s="1"/>
  <c r="V34" i="36"/>
  <c r="V30" i="11" s="1"/>
  <c r="V35" i="11" s="1"/>
  <c r="V19" i="11"/>
  <c r="V24" i="11" s="1"/>
  <c r="R34" i="36"/>
  <c r="R30" i="11" s="1"/>
  <c r="R35" i="11" s="1"/>
  <c r="R19" i="11"/>
  <c r="N34" i="36"/>
  <c r="N30" i="11" s="1"/>
  <c r="N35" i="11" s="1"/>
  <c r="N19" i="11"/>
  <c r="N24" i="11" s="1"/>
  <c r="I19" i="11"/>
  <c r="I24" i="11" s="1"/>
  <c r="AV6" i="31"/>
  <c r="AW6" i="31"/>
  <c r="BA14" i="35"/>
  <c r="AX14" i="35"/>
  <c r="BA16" i="35"/>
  <c r="AX16" i="35"/>
  <c r="AZ7" i="95"/>
  <c r="AW7" i="95"/>
  <c r="H9" i="95"/>
  <c r="AO6" i="95"/>
  <c r="AP6" i="95"/>
  <c r="AP13" i="35"/>
  <c r="AQ13" i="35"/>
  <c r="AT7" i="7"/>
  <c r="AX7" i="7"/>
  <c r="AU7" i="7"/>
  <c r="AY7" i="7"/>
  <c r="AV7" i="7"/>
  <c r="AZ7" i="7"/>
  <c r="AW7" i="7"/>
  <c r="AZ6" i="107"/>
  <c r="AW6" i="107"/>
  <c r="AO6" i="107"/>
  <c r="AZ12" i="1"/>
  <c r="AW12" i="1"/>
  <c r="B12" i="11"/>
  <c r="C10" i="12" s="1"/>
  <c r="AL7" i="31"/>
  <c r="C12" i="11"/>
  <c r="AK9" i="95"/>
  <c r="AK12" i="11" s="1"/>
  <c r="AN10" i="7"/>
  <c r="C24" i="11"/>
  <c r="C11" i="11"/>
  <c r="AN7" i="31"/>
  <c r="AZ7" i="31" s="1"/>
  <c r="AL9" i="95"/>
  <c r="AL12" i="11" s="1"/>
  <c r="AK7" i="31"/>
  <c r="AN9" i="95"/>
  <c r="AW9" i="95" s="1"/>
  <c r="T9" i="11"/>
  <c r="BA12" i="35"/>
  <c r="AN7" i="11"/>
  <c r="AW7" i="11" s="1"/>
  <c r="AN23" i="36"/>
  <c r="AO7" i="95"/>
  <c r="AR8" i="95"/>
  <c r="V11" i="11"/>
  <c r="J12" i="11"/>
  <c r="W12" i="11"/>
  <c r="AE12" i="11"/>
  <c r="E11" i="11"/>
  <c r="E9" i="12" s="1"/>
  <c r="J11" i="11"/>
  <c r="O11" i="11"/>
  <c r="G9" i="12" s="1"/>
  <c r="S11" i="11"/>
  <c r="W11" i="11"/>
  <c r="AA11" i="11"/>
  <c r="AE11" i="11"/>
  <c r="AI11" i="11"/>
  <c r="F12" i="11"/>
  <c r="L12" i="11"/>
  <c r="P12" i="11"/>
  <c r="T12" i="11"/>
  <c r="X12" i="11"/>
  <c r="AB12" i="11"/>
  <c r="AF12" i="11"/>
  <c r="AJ12" i="11"/>
  <c r="I11" i="11"/>
  <c r="R11" i="11"/>
  <c r="AH11" i="11"/>
  <c r="AX8" i="95"/>
  <c r="AP8" i="95"/>
  <c r="O12" i="11"/>
  <c r="G10" i="12" s="1"/>
  <c r="AA12" i="11"/>
  <c r="F11" i="11"/>
  <c r="P11" i="11"/>
  <c r="T11" i="11"/>
  <c r="AB11" i="11"/>
  <c r="AF11" i="11"/>
  <c r="AJ11" i="11"/>
  <c r="G12" i="11"/>
  <c r="M12" i="11"/>
  <c r="Q12" i="11"/>
  <c r="U12" i="11"/>
  <c r="Y12" i="11"/>
  <c r="AC12" i="11"/>
  <c r="AG12" i="11"/>
  <c r="D11" i="11"/>
  <c r="D9" i="12" s="1"/>
  <c r="N11" i="11"/>
  <c r="Z11" i="11"/>
  <c r="AD11" i="11"/>
  <c r="E12" i="11"/>
  <c r="E10" i="12" s="1"/>
  <c r="S12" i="11"/>
  <c r="AI12" i="11"/>
  <c r="AL23" i="36"/>
  <c r="B11" i="11"/>
  <c r="C9" i="12" s="1"/>
  <c r="L11" i="11"/>
  <c r="X11" i="11"/>
  <c r="AK23" i="36"/>
  <c r="G11" i="11"/>
  <c r="M11" i="11"/>
  <c r="Q11" i="11"/>
  <c r="U11" i="11"/>
  <c r="Y11" i="11"/>
  <c r="AC11" i="11"/>
  <c r="AG11" i="11"/>
  <c r="D12" i="11"/>
  <c r="D10" i="12" s="1"/>
  <c r="I12" i="11"/>
  <c r="N12" i="11"/>
  <c r="R12" i="11"/>
  <c r="V12" i="11"/>
  <c r="Z12" i="11"/>
  <c r="AD12" i="11"/>
  <c r="AH12" i="11"/>
  <c r="C9" i="11"/>
  <c r="E9" i="11"/>
  <c r="G9" i="11"/>
  <c r="J9" i="11"/>
  <c r="M9" i="11"/>
  <c r="O9" i="11"/>
  <c r="G8" i="12" s="1"/>
  <c r="AL10" i="7"/>
  <c r="Q9" i="11"/>
  <c r="S9" i="11"/>
  <c r="U9" i="11"/>
  <c r="W9" i="11"/>
  <c r="Y9" i="11"/>
  <c r="AA9" i="11"/>
  <c r="AC9" i="11"/>
  <c r="AE9" i="11"/>
  <c r="AG9" i="11"/>
  <c r="AI9" i="11"/>
  <c r="B9" i="11"/>
  <c r="C8" i="12" s="1"/>
  <c r="D9" i="11"/>
  <c r="F9" i="11"/>
  <c r="I9" i="11"/>
  <c r="L9" i="11"/>
  <c r="N9" i="11"/>
  <c r="AK10" i="7"/>
  <c r="P9" i="11"/>
  <c r="R9" i="11"/>
  <c r="V9" i="11"/>
  <c r="X9" i="11"/>
  <c r="Z9" i="11"/>
  <c r="AB9" i="11"/>
  <c r="AD9" i="11"/>
  <c r="AF9" i="11"/>
  <c r="AH9" i="11"/>
  <c r="AJ9" i="11"/>
  <c r="AQ16" i="35"/>
  <c r="AU16" i="35"/>
  <c r="AZ16" i="35"/>
  <c r="AV16" i="35"/>
  <c r="AY16" i="35"/>
  <c r="AT16" i="35"/>
  <c r="AP14" i="35"/>
  <c r="AZ12" i="35"/>
  <c r="AU12" i="35"/>
  <c r="AU14" i="109"/>
  <c r="AY14" i="109"/>
  <c r="J6" i="11"/>
  <c r="F6" i="11"/>
  <c r="I6" i="11"/>
  <c r="N6" i="11"/>
  <c r="E6" i="11"/>
  <c r="AU7" i="109"/>
  <c r="AY7" i="109"/>
  <c r="AY12" i="1"/>
  <c r="AU12" i="1"/>
  <c r="M6" i="11"/>
  <c r="Q6" i="11"/>
  <c r="U6" i="11"/>
  <c r="Y6" i="11"/>
  <c r="AC6" i="11"/>
  <c r="AG6" i="11"/>
  <c r="R6" i="11"/>
  <c r="V6" i="11"/>
  <c r="Z6" i="11"/>
  <c r="AD6" i="11"/>
  <c r="AH6" i="11"/>
  <c r="O6" i="11"/>
  <c r="S6" i="11"/>
  <c r="W6" i="11"/>
  <c r="AA6" i="11"/>
  <c r="AE6" i="11"/>
  <c r="AI6" i="11"/>
  <c r="L6" i="11"/>
  <c r="P6" i="11"/>
  <c r="T6" i="11"/>
  <c r="X6" i="11"/>
  <c r="AB6" i="11"/>
  <c r="AF6" i="11"/>
  <c r="AJ6" i="11"/>
  <c r="B6" i="11"/>
  <c r="C6" i="11"/>
  <c r="G6" i="11"/>
  <c r="D6" i="11"/>
  <c r="AO12" i="1"/>
  <c r="AO7" i="109"/>
  <c r="AX6" i="107"/>
  <c r="AP6" i="107"/>
  <c r="AT6" i="107"/>
  <c r="AP9" i="7"/>
  <c r="AM9" i="7"/>
  <c r="AS9" i="7" s="1"/>
  <c r="AO7" i="7"/>
  <c r="AZ14" i="35"/>
  <c r="AV12" i="35"/>
  <c r="AK15" i="11"/>
  <c r="AN12" i="35"/>
  <c r="AV14" i="35"/>
  <c r="AY12" i="35"/>
  <c r="AU8" i="95"/>
  <c r="AT7" i="95"/>
  <c r="AP7" i="95"/>
  <c r="AX7" i="95"/>
  <c r="AY8" i="95"/>
  <c r="AS6" i="31"/>
  <c r="AP7" i="109"/>
  <c r="AT7" i="109"/>
  <c r="AX7" i="109"/>
  <c r="AT14" i="109"/>
  <c r="AX14" i="109"/>
  <c r="AR7" i="109"/>
  <c r="AV7" i="109"/>
  <c r="AV14" i="109"/>
  <c r="AP12" i="1"/>
  <c r="AT12" i="1"/>
  <c r="AX12" i="1"/>
  <c r="AM12" i="1"/>
  <c r="AV12" i="1"/>
  <c r="AM6" i="107"/>
  <c r="AS6" i="107" s="1"/>
  <c r="AU6" i="107"/>
  <c r="AY6" i="107"/>
  <c r="AV6" i="107"/>
  <c r="AP7" i="7"/>
  <c r="AM7" i="7"/>
  <c r="AO9" i="7"/>
  <c r="AW12" i="35"/>
  <c r="AQ14" i="35"/>
  <c r="AU14" i="35"/>
  <c r="AY14" i="35"/>
  <c r="AW16" i="35"/>
  <c r="AS14" i="35"/>
  <c r="AP16" i="35"/>
  <c r="AL15" i="11"/>
  <c r="AW14" i="35"/>
  <c r="AM7" i="95"/>
  <c r="AS7" i="95" s="1"/>
  <c r="AV8" i="95"/>
  <c r="AU7" i="95"/>
  <c r="AY7" i="95"/>
  <c r="AZ8" i="95"/>
  <c r="AV7" i="95"/>
  <c r="AT8" i="95"/>
  <c r="AY6" i="31"/>
  <c r="AU6" i="31"/>
  <c r="AZ6" i="31"/>
  <c r="AQ6" i="31"/>
  <c r="AX6" i="31"/>
  <c r="AT6" i="31"/>
  <c r="AP6" i="31"/>
  <c r="AN6" i="36"/>
  <c r="AW6" i="36" s="1"/>
  <c r="AL6" i="36"/>
  <c r="AK6" i="36"/>
  <c r="AK19" i="11" l="1"/>
  <c r="AL19" i="11"/>
  <c r="AN35" i="11"/>
  <c r="AY35" i="11" s="1"/>
  <c r="AL35" i="11"/>
  <c r="AO34" i="36"/>
  <c r="O30" i="11"/>
  <c r="AO38" i="36"/>
  <c r="AK35" i="11"/>
  <c r="AK38" i="36"/>
  <c r="AK41" i="11" s="1"/>
  <c r="AK24" i="11"/>
  <c r="AL34" i="36"/>
  <c r="AL30" i="11" s="1"/>
  <c r="R24" i="11"/>
  <c r="AD24" i="11"/>
  <c r="X24" i="11"/>
  <c r="G17" i="12"/>
  <c r="G22" i="12" s="1"/>
  <c r="AO19" i="11"/>
  <c r="O24" i="11"/>
  <c r="AN34" i="36"/>
  <c r="AJ24" i="11"/>
  <c r="AL24" i="11"/>
  <c r="AG24" i="11"/>
  <c r="AA24" i="11"/>
  <c r="AU23" i="36"/>
  <c r="AN19" i="11"/>
  <c r="AU19" i="11" s="1"/>
  <c r="U24" i="11"/>
  <c r="AK34" i="36"/>
  <c r="AJ13" i="11"/>
  <c r="AJ86" i="11" s="1"/>
  <c r="T13" i="11"/>
  <c r="T86" i="11" s="1"/>
  <c r="O13" i="11"/>
  <c r="Y13" i="11"/>
  <c r="Y86" i="11" s="1"/>
  <c r="P13" i="11"/>
  <c r="P86" i="11" s="1"/>
  <c r="AI13" i="11"/>
  <c r="AI86" i="11" s="1"/>
  <c r="AE13" i="11"/>
  <c r="AE86" i="11" s="1"/>
  <c r="V13" i="11"/>
  <c r="V86" i="11" s="1"/>
  <c r="AF13" i="11"/>
  <c r="AF86" i="11" s="1"/>
  <c r="U13" i="11"/>
  <c r="U86" i="11" s="1"/>
  <c r="G13" i="11"/>
  <c r="G86" i="11" s="1"/>
  <c r="AA13" i="11"/>
  <c r="AA86" i="11" s="1"/>
  <c r="R13" i="11"/>
  <c r="J13" i="11"/>
  <c r="J86" i="11" s="1"/>
  <c r="C13" i="11"/>
  <c r="C86" i="11" s="1"/>
  <c r="AB13" i="11"/>
  <c r="AB86" i="11" s="1"/>
  <c r="L13" i="11"/>
  <c r="L86" i="11" s="1"/>
  <c r="W13" i="11"/>
  <c r="W86" i="11" s="1"/>
  <c r="AD13" i="11"/>
  <c r="AD86" i="11" s="1"/>
  <c r="AG13" i="11"/>
  <c r="AG86" i="11" s="1"/>
  <c r="Q13" i="11"/>
  <c r="Q86" i="11" s="1"/>
  <c r="N13" i="11"/>
  <c r="N86" i="11" s="1"/>
  <c r="AH13" i="11"/>
  <c r="AH86" i="11" s="1"/>
  <c r="X13" i="11"/>
  <c r="X86" i="11" s="1"/>
  <c r="S13" i="11"/>
  <c r="S86" i="11" s="1"/>
  <c r="Z13" i="11"/>
  <c r="Z86" i="11" s="1"/>
  <c r="AC13" i="11"/>
  <c r="AC86" i="11" s="1"/>
  <c r="M13" i="11"/>
  <c r="M86" i="11" s="1"/>
  <c r="I13" i="11"/>
  <c r="I86" i="11" s="1"/>
  <c r="AO148" i="1"/>
  <c r="AL6" i="11"/>
  <c r="AK6" i="11"/>
  <c r="AO30" i="95"/>
  <c r="AW10" i="7"/>
  <c r="AK9" i="11"/>
  <c r="AX30" i="95"/>
  <c r="AZ30" i="95"/>
  <c r="AW30" i="95"/>
  <c r="AV30" i="95"/>
  <c r="AT30" i="95"/>
  <c r="AY30" i="95"/>
  <c r="AU30" i="95"/>
  <c r="AO7" i="107"/>
  <c r="AP7" i="107"/>
  <c r="AW7" i="31"/>
  <c r="AX7" i="31"/>
  <c r="AU7" i="31"/>
  <c r="AV7" i="31"/>
  <c r="AT7" i="31"/>
  <c r="AY7" i="31"/>
  <c r="L27" i="35"/>
  <c r="L68" i="35" s="1"/>
  <c r="AT23" i="36"/>
  <c r="AW23" i="36"/>
  <c r="D8" i="12"/>
  <c r="E8" i="12"/>
  <c r="E5" i="12"/>
  <c r="AX22" i="31"/>
  <c r="AV22" i="31"/>
  <c r="AZ22" i="31"/>
  <c r="AW22" i="31"/>
  <c r="AT22" i="31"/>
  <c r="AY22" i="31"/>
  <c r="AU22" i="31"/>
  <c r="AY23" i="36"/>
  <c r="AZ23" i="36"/>
  <c r="AX23" i="36"/>
  <c r="AV23" i="36"/>
  <c r="AM23" i="36"/>
  <c r="K9" i="95"/>
  <c r="AX10" i="7"/>
  <c r="AU10" i="7"/>
  <c r="AV10" i="7"/>
  <c r="AT10" i="7"/>
  <c r="AY10" i="7"/>
  <c r="AZ10" i="7"/>
  <c r="AP27" i="35"/>
  <c r="AQ27" i="35"/>
  <c r="AQ148" i="1"/>
  <c r="AR30" i="95"/>
  <c r="AM9" i="95"/>
  <c r="AM7" i="31"/>
  <c r="AQ7" i="31" s="1"/>
  <c r="AQ6" i="107"/>
  <c r="AR25" i="107"/>
  <c r="AY25" i="107"/>
  <c r="H15" i="11"/>
  <c r="F13" i="12" s="1"/>
  <c r="F22" i="12" s="1"/>
  <c r="AN15" i="11"/>
  <c r="AT12" i="35"/>
  <c r="AM7" i="11"/>
  <c r="AQ7" i="11" s="1"/>
  <c r="H7" i="12"/>
  <c r="AZ7" i="11"/>
  <c r="AU7" i="11"/>
  <c r="AX7" i="11"/>
  <c r="AV7" i="11"/>
  <c r="AY7" i="11"/>
  <c r="AT7" i="11"/>
  <c r="AO9" i="95"/>
  <c r="AO7" i="31"/>
  <c r="AP7" i="31"/>
  <c r="H11" i="11"/>
  <c r="F9" i="12" s="1"/>
  <c r="J9" i="12" s="1"/>
  <c r="AW16" i="11"/>
  <c r="AR14" i="109"/>
  <c r="AM8" i="11"/>
  <c r="AP9" i="95"/>
  <c r="AQ7" i="95"/>
  <c r="H12" i="11"/>
  <c r="F10" i="12" s="1"/>
  <c r="J10" i="12" s="1"/>
  <c r="AV9" i="95"/>
  <c r="AN12" i="11"/>
  <c r="H10" i="12" s="1"/>
  <c r="AP10" i="7"/>
  <c r="H9" i="11"/>
  <c r="F8" i="12" s="1"/>
  <c r="J8" i="12" s="1"/>
  <c r="AO10" i="7"/>
  <c r="AL9" i="11"/>
  <c r="AQ9" i="7"/>
  <c r="AN9" i="11"/>
  <c r="H8" i="12" s="1"/>
  <c r="AR16" i="35"/>
  <c r="AS16" i="35"/>
  <c r="AR12" i="35"/>
  <c r="AN11" i="11"/>
  <c r="H9" i="12" s="1"/>
  <c r="AL11" i="11"/>
  <c r="AK11" i="11"/>
  <c r="AN6" i="11"/>
  <c r="AU6" i="11" s="1"/>
  <c r="G5" i="12"/>
  <c r="G11" i="12" s="1"/>
  <c r="D5" i="12"/>
  <c r="C5" i="12"/>
  <c r="H6" i="11"/>
  <c r="AM10" i="7"/>
  <c r="AR9" i="7"/>
  <c r="AY6" i="36"/>
  <c r="AR6" i="107"/>
  <c r="AS12" i="35"/>
  <c r="AS8" i="95"/>
  <c r="AQ8" i="95"/>
  <c r="AT9" i="95"/>
  <c r="AQ14" i="109"/>
  <c r="AS14" i="109"/>
  <c r="AS7" i="109"/>
  <c r="AQ7" i="109"/>
  <c r="AQ12" i="1"/>
  <c r="AS12" i="1"/>
  <c r="AR12" i="1"/>
  <c r="AS7" i="7"/>
  <c r="AQ7" i="7"/>
  <c r="AR7" i="7"/>
  <c r="AR14" i="35"/>
  <c r="AT14" i="35"/>
  <c r="AZ9" i="95"/>
  <c r="AX9" i="95"/>
  <c r="AY9" i="95"/>
  <c r="AR7" i="95"/>
  <c r="AU9" i="95"/>
  <c r="AM6" i="36"/>
  <c r="AQ6" i="36" s="1"/>
  <c r="AT6" i="36"/>
  <c r="AX6" i="36"/>
  <c r="AV6" i="36"/>
  <c r="AU6" i="36"/>
  <c r="AZ6" i="36"/>
  <c r="R86" i="11" l="1"/>
  <c r="AK54" i="36"/>
  <c r="AL54" i="36"/>
  <c r="AN54" i="36"/>
  <c r="AW54" i="36" s="1"/>
  <c r="AM19" i="11"/>
  <c r="I17" i="12" s="1"/>
  <c r="AL86" i="11"/>
  <c r="AK86" i="11"/>
  <c r="AU35" i="11"/>
  <c r="AM35" i="11"/>
  <c r="AR35" i="11" s="1"/>
  <c r="AW35" i="11"/>
  <c r="AX35" i="11"/>
  <c r="AV35" i="11"/>
  <c r="AT35" i="11"/>
  <c r="AL38" i="36"/>
  <c r="G28" i="12"/>
  <c r="O35" i="11"/>
  <c r="AO35" i="11" s="1"/>
  <c r="AO30" i="11"/>
  <c r="AN38" i="36"/>
  <c r="AZ35" i="11"/>
  <c r="AP35" i="11"/>
  <c r="AM34" i="36"/>
  <c r="AQ34" i="36" s="1"/>
  <c r="AK30" i="11"/>
  <c r="AY34" i="36"/>
  <c r="AN30" i="11"/>
  <c r="AW19" i="11"/>
  <c r="AV19" i="11"/>
  <c r="AW34" i="36"/>
  <c r="AN24" i="11"/>
  <c r="AT24" i="11" s="1"/>
  <c r="AZ34" i="36"/>
  <c r="AU34" i="36"/>
  <c r="AV34" i="36"/>
  <c r="AP34" i="36"/>
  <c r="AX34" i="36"/>
  <c r="H17" i="12"/>
  <c r="K17" i="12" s="1"/>
  <c r="AP19" i="11"/>
  <c r="AY19" i="11"/>
  <c r="AZ19" i="11"/>
  <c r="AT34" i="36"/>
  <c r="J22" i="12"/>
  <c r="J17" i="12"/>
  <c r="AX19" i="11"/>
  <c r="AT19" i="11"/>
  <c r="AM24" i="11"/>
  <c r="AR24" i="11" s="1"/>
  <c r="AW15" i="11"/>
  <c r="H13" i="12"/>
  <c r="AK13" i="11"/>
  <c r="AL13" i="11"/>
  <c r="AN13" i="11"/>
  <c r="AR148" i="1"/>
  <c r="AZ148" i="1"/>
  <c r="AW148" i="1"/>
  <c r="AU148" i="1"/>
  <c r="AX148" i="1"/>
  <c r="AV148" i="1"/>
  <c r="AY148" i="1"/>
  <c r="AT148" i="1"/>
  <c r="AS148" i="1"/>
  <c r="H24" i="11"/>
  <c r="AP30" i="95"/>
  <c r="AP68" i="35"/>
  <c r="AQ10" i="7"/>
  <c r="AS30" i="95"/>
  <c r="AQ30" i="95"/>
  <c r="K7" i="11"/>
  <c r="AO14" i="109"/>
  <c r="H7" i="11"/>
  <c r="AP12" i="35"/>
  <c r="AQ12" i="35"/>
  <c r="AW6" i="11"/>
  <c r="AW12" i="11"/>
  <c r="AW11" i="11"/>
  <c r="AW9" i="11"/>
  <c r="K9" i="12"/>
  <c r="AO11" i="11"/>
  <c r="AR7" i="31"/>
  <c r="AP14" i="109"/>
  <c r="K8" i="11"/>
  <c r="H8" i="11"/>
  <c r="AP8" i="11" s="1"/>
  <c r="AQ68" i="35"/>
  <c r="AM15" i="11"/>
  <c r="I7" i="12"/>
  <c r="AR7" i="11"/>
  <c r="AS7" i="11"/>
  <c r="AP15" i="11"/>
  <c r="AV15" i="11"/>
  <c r="AX15" i="11"/>
  <c r="AY15" i="11"/>
  <c r="AZ15" i="11"/>
  <c r="AT15" i="11"/>
  <c r="AU15" i="11"/>
  <c r="AO15" i="11"/>
  <c r="K15" i="11"/>
  <c r="K24" i="11" s="1"/>
  <c r="K10" i="12"/>
  <c r="AO16" i="11"/>
  <c r="K8" i="12"/>
  <c r="K9" i="11"/>
  <c r="K12" i="11"/>
  <c r="AS7" i="31"/>
  <c r="I6" i="12"/>
  <c r="AQ8" i="11"/>
  <c r="AS8" i="11"/>
  <c r="AR8" i="11"/>
  <c r="AP16" i="11"/>
  <c r="AX16" i="11"/>
  <c r="AZ16" i="11"/>
  <c r="AT16" i="11"/>
  <c r="AY16" i="11"/>
  <c r="AV16" i="11"/>
  <c r="AU16" i="11"/>
  <c r="AY6" i="11"/>
  <c r="K11" i="11"/>
  <c r="AO12" i="11"/>
  <c r="H5" i="12"/>
  <c r="AR10" i="7"/>
  <c r="AT6" i="11"/>
  <c r="AX6" i="11"/>
  <c r="AZ6" i="11"/>
  <c r="AP12" i="11"/>
  <c r="AY12" i="11"/>
  <c r="AU12" i="11"/>
  <c r="AX12" i="11"/>
  <c r="AT12" i="11"/>
  <c r="AZ12" i="11"/>
  <c r="AV12" i="11"/>
  <c r="AR9" i="95"/>
  <c r="AM12" i="11"/>
  <c r="I10" i="12" s="1"/>
  <c r="AO9" i="11"/>
  <c r="AS10" i="7"/>
  <c r="AM9" i="11"/>
  <c r="I8" i="12" s="1"/>
  <c r="AP9" i="11"/>
  <c r="AZ9" i="11"/>
  <c r="AX9" i="11"/>
  <c r="AY9" i="11"/>
  <c r="AV9" i="11"/>
  <c r="AT9" i="11"/>
  <c r="AU9" i="11"/>
  <c r="AM11" i="11"/>
  <c r="I9" i="12" s="1"/>
  <c r="AS22" i="31"/>
  <c r="AP11" i="11"/>
  <c r="AT11" i="11"/>
  <c r="AV11" i="11"/>
  <c r="AX11" i="11"/>
  <c r="AZ11" i="11"/>
  <c r="AU11" i="11"/>
  <c r="AY11" i="11"/>
  <c r="AV6" i="11"/>
  <c r="AR23" i="36"/>
  <c r="AS23" i="36"/>
  <c r="AQ23" i="36"/>
  <c r="K6" i="11"/>
  <c r="F5" i="12"/>
  <c r="AM6" i="11"/>
  <c r="AO6" i="11"/>
  <c r="AP6" i="11"/>
  <c r="AS25" i="107"/>
  <c r="AQ25" i="107"/>
  <c r="AP25" i="107"/>
  <c r="AZ25" i="107"/>
  <c r="AT25" i="107"/>
  <c r="AX25" i="107"/>
  <c r="AU25" i="107"/>
  <c r="AV25" i="107"/>
  <c r="AQ9" i="95"/>
  <c r="AS9" i="95"/>
  <c r="AP22" i="31"/>
  <c r="AS6" i="36"/>
  <c r="AR6" i="36"/>
  <c r="O86" i="11" l="1"/>
  <c r="AT54" i="36"/>
  <c r="AM54" i="36"/>
  <c r="AR54" i="36" s="1"/>
  <c r="AX54" i="36"/>
  <c r="AP54" i="36"/>
  <c r="AZ54" i="36"/>
  <c r="AU54" i="36"/>
  <c r="AV54" i="36"/>
  <c r="AY54" i="36"/>
  <c r="AS19" i="11"/>
  <c r="H22" i="12"/>
  <c r="AQ19" i="11"/>
  <c r="AR19" i="11"/>
  <c r="AS34" i="36"/>
  <c r="AM86" i="11"/>
  <c r="AN86" i="11"/>
  <c r="AW86" i="11" s="1"/>
  <c r="AS35" i="11"/>
  <c r="AT38" i="36"/>
  <c r="AN41" i="11"/>
  <c r="AM38" i="36"/>
  <c r="AL41" i="11"/>
  <c r="AQ35" i="11"/>
  <c r="AP38" i="36"/>
  <c r="AW38" i="36"/>
  <c r="G33" i="12"/>
  <c r="G84" i="12" s="1"/>
  <c r="J28" i="12"/>
  <c r="AZ38" i="36"/>
  <c r="AX38" i="36"/>
  <c r="AV38" i="36"/>
  <c r="AY38" i="36"/>
  <c r="AU38" i="36"/>
  <c r="AR34" i="36"/>
  <c r="AM30" i="11"/>
  <c r="AQ30" i="11" s="1"/>
  <c r="AW30" i="11"/>
  <c r="AZ30" i="11"/>
  <c r="H28" i="12"/>
  <c r="AY30" i="11"/>
  <c r="AT30" i="11"/>
  <c r="AV30" i="11"/>
  <c r="AU30" i="11"/>
  <c r="AX30" i="11"/>
  <c r="AP30" i="11"/>
  <c r="AZ24" i="11"/>
  <c r="AY24" i="11"/>
  <c r="AS24" i="11"/>
  <c r="AW24" i="11"/>
  <c r="AQ24" i="11"/>
  <c r="AU24" i="11"/>
  <c r="AV24" i="11"/>
  <c r="AX24" i="11"/>
  <c r="AM13" i="11"/>
  <c r="AQ15" i="11"/>
  <c r="I13" i="12"/>
  <c r="I22" i="12" s="1"/>
  <c r="H11" i="12"/>
  <c r="AW13" i="11"/>
  <c r="AO7" i="11"/>
  <c r="F7" i="12"/>
  <c r="AP7" i="11"/>
  <c r="J14" i="12"/>
  <c r="AO8" i="11"/>
  <c r="J13" i="12"/>
  <c r="F6" i="12"/>
  <c r="K14" i="12"/>
  <c r="AR15" i="11"/>
  <c r="AS15" i="11"/>
  <c r="K13" i="12"/>
  <c r="AO24" i="11"/>
  <c r="AP24" i="11"/>
  <c r="AR16" i="11"/>
  <c r="AS16" i="11"/>
  <c r="AQ16" i="11"/>
  <c r="AU13" i="11"/>
  <c r="AX13" i="11"/>
  <c r="AV13" i="11"/>
  <c r="AT13" i="11"/>
  <c r="AZ13" i="11"/>
  <c r="AY13" i="11"/>
  <c r="AS12" i="11"/>
  <c r="AR12" i="11"/>
  <c r="AQ12" i="11"/>
  <c r="AR9" i="11"/>
  <c r="AS9" i="11"/>
  <c r="AQ9" i="11"/>
  <c r="AQ22" i="31"/>
  <c r="AR22" i="31"/>
  <c r="AS11" i="11"/>
  <c r="AQ11" i="11"/>
  <c r="AR11" i="11"/>
  <c r="I5" i="12"/>
  <c r="I11" i="12" s="1"/>
  <c r="AS6" i="11"/>
  <c r="AR6" i="11"/>
  <c r="AQ6" i="11"/>
  <c r="AQ54" i="36" l="1"/>
  <c r="AS54" i="36"/>
  <c r="K22" i="12"/>
  <c r="AM41" i="11"/>
  <c r="AR41" i="11" s="1"/>
  <c r="AQ38" i="36"/>
  <c r="AP41" i="11"/>
  <c r="H39" i="12"/>
  <c r="AU41" i="11"/>
  <c r="AV41" i="11"/>
  <c r="AW41" i="11"/>
  <c r="AZ41" i="11"/>
  <c r="AX41" i="11"/>
  <c r="AT41" i="11"/>
  <c r="AY41" i="11"/>
  <c r="AR38" i="36"/>
  <c r="AS38" i="36"/>
  <c r="J33" i="12"/>
  <c r="AR30" i="11"/>
  <c r="K28" i="12"/>
  <c r="H33" i="12"/>
  <c r="I28" i="12"/>
  <c r="I33" i="12" s="1"/>
  <c r="AS30" i="11"/>
  <c r="J6" i="12"/>
  <c r="J7" i="12"/>
  <c r="K7" i="12"/>
  <c r="K6" i="12"/>
  <c r="AS86" i="11"/>
  <c r="AS13" i="11"/>
  <c r="AR13" i="11"/>
  <c r="AQ13" i="11"/>
  <c r="AU86" i="11"/>
  <c r="AV86" i="11"/>
  <c r="AX86" i="11"/>
  <c r="AT86" i="11"/>
  <c r="AY86" i="11"/>
  <c r="AZ86" i="11"/>
  <c r="I39" i="12" l="1"/>
  <c r="I44" i="12" s="1"/>
  <c r="I84" i="12" s="1"/>
  <c r="AQ41" i="11"/>
  <c r="AS41" i="11"/>
  <c r="K33" i="12"/>
  <c r="K39" i="12"/>
  <c r="H44" i="12"/>
  <c r="K44" i="12" s="1"/>
  <c r="AQ86" i="11"/>
  <c r="AR86" i="11"/>
  <c r="H84" i="12" l="1"/>
  <c r="D13" i="11"/>
  <c r="D86" i="11" s="1"/>
  <c r="E13" i="11"/>
  <c r="E86" i="11" s="1"/>
  <c r="B13" i="11" l="1"/>
  <c r="B86" i="11" s="1"/>
  <c r="F13" i="11"/>
  <c r="F86" i="11" s="1"/>
  <c r="C11" i="12"/>
  <c r="C84" i="12" s="1"/>
  <c r="D11" i="12" l="1"/>
  <c r="D84" i="12" s="1"/>
  <c r="E11" i="12"/>
  <c r="E84" i="12" s="1"/>
  <c r="AO23" i="36" l="1"/>
  <c r="AP23" i="36"/>
  <c r="AO6" i="36"/>
  <c r="AP6" i="36"/>
  <c r="H13" i="11" l="1"/>
  <c r="H86" i="11" s="1"/>
  <c r="F11" i="12"/>
  <c r="F84" i="12" s="1"/>
  <c r="J84" i="12" l="1"/>
  <c r="B13" i="98" s="1"/>
  <c r="K84" i="12"/>
  <c r="AO86" i="11"/>
  <c r="K13" i="11"/>
  <c r="K86" i="11" s="1"/>
  <c r="AO13" i="11"/>
  <c r="AP13" i="11"/>
  <c r="AP86" i="11" l="1"/>
  <c r="C13" i="98"/>
  <c r="J5" i="12"/>
  <c r="K5" i="12" l="1"/>
  <c r="J11" i="12" l="1"/>
  <c r="K11" i="12"/>
</calcChain>
</file>

<file path=xl/sharedStrings.xml><?xml version="1.0" encoding="utf-8"?>
<sst xmlns="http://schemas.openxmlformats.org/spreadsheetml/2006/main" count="1845" uniqueCount="313">
  <si>
    <t>FECHA</t>
  </si>
  <si>
    <t>CON FOCO</t>
  </si>
  <si>
    <t>TOTAL</t>
  </si>
  <si>
    <t>TOTAL PREDIOS</t>
  </si>
  <si>
    <t>PREDIOS</t>
  </si>
  <si>
    <t>INSPECCIONADAS</t>
  </si>
  <si>
    <t xml:space="preserve"> FOCO AEDES</t>
  </si>
  <si>
    <t>EVALUADAS</t>
  </si>
  <si>
    <t>Manzanos</t>
  </si>
  <si>
    <t>Final</t>
  </si>
  <si>
    <t>Inicio</t>
  </si>
  <si>
    <t>Vivienda</t>
  </si>
  <si>
    <t>T . Baldio</t>
  </si>
  <si>
    <t>Cerradas</t>
  </si>
  <si>
    <t>Renuentes</t>
  </si>
  <si>
    <t>Municipio</t>
  </si>
  <si>
    <t>N° 
Recipientes Inspeccionadas</t>
  </si>
  <si>
    <t>N° 
Recipientes Positivas</t>
  </si>
  <si>
    <t>N° 
Viviendas Inspeccionadas</t>
  </si>
  <si>
    <t>N° 
Viviendas Positivas</t>
  </si>
  <si>
    <t>Indice 
de Viviendas</t>
  </si>
  <si>
    <t>enero</t>
  </si>
  <si>
    <t>febrero</t>
  </si>
  <si>
    <t>Villa Serrano</t>
  </si>
  <si>
    <t>Monteagudo</t>
  </si>
  <si>
    <t>Huacareta</t>
  </si>
  <si>
    <t>marzo</t>
  </si>
  <si>
    <t>abril</t>
  </si>
  <si>
    <t>mayo</t>
  </si>
  <si>
    <t>junio</t>
  </si>
  <si>
    <t>julio</t>
  </si>
  <si>
    <t>B</t>
  </si>
  <si>
    <t>C</t>
  </si>
  <si>
    <t>E</t>
  </si>
  <si>
    <t>A1</t>
  </si>
  <si>
    <t>A2</t>
  </si>
  <si>
    <t>D1</t>
  </si>
  <si>
    <t>D2</t>
  </si>
  <si>
    <t>Total</t>
  </si>
  <si>
    <t>agosto</t>
  </si>
  <si>
    <t>Marzo</t>
  </si>
  <si>
    <t>Mayo</t>
  </si>
  <si>
    <t>Junio</t>
  </si>
  <si>
    <t>Julio</t>
  </si>
  <si>
    <t>Enero</t>
  </si>
  <si>
    <t>Febrero</t>
  </si>
  <si>
    <t>Establecimiento</t>
  </si>
  <si>
    <t xml:space="preserve">Barrio / 
Comunidad                                                         </t>
  </si>
  <si>
    <t>C.S. San Pablo de Huacareta</t>
  </si>
  <si>
    <t>Padilla</t>
  </si>
  <si>
    <t>Sucre</t>
  </si>
  <si>
    <t>Indice 
de Bretau</t>
  </si>
  <si>
    <t>Fuente: Estadistica programa ETV</t>
  </si>
  <si>
    <t>Agosto</t>
  </si>
  <si>
    <t>Septiembre</t>
  </si>
  <si>
    <t>Noviembre</t>
  </si>
  <si>
    <t>Grupo D
Depositos para Eliminacion</t>
  </si>
  <si>
    <t>Grupo B
Depositos de Transporte de Agua Moviles</t>
  </si>
  <si>
    <t>Grupo C
Depositos Fijos de Almacenamiento de Agua</t>
  </si>
  <si>
    <t>Grupo E
Depositos Naturales</t>
  </si>
  <si>
    <t>Grupo A
Depositos de Almacenamiento 
de Gran Volumen</t>
  </si>
  <si>
    <t>Diciembre</t>
  </si>
  <si>
    <t>Total Enero</t>
  </si>
  <si>
    <t>Comunidad</t>
  </si>
  <si>
    <t>Abril</t>
  </si>
  <si>
    <t xml:space="preserve">Octubre </t>
  </si>
  <si>
    <t>Total febrero</t>
  </si>
  <si>
    <t>Indice Infestacion Vivienda</t>
  </si>
  <si>
    <t>BUENO</t>
  </si>
  <si>
    <t>Indice
 Brerau</t>
  </si>
  <si>
    <t>INDICADORES ENTOMOLOGICOS</t>
  </si>
  <si>
    <t>VIVIENDAS</t>
  </si>
  <si>
    <t>FECHA EJECUCION</t>
  </si>
  <si>
    <t>Conclucion</t>
  </si>
  <si>
    <t>Nivel de Riesgo Operativo</t>
  </si>
  <si>
    <t>Fuente: Estadistica Area Control ETV - SEDES Chuquisaca</t>
  </si>
  <si>
    <t>Habitantaes protegidos</t>
  </si>
  <si>
    <t>S</t>
  </si>
  <si>
    <t>A</t>
  </si>
  <si>
    <t>POSITIVOS 
(+)</t>
  </si>
  <si>
    <t xml:space="preserve">Indice por tipo de  recipiente B </t>
  </si>
  <si>
    <t>Indice por tipo de recipiente C</t>
  </si>
  <si>
    <t>Indice por tipo de recipiente D2</t>
  </si>
  <si>
    <t>Indice por tipo de recipiente E</t>
  </si>
  <si>
    <t>Total 
Recipinetes 
Secos</t>
  </si>
  <si>
    <t>Total 
Recipinetes 
Agua</t>
  </si>
  <si>
    <t>Total 
Recipinetes</t>
  </si>
  <si>
    <t>Total 
Recipinetes 
Positivos (+)</t>
  </si>
  <si>
    <t>Indice por tipo de recipiente A2</t>
  </si>
  <si>
    <t>INDICADORES DE ENTOMOLOGICOS - TIPO RECIPIENTE</t>
  </si>
  <si>
    <t>indicadores</t>
  </si>
  <si>
    <t>Entomologico</t>
  </si>
  <si>
    <t>Recipiente</t>
  </si>
  <si>
    <t>% 
Indice de Infestacion</t>
  </si>
  <si>
    <t>% 
Indice Bretau</t>
  </si>
  <si>
    <t>% 
Recipientes secos</t>
  </si>
  <si>
    <t>% 
Recipientes con agua</t>
  </si>
  <si>
    <t>Indice por tipo de recipiente A1</t>
  </si>
  <si>
    <t>% 
Indice Recipiente</t>
  </si>
  <si>
    <t>Total Febrero</t>
  </si>
  <si>
    <t xml:space="preserve">Establecimiento                                                         </t>
  </si>
  <si>
    <t>Barrio / Comunidad</t>
  </si>
  <si>
    <t>C.S. Muyupampa</t>
  </si>
  <si>
    <t>Total Marzo</t>
  </si>
  <si>
    <t>VillaVacaguzman</t>
  </si>
  <si>
    <t>Machareti</t>
  </si>
  <si>
    <t>Villa Vacaguzman</t>
  </si>
  <si>
    <t>C.S. Machareti</t>
  </si>
  <si>
    <t>Indicadores</t>
  </si>
  <si>
    <t xml:space="preserve"> A1</t>
  </si>
  <si>
    <t xml:space="preserve"> A2</t>
  </si>
  <si>
    <t xml:space="preserve">B </t>
  </si>
  <si>
    <t xml:space="preserve"> C</t>
  </si>
  <si>
    <t>ALARMA</t>
  </si>
  <si>
    <t>Otro</t>
  </si>
  <si>
    <t>% Recipientes Secos</t>
  </si>
  <si>
    <t>% Recipientes con Agua</t>
  </si>
  <si>
    <t>EMERGENCIA</t>
  </si>
  <si>
    <t>% Indice de Infestacion</t>
  </si>
  <si>
    <t>% Indice Bretau</t>
  </si>
  <si>
    <t>C.S. La Palma</t>
  </si>
  <si>
    <t>C.S. Surima</t>
  </si>
  <si>
    <t>Comunidad Surima</t>
  </si>
  <si>
    <t>Comunidad Bella Vista</t>
  </si>
  <si>
    <t>C.S. Tiguipa Estacion</t>
  </si>
  <si>
    <t>Comunidad Tiguipa Estacion</t>
  </si>
  <si>
    <t>Junta Vecinal Bolivar</t>
  </si>
  <si>
    <t>Junta Vecinal 29 de Octubre</t>
  </si>
  <si>
    <t>Comunidad San Jose</t>
  </si>
  <si>
    <t>Junta Villa Victoria</t>
  </si>
  <si>
    <t>Barrio Universitario</t>
  </si>
  <si>
    <t>Barrio San Jose</t>
  </si>
  <si>
    <t>Barrio Central</t>
  </si>
  <si>
    <t>Barrio German Bush</t>
  </si>
  <si>
    <t>Barrio Santa Cruz</t>
  </si>
  <si>
    <t>Comunidad Media Luna</t>
  </si>
  <si>
    <t>Comunidad Paredon</t>
  </si>
  <si>
    <t>Comunidad Peras Pampa</t>
  </si>
  <si>
    <t>Comunidad La Palma</t>
  </si>
  <si>
    <t>C.S. Villa Serrano</t>
  </si>
  <si>
    <t>Huacaya</t>
  </si>
  <si>
    <t>Muyupampa</t>
  </si>
  <si>
    <t>Comunidad Tati</t>
  </si>
  <si>
    <t>Barrio Concepcion</t>
  </si>
  <si>
    <t>Barrio 21 de Septiembre</t>
  </si>
  <si>
    <t>Hosp. Padilla</t>
  </si>
  <si>
    <t>Barrio La Hoyada</t>
  </si>
  <si>
    <t>Barrio 24 de Mayo</t>
  </si>
  <si>
    <t>Comunidad Mojotoro</t>
  </si>
  <si>
    <t>Comunidad Limon Pampa</t>
  </si>
  <si>
    <t>Comunidad Sotani</t>
  </si>
  <si>
    <t>Comunidad Sacramento</t>
  </si>
  <si>
    <t>Comunidad Chaupi Molino</t>
  </si>
  <si>
    <t>Comunidad Tiguipa Pueblo</t>
  </si>
  <si>
    <t>Zona Centro</t>
  </si>
  <si>
    <t>P.S. Tiguipa Pueblo</t>
  </si>
  <si>
    <t>Yamparaez</t>
  </si>
  <si>
    <t>Comunidad Ivo</t>
  </si>
  <si>
    <t>C.S. Ivo</t>
  </si>
  <si>
    <t>Comunidad Santa Rosa</t>
  </si>
  <si>
    <t>Comunidad Chaquito</t>
  </si>
  <si>
    <t>Comunidad San Luis</t>
  </si>
  <si>
    <t>Comunidad Mosoj Llajta</t>
  </si>
  <si>
    <t>Comunidad Chacarilla</t>
  </si>
  <si>
    <t>Barrio El Paraiso</t>
  </si>
  <si>
    <t>Barrio La Tablada</t>
  </si>
  <si>
    <t>Barrio 1 de Mayo</t>
  </si>
  <si>
    <t>C.S Santa Rosa</t>
  </si>
  <si>
    <t xml:space="preserve">Barrio San Jose </t>
  </si>
  <si>
    <t xml:space="preserve">P.S. Tentami </t>
  </si>
  <si>
    <t>Comunidad Tentami</t>
  </si>
  <si>
    <t>Junta Mariscal Sucre</t>
  </si>
  <si>
    <t xml:space="preserve">Barrio San Juan </t>
  </si>
  <si>
    <t>ENCUESTA DE LARVARIA DE AEDES AEGYPTI POR COMUNIDAD - BARRIOS DE  YAMPARAEZ  GESTION 2025</t>
  </si>
  <si>
    <r>
      <t xml:space="preserve">ENCUESTA DE LARVARIA DE AEDES AEGYPTI POR COMUNIDAD - BARRIOS DE </t>
    </r>
    <r>
      <rPr>
        <b/>
        <sz val="18"/>
        <color rgb="FFFF0000"/>
        <rFont val="Arial Rounded MT Bold"/>
        <family val="2"/>
      </rPr>
      <t>MACHARETI</t>
    </r>
    <r>
      <rPr>
        <b/>
        <sz val="18"/>
        <rFont val="Arial Rounded MT Bold"/>
        <family val="2"/>
      </rPr>
      <t xml:space="preserve"> GESTION 2025</t>
    </r>
  </si>
  <si>
    <r>
      <t xml:space="preserve">ENCUESTA DE LARVARIA DE AEDES AEGYPTI POR COMUNIDAD - BARRIOS DE </t>
    </r>
    <r>
      <rPr>
        <b/>
        <sz val="18"/>
        <color rgb="FFFF0000"/>
        <rFont val="Arial Rounded MT Bold"/>
        <family val="2"/>
      </rPr>
      <t>MONTEAGUDO</t>
    </r>
    <r>
      <rPr>
        <b/>
        <sz val="18"/>
        <rFont val="Arial Rounded MT Bold"/>
        <family val="2"/>
      </rPr>
      <t xml:space="preserve"> GESTION 2025</t>
    </r>
  </si>
  <si>
    <r>
      <t xml:space="preserve">ENCUESTA DE LARVARIA DE AEDES AEGYPTI POR COMUNIDAD - BARRIOS DE  </t>
    </r>
    <r>
      <rPr>
        <b/>
        <sz val="18"/>
        <color rgb="FFFF0000"/>
        <rFont val="Arial Rounded MT Bold"/>
        <family val="2"/>
      </rPr>
      <t>HUACAYA</t>
    </r>
    <r>
      <rPr>
        <b/>
        <sz val="18"/>
        <rFont val="Arial Rounded MT Bold"/>
        <family val="2"/>
      </rPr>
      <t xml:space="preserve">  GESTION 2025</t>
    </r>
  </si>
  <si>
    <t>ç</t>
  </si>
  <si>
    <r>
      <t xml:space="preserve">ENCUESTA DE LARVARIA DE AEDES AEGYPTI POR COMUNIDAD - BARRIOS DE  </t>
    </r>
    <r>
      <rPr>
        <b/>
        <sz val="18"/>
        <color rgb="FFFF0000"/>
        <rFont val="Arial Rounded MT Bold"/>
        <family val="2"/>
      </rPr>
      <t>HUACARETA</t>
    </r>
    <r>
      <rPr>
        <b/>
        <sz val="18"/>
        <rFont val="Arial Rounded MT Bold"/>
        <family val="2"/>
      </rPr>
      <t xml:space="preserve">  GESTION 2025</t>
    </r>
  </si>
  <si>
    <r>
      <t xml:space="preserve">ENCUESTA DE LARVARIA DE AEDES AEGYPTI POR COMUNIDAD - BARRIOS DE  </t>
    </r>
    <r>
      <rPr>
        <b/>
        <sz val="18"/>
        <color rgb="FFFF0000"/>
        <rFont val="Arial Rounded MT Bold"/>
        <family val="2"/>
      </rPr>
      <t>VILLA VACAGUZMAN</t>
    </r>
    <r>
      <rPr>
        <b/>
        <sz val="18"/>
        <rFont val="Arial Rounded MT Bold"/>
        <family val="2"/>
      </rPr>
      <t xml:space="preserve">  GESTION 2025</t>
    </r>
  </si>
  <si>
    <r>
      <t xml:space="preserve">ENCUESTA DE LARVARIA DE AEDES AEGYPTI POR COMUNIDAD - BARRIOS DE  </t>
    </r>
    <r>
      <rPr>
        <b/>
        <sz val="18"/>
        <color rgb="FFFF0000"/>
        <rFont val="Arial Rounded MT Bold"/>
        <family val="2"/>
      </rPr>
      <t>PADILLA</t>
    </r>
    <r>
      <rPr>
        <b/>
        <sz val="18"/>
        <rFont val="Arial Rounded MT Bold"/>
        <family val="2"/>
      </rPr>
      <t xml:space="preserve">  GESTION 2025</t>
    </r>
  </si>
  <si>
    <r>
      <t xml:space="preserve">ENCUESTA DE LARVARIA DE AEDES AEGYPTI POR COMUNIDAD - BARRIOS DE  </t>
    </r>
    <r>
      <rPr>
        <b/>
        <sz val="18"/>
        <color rgb="FFFF0000"/>
        <rFont val="Arial Rounded MT Bold"/>
        <family val="2"/>
      </rPr>
      <t>SUCRE</t>
    </r>
    <r>
      <rPr>
        <b/>
        <sz val="18"/>
        <rFont val="Arial Rounded MT Bold"/>
        <family val="2"/>
      </rPr>
      <t xml:space="preserve">  GESTION 2025</t>
    </r>
  </si>
  <si>
    <r>
      <t xml:space="preserve">ENCUESTA DE LARVARIA DE AEDES AEGYPTI POR COMUNIDAD - BARRIOS DE  </t>
    </r>
    <r>
      <rPr>
        <b/>
        <sz val="18"/>
        <color rgb="FFFF0000"/>
        <rFont val="Arial Rounded MT Bold"/>
        <family val="2"/>
      </rPr>
      <t>VILLA SERRANO</t>
    </r>
    <r>
      <rPr>
        <b/>
        <sz val="18"/>
        <rFont val="Arial Rounded MT Bold"/>
        <family val="2"/>
      </rPr>
      <t xml:space="preserve">  GESTION 2025</t>
    </r>
  </si>
  <si>
    <t>ENCUESTA DE LARVARIA DE AEDES AEGYPTI POR MUNICIPIO DEPARTAMENTO DE CHUQUISACA GESTION 2025</t>
  </si>
  <si>
    <t>Comunidad Sotomayor</t>
  </si>
  <si>
    <t>Comunidad Marapampa</t>
  </si>
  <si>
    <t>Comunidad Catana</t>
  </si>
  <si>
    <t>Barrio Los Pinos</t>
  </si>
  <si>
    <t>Barrio Lagunillitas</t>
  </si>
  <si>
    <t>04/02025</t>
  </si>
  <si>
    <t>C.S. Cumandayti</t>
  </si>
  <si>
    <t>Comunidad Cumandaiti</t>
  </si>
  <si>
    <t>Comunidad Karatindy</t>
  </si>
  <si>
    <t>Comunidad Monte Grande</t>
  </si>
  <si>
    <t>C.S. San Leonilo</t>
  </si>
  <si>
    <t>Comunidad Iguembe</t>
  </si>
  <si>
    <t>P.S. Carandayti</t>
  </si>
  <si>
    <t>Comunidad Carandayti</t>
  </si>
  <si>
    <t>P.S. Camatini</t>
  </si>
  <si>
    <t>Comunidad Camatindi</t>
  </si>
  <si>
    <t>C.S. Huacaya</t>
  </si>
  <si>
    <t>Juanta Villa Maria</t>
  </si>
  <si>
    <t>Juanta Ruth Sensano</t>
  </si>
  <si>
    <t>ENCUESTA DE LARVARIA DE AEDES AEGYPTI POR COMUNIDAD - BARRIOS DE  EL VILLAR GESTION 2025</t>
  </si>
  <si>
    <t>Comunidad Villar Pampa</t>
  </si>
  <si>
    <t>Zona Norte</t>
  </si>
  <si>
    <t>C.S, El Chaco</t>
  </si>
  <si>
    <t>Comunida El Chaco</t>
  </si>
  <si>
    <t>Comunidad Teja huasi</t>
  </si>
  <si>
    <t>C.S. El Villar</t>
  </si>
  <si>
    <t>Barrio Virgen del Carmen</t>
  </si>
  <si>
    <t>Barrio Sinay</t>
  </si>
  <si>
    <t>C.S. Sotomayor</t>
  </si>
  <si>
    <t>El Villar</t>
  </si>
  <si>
    <r>
      <t xml:space="preserve">CUADRO DE ENCUESTA LARVARIA E INDICADORES ENTOMOLOGICOS DE AEDES AEGYPTI
DPTO. CHUQUISACA </t>
    </r>
    <r>
      <rPr>
        <b/>
        <sz val="16"/>
        <color rgb="FFFF0000"/>
        <rFont val="Times New Roman"/>
        <family val="1"/>
      </rPr>
      <t>2025</t>
    </r>
  </si>
  <si>
    <t>C.S. Candua</t>
  </si>
  <si>
    <t>Comunidad Huacaya</t>
  </si>
  <si>
    <t>Barrio Villar</t>
  </si>
  <si>
    <t>Barrio Virgen Del Carmen</t>
  </si>
  <si>
    <t>Comunidad Cañadillas</t>
  </si>
  <si>
    <t>Comunidad Pucahuasi</t>
  </si>
  <si>
    <t>Barrio Jose Barbero</t>
  </si>
  <si>
    <t>P.S. Camatindi</t>
  </si>
  <si>
    <t>Junta Simon Bolívar</t>
  </si>
  <si>
    <t>Junta San Isidro</t>
  </si>
  <si>
    <t>Junta Azurduy</t>
  </si>
  <si>
    <t>Comunidad Tapial</t>
  </si>
  <si>
    <t>C.S. Chuqui  Chuqui</t>
  </si>
  <si>
    <t>Comunidad Kikijana</t>
  </si>
  <si>
    <t>Comunidad Mojtulo</t>
  </si>
  <si>
    <t>Comunidad Naranjos</t>
  </si>
  <si>
    <t>Comunidad Naranjos 1</t>
  </si>
  <si>
    <t>Comunidad Chuqui Chuqui</t>
  </si>
  <si>
    <t xml:space="preserve">Comunidad El Tunal </t>
  </si>
  <si>
    <t>Comunidad Villcalata</t>
  </si>
  <si>
    <t xml:space="preserve">Comunidad Angostura </t>
  </si>
  <si>
    <t>Comunidad Compuerta</t>
  </si>
  <si>
    <t>Hosp. Villa Serrano</t>
  </si>
  <si>
    <t>C.S. Jatun Ckacka</t>
  </si>
  <si>
    <t>Comunidad Jatun Ckacka</t>
  </si>
  <si>
    <t>Comunidad Tihuacana</t>
  </si>
  <si>
    <t>Comunidad Kota</t>
  </si>
  <si>
    <t xml:space="preserve">Comunidad Potreros </t>
  </si>
  <si>
    <t>Comunidad La Mendoza</t>
  </si>
  <si>
    <t>2803/2025</t>
  </si>
  <si>
    <t xml:space="preserve">Barrio Jose Barbero </t>
  </si>
  <si>
    <t>Hosp. Monteagudo</t>
  </si>
  <si>
    <t>Candua</t>
  </si>
  <si>
    <t>C.S. Machareti Santa Isabel</t>
  </si>
  <si>
    <t>C.S. Karatindi</t>
  </si>
  <si>
    <t>Comunidad Pucawasi</t>
  </si>
  <si>
    <t>Barrio Los Naranjos</t>
  </si>
  <si>
    <t>Comunidad Divisadero</t>
  </si>
  <si>
    <t>Comunidad Zapallar</t>
  </si>
  <si>
    <t>Total Abril</t>
  </si>
  <si>
    <t>Comunidad San Jose de Mollo</t>
  </si>
  <si>
    <t>Comunidad San Antonio</t>
  </si>
  <si>
    <t>Comunidad Escana</t>
  </si>
  <si>
    <t>Comunidad Era Pampa</t>
  </si>
  <si>
    <t>Comunidad Sauce Pampa</t>
  </si>
  <si>
    <t>CS Mbororigua</t>
  </si>
  <si>
    <t>Comunidad Mbororigua</t>
  </si>
  <si>
    <t>Comunidad Villa Mercedes</t>
  </si>
  <si>
    <t>Comunidad Mandiyuti</t>
  </si>
  <si>
    <t xml:space="preserve">Total Marzo </t>
  </si>
  <si>
    <t>CS Muyupampa</t>
  </si>
  <si>
    <t>Comunidad Estacion Machareti</t>
  </si>
  <si>
    <t>Junta San Juan</t>
  </si>
  <si>
    <t>Barrio 16 de Febrero</t>
  </si>
  <si>
    <t>C.S. Dermatologico</t>
  </si>
  <si>
    <t>Comunidad Valle Hermoso</t>
  </si>
  <si>
    <t>C.S. Escana</t>
  </si>
  <si>
    <t>Junta Buen Retiro</t>
  </si>
  <si>
    <t>ENCUESTA DE LARVARIA DE AEDES AEGYPTI POR COMUNIDAD - BARRIOS DE  CAMARGO  GESTION 2025</t>
  </si>
  <si>
    <t>05/052025</t>
  </si>
  <si>
    <t>Total Mayo</t>
  </si>
  <si>
    <t>Barrio El Recreo</t>
  </si>
  <si>
    <t>Camargo</t>
  </si>
  <si>
    <t>Hosp. San Juan de Dios Camargo</t>
  </si>
  <si>
    <t>Octubre</t>
  </si>
  <si>
    <t>% 
Indice de 
Infestacion</t>
  </si>
  <si>
    <t>% 
Indice 
Bretau</t>
  </si>
  <si>
    <t>Barrio 1º de Mayo</t>
  </si>
  <si>
    <t>03/062025</t>
  </si>
  <si>
    <t>Barrio Algarrobal</t>
  </si>
  <si>
    <t>Barrio Paraiso</t>
  </si>
  <si>
    <t>El Paraiso</t>
  </si>
  <si>
    <t>Total Junio</t>
  </si>
  <si>
    <t>Total Julio</t>
  </si>
  <si>
    <t>Total Agosto</t>
  </si>
  <si>
    <t>Total Septiembre</t>
  </si>
  <si>
    <t>Total Octubre</t>
  </si>
  <si>
    <t>CS la Palma</t>
  </si>
  <si>
    <t>CS el Chaco</t>
  </si>
  <si>
    <t>Indice por tipo de recipiente D1</t>
  </si>
  <si>
    <t>Total Noviembre</t>
  </si>
  <si>
    <t>Junta Urkupiña</t>
  </si>
  <si>
    <t>Zona Sur</t>
  </si>
  <si>
    <t xml:space="preserve">Comunidad Uruguay </t>
  </si>
  <si>
    <t>Comunidad Ñacamiri</t>
  </si>
  <si>
    <t>Comunidad Añinbo</t>
  </si>
  <si>
    <t>C.S. Añimbo</t>
  </si>
  <si>
    <t>C.S. Uruguay</t>
  </si>
  <si>
    <t>C.S. Ñacamiri</t>
  </si>
  <si>
    <t>Comunidad Mboicovo</t>
  </si>
  <si>
    <t>Total Diciembre</t>
  </si>
  <si>
    <t>23/12/25025</t>
  </si>
  <si>
    <t>ºº</t>
  </si>
  <si>
    <t>P.S. Mbororigua</t>
  </si>
  <si>
    <t>C.S Santa Rosa de Cuevo</t>
  </si>
  <si>
    <t>C.S. El Chaco</t>
  </si>
  <si>
    <t>Comunidad El Chaco</t>
  </si>
  <si>
    <t>Total Dieciembre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</si>
</sst>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dd/mm/yyyy;@"/>
    <numFmt numFmtId="166" formatCode="d/mm/yyyy;@"/>
    <numFmt numFmtId="167" formatCode="dd\.mm\.yy;@"/>
  </numFmts>
  <fonts count="47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2"/>
      <name val="Arial Narrow"/>
      <family val="2"/>
    </font>
    <font>
      <sz val="10"/>
      <name val="Arial Narrow"/>
      <family val="2"/>
    </font>
    <font>
      <sz val="14"/>
      <name val="Arial"/>
      <family val="2"/>
    </font>
    <font>
      <b/>
      <sz val="18"/>
      <name val="Arial Rounded MT Bold"/>
      <family val="2"/>
    </font>
    <font>
      <b/>
      <sz val="18"/>
      <color rgb="FFFF0000"/>
      <name val="Arial Rounded MT Bold"/>
      <family val="2"/>
    </font>
    <font>
      <b/>
      <sz val="12"/>
      <name val="Arial Narrow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9"/>
      <color indexed="8"/>
      <name val="Arial"/>
      <family val="2"/>
    </font>
    <font>
      <b/>
      <sz val="9"/>
      <color indexed="12"/>
      <name val="Arial"/>
      <family val="2"/>
    </font>
    <font>
      <b/>
      <sz val="9"/>
      <color indexed="10"/>
      <name val="Arial"/>
      <family val="2"/>
    </font>
    <font>
      <b/>
      <sz val="10"/>
      <color indexed="8"/>
      <name val="Arial Unicode MS"/>
      <family val="2"/>
    </font>
    <font>
      <sz val="12"/>
      <color indexed="8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Times New Roman"/>
      <family val="1"/>
    </font>
    <font>
      <b/>
      <sz val="9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4"/>
      <color rgb="FFFF000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2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 Narrow"/>
      <family val="2"/>
    </font>
    <font>
      <b/>
      <sz val="16"/>
      <name val="Times New Roman"/>
      <family val="1"/>
    </font>
    <font>
      <b/>
      <sz val="16"/>
      <color rgb="FFFF0000"/>
      <name val="Times New Roman"/>
      <family val="1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5" fillId="0" borderId="0" applyFont="0" applyFill="0" applyBorder="0" applyAlignment="0" applyProtection="0"/>
  </cellStyleXfs>
  <cellXfs count="446">
    <xf numFmtId="0" fontId="0" fillId="0" borderId="0" xfId="0"/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0" fillId="0" borderId="0" xfId="0" applyNumberFormat="1"/>
    <xf numFmtId="0" fontId="7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9" fillId="0" borderId="4" xfId="0" applyFont="1" applyBorder="1"/>
    <xf numFmtId="0" fontId="9" fillId="0" borderId="0" xfId="0" applyFont="1"/>
    <xf numFmtId="0" fontId="6" fillId="0" borderId="0" xfId="0" applyFont="1"/>
    <xf numFmtId="0" fontId="6" fillId="4" borderId="1" xfId="0" applyFont="1" applyFill="1" applyBorder="1" applyAlignment="1">
      <alignment horizontal="center" vertical="center" textRotation="90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19" fillId="3" borderId="3" xfId="0" applyNumberFormat="1" applyFont="1" applyFill="1" applyBorder="1" applyAlignment="1">
      <alignment horizontal="center" vertical="center" wrapText="1"/>
    </xf>
    <xf numFmtId="1" fontId="20" fillId="3" borderId="3" xfId="0" applyNumberFormat="1" applyFont="1" applyFill="1" applyBorder="1" applyAlignment="1">
      <alignment horizontal="center" vertical="center" wrapText="1"/>
    </xf>
    <xf numFmtId="1" fontId="21" fillId="3" borderId="3" xfId="0" applyNumberFormat="1" applyFont="1" applyFill="1" applyBorder="1" applyAlignment="1">
      <alignment horizontal="center" vertical="center" wrapText="1"/>
    </xf>
    <xf numFmtId="164" fontId="21" fillId="7" borderId="3" xfId="0" applyNumberFormat="1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1" fontId="22" fillId="5" borderId="1" xfId="0" applyNumberFormat="1" applyFont="1" applyFill="1" applyBorder="1" applyAlignment="1">
      <alignment horizontal="center" vertical="center" wrapText="1"/>
    </xf>
    <xf numFmtId="1" fontId="23" fillId="5" borderId="1" xfId="0" applyNumberFormat="1" applyFont="1" applyFill="1" applyBorder="1" applyAlignment="1">
      <alignment horizontal="center" vertical="center" wrapText="1"/>
    </xf>
    <xf numFmtId="164" fontId="24" fillId="5" borderId="1" xfId="0" applyNumberFormat="1" applyFont="1" applyFill="1" applyBorder="1" applyAlignment="1">
      <alignment horizontal="center" vertical="center"/>
    </xf>
    <xf numFmtId="0" fontId="25" fillId="0" borderId="3" xfId="0" applyFont="1" applyBorder="1" applyAlignment="1">
      <alignment horizontal="left" vertical="center" wrapText="1"/>
    </xf>
    <xf numFmtId="0" fontId="21" fillId="0" borderId="0" xfId="0" applyFont="1" applyAlignment="1">
      <alignment vertical="center"/>
    </xf>
    <xf numFmtId="0" fontId="25" fillId="0" borderId="1" xfId="0" applyFont="1" applyBorder="1" applyAlignment="1">
      <alignment horizontal="left" vertical="center" wrapText="1"/>
    </xf>
    <xf numFmtId="0" fontId="25" fillId="3" borderId="1" xfId="0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1" fontId="24" fillId="5" borderId="1" xfId="0" applyNumberFormat="1" applyFont="1" applyFill="1" applyBorder="1" applyAlignment="1">
      <alignment horizontal="center" vertical="center"/>
    </xf>
    <xf numFmtId="1" fontId="23" fillId="5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3" fillId="4" borderId="1" xfId="0" applyFont="1" applyFill="1" applyBorder="1" applyAlignment="1">
      <alignment horizontal="center" vertical="center" textRotation="90" wrapText="1"/>
    </xf>
    <xf numFmtId="2" fontId="0" fillId="0" borderId="0" xfId="0" applyNumberFormat="1"/>
    <xf numFmtId="2" fontId="9" fillId="0" borderId="0" xfId="0" applyNumberFormat="1" applyFont="1"/>
    <xf numFmtId="2" fontId="10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2" fontId="28" fillId="11" borderId="2" xfId="0" applyNumberFormat="1" applyFont="1" applyFill="1" applyBorder="1" applyAlignment="1">
      <alignment horizontal="center" vertical="center" textRotation="90" wrapText="1"/>
    </xf>
    <xf numFmtId="2" fontId="1" fillId="11" borderId="1" xfId="0" applyNumberFormat="1" applyFont="1" applyFill="1" applyBorder="1" applyAlignment="1">
      <alignment horizontal="center" vertical="center"/>
    </xf>
    <xf numFmtId="2" fontId="15" fillId="2" borderId="2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66" fontId="1" fillId="0" borderId="1" xfId="0" applyNumberFormat="1" applyFont="1" applyBorder="1" applyAlignment="1">
      <alignment horizontal="center" vertical="center"/>
    </xf>
    <xf numFmtId="2" fontId="3" fillId="12" borderId="1" xfId="0" applyNumberFormat="1" applyFont="1" applyFill="1" applyBorder="1" applyAlignment="1">
      <alignment vertical="center"/>
    </xf>
    <xf numFmtId="0" fontId="1" fillId="1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2" fillId="4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2" fillId="3" borderId="0" xfId="0" applyFont="1" applyFill="1" applyAlignment="1">
      <alignment horizontal="center" vertical="center"/>
    </xf>
    <xf numFmtId="0" fontId="32" fillId="13" borderId="0" xfId="0" applyFont="1" applyFill="1" applyAlignment="1">
      <alignment horizontal="center" vertical="center"/>
    </xf>
    <xf numFmtId="165" fontId="32" fillId="12" borderId="1" xfId="0" applyNumberFormat="1" applyFont="1" applyFill="1" applyBorder="1" applyAlignment="1">
      <alignment horizontal="center" vertical="center"/>
    </xf>
    <xf numFmtId="2" fontId="32" fillId="12" borderId="1" xfId="0" applyNumberFormat="1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horizontal="center" vertical="center"/>
    </xf>
    <xf numFmtId="1" fontId="32" fillId="12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9" fillId="0" borderId="0" xfId="0" applyNumberFormat="1" applyFont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vertical="center"/>
    </xf>
    <xf numFmtId="2" fontId="1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165" fontId="3" fillId="12" borderId="1" xfId="0" applyNumberFormat="1" applyFont="1" applyFill="1" applyBorder="1" applyAlignment="1">
      <alignment horizontal="center" vertical="center"/>
    </xf>
    <xf numFmtId="2" fontId="3" fillId="12" borderId="1" xfId="0" applyNumberFormat="1" applyFont="1" applyFill="1" applyBorder="1" applyAlignment="1">
      <alignment horizontal="center" vertical="center"/>
    </xf>
    <xf numFmtId="166" fontId="3" fillId="12" borderId="1" xfId="0" applyNumberFormat="1" applyFont="1" applyFill="1" applyBorder="1" applyAlignment="1">
      <alignment horizontal="center" vertical="center"/>
    </xf>
    <xf numFmtId="1" fontId="3" fillId="1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5" fontId="14" fillId="2" borderId="3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 wrapText="1"/>
    </xf>
    <xf numFmtId="164" fontId="0" fillId="0" borderId="0" xfId="1" applyNumberFormat="1" applyFont="1"/>
    <xf numFmtId="0" fontId="21" fillId="14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167" fontId="3" fillId="0" borderId="0" xfId="0" applyNumberFormat="1" applyFont="1" applyAlignment="1">
      <alignment horizontal="center"/>
    </xf>
    <xf numFmtId="14" fontId="19" fillId="3" borderId="3" xfId="0" applyNumberFormat="1" applyFont="1" applyFill="1" applyBorder="1" applyAlignment="1">
      <alignment horizontal="center" vertical="center" wrapText="1"/>
    </xf>
    <xf numFmtId="14" fontId="22" fillId="5" borderId="1" xfId="0" applyNumberFormat="1" applyFont="1" applyFill="1" applyBorder="1" applyAlignment="1">
      <alignment horizontal="center" vertical="center" wrapText="1"/>
    </xf>
    <xf numFmtId="14" fontId="19" fillId="0" borderId="1" xfId="0" applyNumberFormat="1" applyFont="1" applyBorder="1" applyAlignment="1">
      <alignment horizontal="center" vertical="center" wrapText="1"/>
    </xf>
    <xf numFmtId="14" fontId="24" fillId="5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3" fillId="12" borderId="1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2" fontId="34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2" fontId="36" fillId="0" borderId="1" xfId="0" applyNumberFormat="1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7" fillId="0" borderId="2" xfId="0" applyFont="1" applyBorder="1" applyAlignment="1">
      <alignment horizontal="center" vertical="center"/>
    </xf>
    <xf numFmtId="0" fontId="39" fillId="3" borderId="0" xfId="0" applyFont="1" applyFill="1"/>
    <xf numFmtId="0" fontId="40" fillId="3" borderId="0" xfId="0" applyFont="1" applyFill="1" applyAlignment="1">
      <alignment horizontal="center" vertical="center"/>
    </xf>
    <xf numFmtId="0" fontId="39" fillId="3" borderId="0" xfId="0" applyFont="1" applyFill="1" applyAlignment="1">
      <alignment horizontal="center" vertical="center"/>
    </xf>
    <xf numFmtId="0" fontId="21" fillId="3" borderId="0" xfId="0" applyFont="1" applyFill="1"/>
    <xf numFmtId="0" fontId="27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3" fillId="13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0" fontId="37" fillId="0" borderId="0" xfId="0" applyFont="1"/>
    <xf numFmtId="0" fontId="38" fillId="0" borderId="1" xfId="0" applyFont="1" applyBorder="1" applyAlignment="1">
      <alignment horizontal="center" vertical="center" wrapText="1"/>
    </xf>
    <xf numFmtId="14" fontId="37" fillId="0" borderId="1" xfId="0" applyNumberFormat="1" applyFont="1" applyBorder="1" applyAlignment="1">
      <alignment horizontal="center" vertical="center"/>
    </xf>
    <xf numFmtId="1" fontId="14" fillId="2" borderId="3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vertical="center"/>
    </xf>
    <xf numFmtId="0" fontId="1" fillId="0" borderId="0" xfId="0" applyFont="1"/>
    <xf numFmtId="0" fontId="39" fillId="3" borderId="0" xfId="0" applyFont="1" applyFill="1" applyAlignment="1">
      <alignment horizontal="center"/>
    </xf>
    <xf numFmtId="0" fontId="21" fillId="3" borderId="0" xfId="0" applyFont="1" applyFill="1" applyAlignment="1">
      <alignment horizontal="center"/>
    </xf>
    <xf numFmtId="0" fontId="41" fillId="0" borderId="0" xfId="0" applyFont="1"/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textRotation="90" wrapText="1"/>
    </xf>
    <xf numFmtId="0" fontId="13" fillId="4" borderId="1" xfId="0" applyFont="1" applyFill="1" applyBorder="1" applyAlignment="1">
      <alignment horizontal="center" vertical="center" textRotation="90" wrapText="1"/>
    </xf>
    <xf numFmtId="0" fontId="0" fillId="0" borderId="0" xfId="0" applyAlignment="1">
      <alignment horizontal="center"/>
    </xf>
    <xf numFmtId="2" fontId="28" fillId="10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textRotation="90" wrapText="1"/>
    </xf>
    <xf numFmtId="0" fontId="3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 textRotation="90" wrapText="1"/>
    </xf>
    <xf numFmtId="0" fontId="44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center" vertical="center"/>
    </xf>
    <xf numFmtId="165" fontId="44" fillId="0" borderId="1" xfId="0" applyNumberFormat="1" applyFont="1" applyBorder="1" applyAlignment="1">
      <alignment horizontal="center" vertical="center"/>
    </xf>
    <xf numFmtId="2" fontId="44" fillId="0" borderId="1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4" fillId="3" borderId="1" xfId="0" applyFont="1" applyFill="1" applyBorder="1" applyAlignment="1">
      <alignment horizontal="center" vertical="center"/>
    </xf>
    <xf numFmtId="165" fontId="34" fillId="3" borderId="1" xfId="0" applyNumberFormat="1" applyFont="1" applyFill="1" applyBorder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0" fontId="34" fillId="13" borderId="0" xfId="0" applyFont="1" applyFill="1" applyAlignment="1">
      <alignment horizontal="center" vertical="center"/>
    </xf>
    <xf numFmtId="0" fontId="34" fillId="3" borderId="1" xfId="0" applyFont="1" applyFill="1" applyBorder="1" applyAlignment="1">
      <alignment horizontal="left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4" fillId="3" borderId="2" xfId="0" applyFont="1" applyFill="1" applyBorder="1" applyAlignment="1">
      <alignment horizontal="left" vertical="center"/>
    </xf>
    <xf numFmtId="2" fontId="28" fillId="11" borderId="1" xfId="0" applyNumberFormat="1" applyFont="1" applyFill="1" applyBorder="1" applyAlignment="1">
      <alignment horizontal="center" vertical="center" textRotation="90" wrapText="1"/>
    </xf>
    <xf numFmtId="0" fontId="32" fillId="15" borderId="1" xfId="0" applyFont="1" applyFill="1" applyBorder="1" applyAlignment="1">
      <alignment horizontal="center" vertical="center"/>
    </xf>
    <xf numFmtId="165" fontId="32" fillId="15" borderId="1" xfId="0" applyNumberFormat="1" applyFont="1" applyFill="1" applyBorder="1" applyAlignment="1">
      <alignment horizontal="center" vertical="center"/>
    </xf>
    <xf numFmtId="1" fontId="32" fillId="15" borderId="1" xfId="0" applyNumberFormat="1" applyFont="1" applyFill="1" applyBorder="1" applyAlignment="1">
      <alignment horizontal="center" vertical="center"/>
    </xf>
    <xf numFmtId="2" fontId="32" fillId="15" borderId="1" xfId="0" applyNumberFormat="1" applyFont="1" applyFill="1" applyBorder="1" applyAlignment="1">
      <alignment horizontal="center" vertical="center"/>
    </xf>
    <xf numFmtId="165" fontId="32" fillId="4" borderId="1" xfId="0" applyNumberFormat="1" applyFont="1" applyFill="1" applyBorder="1" applyAlignment="1">
      <alignment horizontal="center" vertical="center"/>
    </xf>
    <xf numFmtId="1" fontId="32" fillId="4" borderId="1" xfId="0" applyNumberFormat="1" applyFont="1" applyFill="1" applyBorder="1" applyAlignment="1">
      <alignment horizontal="center" vertical="center"/>
    </xf>
    <xf numFmtId="2" fontId="32" fillId="4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4" fontId="36" fillId="0" borderId="1" xfId="0" applyNumberFormat="1" applyFont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64" fontId="15" fillId="2" borderId="1" xfId="0" applyNumberFormat="1" applyFont="1" applyFill="1" applyBorder="1" applyAlignment="1">
      <alignment horizontal="center" vertical="center" wrapText="1"/>
    </xf>
    <xf numFmtId="164" fontId="44" fillId="0" borderId="1" xfId="0" applyNumberFormat="1" applyFont="1" applyBorder="1" applyAlignment="1">
      <alignment horizontal="center" vertical="center"/>
    </xf>
    <xf numFmtId="164" fontId="32" fillId="12" borderId="1" xfId="0" applyNumberFormat="1" applyFont="1" applyFill="1" applyBorder="1" applyAlignment="1">
      <alignment horizontal="center" vertical="center"/>
    </xf>
    <xf numFmtId="164" fontId="34" fillId="0" borderId="1" xfId="0" applyNumberFormat="1" applyFont="1" applyBorder="1" applyAlignment="1">
      <alignment horizontal="center" vertical="center"/>
    </xf>
    <xf numFmtId="164" fontId="32" fillId="4" borderId="1" xfId="0" applyNumberFormat="1" applyFont="1" applyFill="1" applyBorder="1" applyAlignment="1">
      <alignment horizontal="center" vertical="center"/>
    </xf>
    <xf numFmtId="164" fontId="32" fillId="15" borderId="1" xfId="0" applyNumberFormat="1" applyFont="1" applyFill="1" applyBorder="1" applyAlignment="1">
      <alignment horizontal="center" vertical="center"/>
    </xf>
    <xf numFmtId="164" fontId="15" fillId="2" borderId="2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3" fillId="12" borderId="1" xfId="0" applyNumberFormat="1" applyFont="1" applyFill="1" applyBorder="1" applyAlignment="1">
      <alignment horizontal="center" vertical="center"/>
    </xf>
    <xf numFmtId="164" fontId="9" fillId="0" borderId="0" xfId="0" applyNumberFormat="1" applyFont="1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2" fillId="13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textRotation="90" wrapText="1"/>
    </xf>
    <xf numFmtId="0" fontId="13" fillId="4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4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34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7" fontId="0" fillId="0" borderId="0" xfId="0" applyNumberFormat="1" applyAlignment="1">
      <alignment horizontal="center"/>
    </xf>
    <xf numFmtId="0" fontId="36" fillId="3" borderId="1" xfId="0" applyFont="1" applyFill="1" applyBorder="1" applyAlignment="1">
      <alignment horizontal="left" vertical="center" wrapText="1"/>
    </xf>
    <xf numFmtId="0" fontId="36" fillId="3" borderId="3" xfId="0" applyFont="1" applyFill="1" applyBorder="1" applyAlignment="1">
      <alignment horizontal="center" vertical="center" wrapText="1"/>
    </xf>
    <xf numFmtId="0" fontId="6" fillId="0" borderId="0" xfId="0" applyFont="1" applyFill="1"/>
    <xf numFmtId="14" fontId="14" fillId="2" borderId="3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3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165" fontId="32" fillId="2" borderId="1" xfId="0" applyNumberFormat="1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164" fontId="32" fillId="2" borderId="1" xfId="0" applyNumberFormat="1" applyFont="1" applyFill="1" applyBorder="1" applyAlignment="1">
      <alignment horizontal="center" vertical="center"/>
    </xf>
    <xf numFmtId="2" fontId="32" fillId="2" borderId="1" xfId="0" applyNumberFormat="1" applyFont="1" applyFill="1" applyBorder="1" applyAlignment="1">
      <alignment horizontal="center" vertical="center"/>
    </xf>
    <xf numFmtId="0" fontId="32" fillId="0" borderId="0" xfId="0" applyFont="1" applyFill="1"/>
    <xf numFmtId="0" fontId="32" fillId="0" borderId="0" xfId="0" applyFont="1" applyFill="1" applyAlignment="1">
      <alignment horizontal="center" vertical="center"/>
    </xf>
    <xf numFmtId="1" fontId="32" fillId="2" borderId="1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165" fontId="34" fillId="0" borderId="1" xfId="0" applyNumberFormat="1" applyFont="1" applyBorder="1" applyAlignment="1">
      <alignment horizontal="center" vertical="center"/>
    </xf>
    <xf numFmtId="2" fontId="32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vertical="center" wrapText="1"/>
    </xf>
    <xf numFmtId="14" fontId="1" fillId="16" borderId="1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6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1" fontId="21" fillId="0" borderId="1" xfId="0" applyNumberFormat="1" applyFont="1" applyFill="1" applyBorder="1" applyAlignment="1">
      <alignment horizontal="center" vertical="center"/>
    </xf>
    <xf numFmtId="0" fontId="21" fillId="0" borderId="0" xfId="0" applyFont="1" applyFill="1" applyAlignment="1">
      <alignment vertical="center"/>
    </xf>
    <xf numFmtId="14" fontId="21" fillId="0" borderId="1" xfId="0" applyNumberFormat="1" applyFont="1" applyFill="1" applyBorder="1" applyAlignment="1">
      <alignment horizontal="center" vertical="center"/>
    </xf>
    <xf numFmtId="1" fontId="20" fillId="0" borderId="1" xfId="0" applyNumberFormat="1" applyFont="1" applyFill="1" applyBorder="1" applyAlignment="1">
      <alignment horizontal="center" vertical="center"/>
    </xf>
    <xf numFmtId="164" fontId="24" fillId="5" borderId="3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5" fillId="2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textRotation="90" wrapText="1"/>
    </xf>
    <xf numFmtId="0" fontId="6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3" fillId="1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" fillId="12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34" fillId="0" borderId="1" xfId="0" applyNumberFormat="1" applyFont="1" applyFill="1" applyBorder="1" applyAlignment="1">
      <alignment horizontal="center" vertical="center"/>
    </xf>
    <xf numFmtId="165" fontId="34" fillId="0" borderId="1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34" fillId="0" borderId="1" xfId="0" applyFont="1" applyFill="1" applyBorder="1" applyAlignment="1">
      <alignment horizontal="left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left" vertical="center"/>
    </xf>
    <xf numFmtId="165" fontId="1" fillId="0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2" fontId="3" fillId="11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center" vertical="center"/>
    </xf>
    <xf numFmtId="2" fontId="46" fillId="10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4" fillId="3" borderId="0" xfId="0" applyFont="1" applyFill="1" applyAlignment="1">
      <alignment vertical="center"/>
    </xf>
    <xf numFmtId="166" fontId="21" fillId="0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4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34" fillId="3" borderId="1" xfId="0" applyNumberFormat="1" applyFont="1" applyFill="1" applyBorder="1" applyAlignment="1">
      <alignment horizontal="center" vertic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/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3" fillId="1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textRotation="90" wrapText="1"/>
    </xf>
    <xf numFmtId="0" fontId="6" fillId="4" borderId="1" xfId="0" applyFont="1" applyFill="1" applyBorder="1" applyAlignment="1">
      <alignment horizontal="center" vertical="center" textRotation="1" wrapText="1"/>
    </xf>
    <xf numFmtId="0" fontId="3" fillId="4" borderId="1" xfId="0" applyFont="1" applyFill="1" applyBorder="1" applyAlignment="1">
      <alignment horizontal="center" vertical="center" textRotation="91"/>
    </xf>
    <xf numFmtId="0" fontId="6" fillId="4" borderId="5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textRotation="90" wrapText="1"/>
    </xf>
    <xf numFmtId="0" fontId="13" fillId="4" borderId="3" xfId="0" applyFont="1" applyFill="1" applyBorder="1" applyAlignment="1">
      <alignment horizontal="center" vertical="center" textRotation="90"/>
    </xf>
    <xf numFmtId="0" fontId="17" fillId="4" borderId="1" xfId="0" applyFont="1" applyFill="1" applyBorder="1" applyAlignment="1">
      <alignment horizontal="center" vertical="center" textRotation="90" wrapText="1"/>
    </xf>
    <xf numFmtId="0" fontId="6" fillId="4" borderId="5" xfId="0" applyFont="1" applyFill="1" applyBorder="1" applyAlignment="1">
      <alignment horizontal="center" vertical="center" textRotation="91" wrapText="1"/>
    </xf>
    <xf numFmtId="0" fontId="6" fillId="4" borderId="9" xfId="0" applyFont="1" applyFill="1" applyBorder="1" applyAlignment="1">
      <alignment horizontal="center" vertical="center" textRotation="91" wrapText="1"/>
    </xf>
    <xf numFmtId="0" fontId="6" fillId="4" borderId="6" xfId="0" applyFont="1" applyFill="1" applyBorder="1" applyAlignment="1">
      <alignment horizontal="center" vertical="center" textRotation="91" wrapText="1"/>
    </xf>
    <xf numFmtId="2" fontId="28" fillId="10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textRotation="90"/>
    </xf>
    <xf numFmtId="0" fontId="16" fillId="4" borderId="1" xfId="0" applyFont="1" applyFill="1" applyBorder="1" applyAlignment="1">
      <alignment horizontal="center" vertical="center" textRotation="90"/>
    </xf>
    <xf numFmtId="0" fontId="3" fillId="4" borderId="5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textRotation="1" wrapText="1"/>
    </xf>
    <xf numFmtId="0" fontId="6" fillId="4" borderId="9" xfId="0" applyFont="1" applyFill="1" applyBorder="1" applyAlignment="1">
      <alignment horizontal="center" vertical="center" textRotation="1" wrapText="1"/>
    </xf>
    <xf numFmtId="0" fontId="6" fillId="4" borderId="6" xfId="0" applyFont="1" applyFill="1" applyBorder="1" applyAlignment="1">
      <alignment horizontal="center" vertical="center" textRotation="1" wrapText="1"/>
    </xf>
    <xf numFmtId="0" fontId="6" fillId="4" borderId="2" xfId="0" applyFont="1" applyFill="1" applyBorder="1" applyAlignment="1">
      <alignment horizontal="center" vertical="center" textRotation="90" wrapText="1"/>
    </xf>
    <xf numFmtId="0" fontId="6" fillId="4" borderId="3" xfId="0" applyFont="1" applyFill="1" applyBorder="1" applyAlignment="1">
      <alignment horizontal="center" vertical="center" textRotation="90"/>
    </xf>
    <xf numFmtId="2" fontId="28" fillId="10" borderId="1" xfId="0" applyNumberFormat="1" applyFont="1" applyFill="1" applyBorder="1" applyAlignment="1">
      <alignment horizontal="center" vertical="center" textRotation="90" wrapText="1"/>
    </xf>
    <xf numFmtId="164" fontId="15" fillId="2" borderId="5" xfId="0" applyNumberFormat="1" applyFont="1" applyFill="1" applyBorder="1" applyAlignment="1">
      <alignment horizontal="center" vertical="center" wrapText="1"/>
    </xf>
    <xf numFmtId="164" fontId="15" fillId="2" borderId="9" xfId="0" applyNumberFormat="1" applyFont="1" applyFill="1" applyBorder="1" applyAlignment="1">
      <alignment horizontal="center" vertical="center" wrapText="1"/>
    </xf>
    <xf numFmtId="164" fontId="15" fillId="2" borderId="6" xfId="0" applyNumberFormat="1" applyFont="1" applyFill="1" applyBorder="1" applyAlignment="1">
      <alignment horizontal="center" vertical="center" wrapText="1"/>
    </xf>
    <xf numFmtId="2" fontId="28" fillId="11" borderId="5" xfId="0" applyNumberFormat="1" applyFont="1" applyFill="1" applyBorder="1" applyAlignment="1">
      <alignment horizontal="center" vertical="center" wrapText="1"/>
    </xf>
    <xf numFmtId="2" fontId="28" fillId="11" borderId="6" xfId="0" applyNumberFormat="1" applyFont="1" applyFill="1" applyBorder="1" applyAlignment="1">
      <alignment horizontal="center" vertical="center" wrapText="1"/>
    </xf>
    <xf numFmtId="0" fontId="34" fillId="0" borderId="2" xfId="0" applyFont="1" applyFill="1" applyBorder="1" applyAlignment="1">
      <alignment horizontal="left" vertical="center"/>
    </xf>
    <xf numFmtId="0" fontId="34" fillId="0" borderId="4" xfId="0" applyFont="1" applyFill="1" applyBorder="1" applyAlignment="1">
      <alignment horizontal="left" vertical="center"/>
    </xf>
    <xf numFmtId="0" fontId="34" fillId="0" borderId="3" xfId="0" applyFont="1" applyFill="1" applyBorder="1" applyAlignment="1">
      <alignment horizontal="left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" xfId="0" applyFont="1" applyFill="1" applyBorder="1" applyAlignment="1">
      <alignment horizontal="center" vertical="center"/>
    </xf>
    <xf numFmtId="0" fontId="44" fillId="0" borderId="2" xfId="0" applyFont="1" applyBorder="1" applyAlignment="1">
      <alignment horizontal="left" vertical="center" wrapText="1"/>
    </xf>
    <xf numFmtId="0" fontId="44" fillId="0" borderId="4" xfId="0" applyFont="1" applyBorder="1" applyAlignment="1">
      <alignment horizontal="left" vertical="center" wrapText="1"/>
    </xf>
    <xf numFmtId="0" fontId="44" fillId="0" borderId="3" xfId="0" applyFont="1" applyBorder="1" applyAlignment="1">
      <alignment horizontal="left" vertical="center" wrapText="1"/>
    </xf>
    <xf numFmtId="0" fontId="44" fillId="0" borderId="2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34" fillId="3" borderId="2" xfId="0" applyFont="1" applyFill="1" applyBorder="1" applyAlignment="1">
      <alignment horizontal="left" vertical="center"/>
    </xf>
    <xf numFmtId="0" fontId="34" fillId="3" borderId="3" xfId="0" applyFont="1" applyFill="1" applyBorder="1" applyAlignment="1">
      <alignment horizontal="left" vertical="center"/>
    </xf>
    <xf numFmtId="0" fontId="34" fillId="0" borderId="2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textRotation="91" wrapText="1"/>
    </xf>
    <xf numFmtId="0" fontId="6" fillId="4" borderId="1" xfId="0" applyFont="1" applyFill="1" applyBorder="1" applyAlignment="1">
      <alignment horizontal="center" vertical="center" textRotation="91"/>
    </xf>
    <xf numFmtId="164" fontId="15" fillId="2" borderId="1" xfId="0" applyNumberFormat="1" applyFont="1" applyFill="1" applyBorder="1" applyAlignment="1">
      <alignment horizontal="center" vertical="center" wrapText="1"/>
    </xf>
    <xf numFmtId="2" fontId="28" fillId="11" borderId="1" xfId="0" applyNumberFormat="1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2" fontId="28" fillId="10" borderId="5" xfId="0" applyNumberFormat="1" applyFont="1" applyFill="1" applyBorder="1" applyAlignment="1">
      <alignment horizontal="center" vertical="center" wrapText="1"/>
    </xf>
    <xf numFmtId="2" fontId="28" fillId="10" borderId="6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textRotation="90" wrapText="1"/>
    </xf>
    <xf numFmtId="0" fontId="13" fillId="4" borderId="1" xfId="0" applyFont="1" applyFill="1" applyBorder="1" applyAlignment="1">
      <alignment horizontal="center" vertical="center" textRotation="90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7" fontId="6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8" fillId="0" borderId="2" xfId="0" applyFont="1" applyBorder="1" applyAlignment="1">
      <alignment horizontal="left" vertical="center" wrapText="1"/>
    </xf>
    <xf numFmtId="0" fontId="38" fillId="0" borderId="4" xfId="0" applyFont="1" applyBorder="1" applyAlignment="1">
      <alignment horizontal="left" vertical="center" wrapText="1"/>
    </xf>
    <xf numFmtId="0" fontId="38" fillId="0" borderId="3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2" fontId="46" fillId="10" borderId="1" xfId="0" applyNumberFormat="1" applyFont="1" applyFill="1" applyBorder="1" applyAlignment="1">
      <alignment horizontal="center" vertical="center" textRotation="90" wrapText="1"/>
    </xf>
    <xf numFmtId="0" fontId="34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2" fontId="15" fillId="2" borderId="5" xfId="0" applyNumberFormat="1" applyFont="1" applyFill="1" applyBorder="1" applyAlignment="1">
      <alignment horizontal="center" vertical="center" wrapText="1"/>
    </xf>
    <xf numFmtId="2" fontId="15" fillId="2" borderId="9" xfId="0" applyNumberFormat="1" applyFont="1" applyFill="1" applyBorder="1" applyAlignment="1">
      <alignment horizontal="center" vertical="center" wrapText="1"/>
    </xf>
    <xf numFmtId="2" fontId="15" fillId="2" borderId="6" xfId="0" applyNumberFormat="1" applyFont="1" applyFill="1" applyBorder="1" applyAlignment="1">
      <alignment horizontal="center" vertical="center" wrapText="1"/>
    </xf>
    <xf numFmtId="2" fontId="15" fillId="6" borderId="5" xfId="0" applyNumberFormat="1" applyFont="1" applyFill="1" applyBorder="1" applyAlignment="1">
      <alignment horizontal="center" vertical="center" wrapText="1"/>
    </xf>
    <xf numFmtId="2" fontId="15" fillId="6" borderId="9" xfId="0" applyNumberFormat="1" applyFont="1" applyFill="1" applyBorder="1" applyAlignment="1">
      <alignment horizontal="center" vertical="center" wrapText="1"/>
    </xf>
    <xf numFmtId="2" fontId="15" fillId="6" borderId="6" xfId="0" applyNumberFormat="1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22" fillId="5" borderId="9" xfId="0" applyFont="1" applyFill="1" applyBorder="1" applyAlignment="1">
      <alignment horizontal="center" vertical="center" wrapText="1"/>
    </xf>
    <xf numFmtId="0" fontId="22" fillId="5" borderId="6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200"/>
              <a:t>Indice de recipientes municipio Huacaya</a:t>
            </a:r>
          </a:p>
          <a:p>
            <a:pPr>
              <a:defRPr sz="1200"/>
            </a:pPr>
            <a:r>
              <a:rPr lang="es-ES" sz="1200" baseline="0"/>
              <a:t>Abril 2025</a:t>
            </a:r>
            <a:endParaRPr lang="es-E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8922156605424321"/>
          <c:y val="0.19189814814814818"/>
          <c:w val="0.40489020122484687"/>
          <c:h val="0.6748170020414114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D9-46BF-B267-DF780B8A4EB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D9-46BF-B267-DF780B8A4EBC}"/>
              </c:ext>
            </c:extLst>
          </c:dPt>
          <c:dLbls>
            <c:dLbl>
              <c:idx val="0"/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BD9-46BF-B267-DF780B8A4EBC}"/>
                </c:ext>
              </c:extLst>
            </c:dLbl>
            <c:dLbl>
              <c:idx val="1"/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BD9-46BF-B267-DF780B8A4EBC}"/>
                </c:ext>
              </c:extLst>
            </c:dLbl>
            <c:spPr>
              <a:solidFill>
                <a:schemeClr val="lt1"/>
              </a:solidFill>
              <a:ln w="6350" cap="flat" cmpd="sng" algn="ctr">
                <a:solidFill>
                  <a:schemeClr val="dk1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Monteagudo!$AR$5:$AS$5</c:f>
              <c:strCache>
                <c:ptCount val="2"/>
                <c:pt idx="0">
                  <c:v>% Recipientes Secos</c:v>
                </c:pt>
                <c:pt idx="1">
                  <c:v>% Recipientes con Agua</c:v>
                </c:pt>
              </c:strCache>
            </c:strRef>
          </c:cat>
          <c:val>
            <c:numRef>
              <c:f>Camargo!#REF!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D9-46BF-B267-DF780B8A4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Indice de Infestacion de tipo de recipiente de Aedes aegypti</a:t>
            </a:r>
          </a:p>
          <a:p>
            <a:pPr>
              <a:defRPr/>
            </a:pPr>
            <a:r>
              <a:rPr lang="es-ES"/>
              <a:t>municipio de Huacaya Abril</a:t>
            </a:r>
            <a:r>
              <a:rPr lang="es-ES" baseline="0"/>
              <a:t> </a:t>
            </a:r>
            <a:r>
              <a:rPr lang="es-ES"/>
              <a:t>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Machareti!$AT$4:$AZ$5</c:f>
              <c:multiLvlStrCache>
                <c:ptCount val="2"/>
                <c:lvl>
                  <c:pt idx="0">
                    <c:v>Grupo E
Depositos Naturales</c:v>
                  </c:pt>
                  <c:pt idx="1">
                    <c:v>E</c:v>
                  </c:pt>
                </c:lvl>
                <c:lvl>
                  <c:pt idx="1">
                    <c:v>D2</c:v>
                  </c:pt>
                </c:lvl>
                <c:lvl>
                  <c:pt idx="0">
                    <c:v>Grupo D
Depositos para Eliminacion</c:v>
                  </c:pt>
                  <c:pt idx="1">
                    <c:v>D1</c:v>
                  </c:pt>
                </c:lvl>
                <c:lvl>
                  <c:pt idx="0">
                    <c:v>Grupo C
Depositos Fijos de Almacenamiento de Agua</c:v>
                  </c:pt>
                  <c:pt idx="1">
                    <c:v> C</c:v>
                  </c:pt>
                </c:lvl>
                <c:lvl>
                  <c:pt idx="0">
                    <c:v>Grupo B
Depositos de Transporte de Agua Moviles</c:v>
                  </c:pt>
                  <c:pt idx="1">
                    <c:v>B </c:v>
                  </c:pt>
                </c:lvl>
                <c:lvl>
                  <c:pt idx="1">
                    <c:v> A2</c:v>
                  </c:pt>
                </c:lvl>
                <c:lvl>
                  <c:pt idx="0">
                    <c:v>Grupo A
Depositos de Almacenamiento 
de Gran Volumen</c:v>
                  </c:pt>
                  <c:pt idx="1">
                    <c:v> A1</c:v>
                  </c:pt>
                </c:lvl>
              </c:multiLvlStrCache>
            </c:multiLvlStrRef>
          </c:cat>
          <c:val>
            <c:numRef>
              <c:f>Camargo!#REF!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3-465D-ACAA-A4AD787A5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803384"/>
        <c:axId val="190808888"/>
      </c:barChart>
      <c:catAx>
        <c:axId val="19080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0808888"/>
        <c:crosses val="autoZero"/>
        <c:auto val="1"/>
        <c:lblAlgn val="ctr"/>
        <c:lblOffset val="100"/>
        <c:noMultiLvlLbl val="0"/>
      </c:catAx>
      <c:valAx>
        <c:axId val="190808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Porcentaje</a:t>
                </a:r>
              </a:p>
            </c:rich>
          </c:tx>
          <c:layout>
            <c:manualLayout>
              <c:xMode val="edge"/>
              <c:yMode val="edge"/>
              <c:x val="8.4645147989044559E-3"/>
              <c:y val="0.38683530046542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0803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200"/>
              <a:t>Indice de recipientes municipio Machareti</a:t>
            </a:r>
          </a:p>
          <a:p>
            <a:pPr>
              <a:defRPr sz="1200"/>
            </a:pPr>
            <a:r>
              <a:rPr lang="es-ES" sz="1200" baseline="0"/>
              <a:t>diciembre 2025</a:t>
            </a:r>
            <a:endParaRPr lang="es-ES" sz="12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8922156605424321"/>
          <c:y val="0.19189814814814818"/>
          <c:w val="0.40489020122484687"/>
          <c:h val="0.6748170020414114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21-4970-8A50-2E3C21D8417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21-4970-8A50-2E3C21D8417B}"/>
              </c:ext>
            </c:extLst>
          </c:dPt>
          <c:dLbls>
            <c:dLbl>
              <c:idx val="0"/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C21-4970-8A50-2E3C21D8417B}"/>
                </c:ext>
              </c:extLst>
            </c:dLbl>
            <c:dLbl>
              <c:idx val="1"/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C21-4970-8A50-2E3C21D8417B}"/>
                </c:ext>
              </c:extLst>
            </c:dLbl>
            <c:spPr>
              <a:solidFill>
                <a:schemeClr val="lt1"/>
              </a:solidFill>
              <a:ln w="6350" cap="flat" cmpd="sng" algn="ctr">
                <a:solidFill>
                  <a:schemeClr val="dk1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Monteagudo!$AR$5:$AS$5</c:f>
              <c:strCache>
                <c:ptCount val="2"/>
                <c:pt idx="0">
                  <c:v>% Recipientes Secos</c:v>
                </c:pt>
                <c:pt idx="1">
                  <c:v>% Recipientes con Agua</c:v>
                </c:pt>
              </c:strCache>
            </c:strRef>
          </c:cat>
          <c:val>
            <c:numRef>
              <c:f>Machareti!$AR$63:$AS$63</c:f>
              <c:numCache>
                <c:formatCode>0.00</c:formatCode>
                <c:ptCount val="2"/>
                <c:pt idx="0">
                  <c:v>23.678160919540232</c:v>
                </c:pt>
                <c:pt idx="1">
                  <c:v>76.321839080459768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21-4970-8A50-2E3C21D84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Indice de Infestacion de tipo de recipiente de Aedes aegypti</a:t>
            </a:r>
          </a:p>
          <a:p>
            <a:pPr>
              <a:defRPr/>
            </a:pPr>
            <a:r>
              <a:rPr lang="es-ES"/>
              <a:t>municipio de Machareti</a:t>
            </a:r>
            <a:r>
              <a:rPr lang="es-ES" baseline="0"/>
              <a:t> diciembre </a:t>
            </a:r>
            <a:r>
              <a:rPr lang="es-ES"/>
              <a:t>2025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Machareti!$AT$4:$AZ$5</c:f>
              <c:multiLvlStrCache>
                <c:ptCount val="7"/>
                <c:lvl>
                  <c:pt idx="0">
                    <c:v> A1</c:v>
                  </c:pt>
                  <c:pt idx="1">
                    <c:v> A2</c:v>
                  </c:pt>
                  <c:pt idx="2">
                    <c:v>B </c:v>
                  </c:pt>
                  <c:pt idx="3">
                    <c:v> C</c:v>
                  </c:pt>
                  <c:pt idx="4">
                    <c:v>D1</c:v>
                  </c:pt>
                  <c:pt idx="5">
                    <c:v>D2</c:v>
                  </c:pt>
                  <c:pt idx="6">
                    <c:v>E</c:v>
                  </c:pt>
                </c:lvl>
                <c:lvl>
                  <c:pt idx="0">
                    <c:v>Grupo A
Depositos de Almacenamiento 
de Gran Volumen</c:v>
                  </c:pt>
                  <c:pt idx="2">
                    <c:v>Grupo B
Depositos de Transporte de Agua Moviles</c:v>
                  </c:pt>
                  <c:pt idx="3">
                    <c:v>Grupo C
Depositos Fijos de Almacenamiento de Agua</c:v>
                  </c:pt>
                  <c:pt idx="4">
                    <c:v>Grupo D
Depositos para Eliminacion</c:v>
                  </c:pt>
                  <c:pt idx="6">
                    <c:v>Grupo E
Depositos Naturales</c:v>
                  </c:pt>
                </c:lvl>
              </c:multiLvlStrCache>
            </c:multiLvlStrRef>
          </c:cat>
          <c:val>
            <c:numRef>
              <c:f>Machareti!$AT$63:$AZ$63</c:f>
              <c:numCache>
                <c:formatCode>0.00</c:formatCode>
                <c:ptCount val="7"/>
                <c:pt idx="0">
                  <c:v>0</c:v>
                </c:pt>
                <c:pt idx="1">
                  <c:v>96.15384615384616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3.8461538461538463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5-4718-94D0-9EDAA7E05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020080"/>
        <c:axId val="191745800"/>
      </c:barChart>
      <c:catAx>
        <c:axId val="19102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1745800"/>
        <c:crosses val="autoZero"/>
        <c:auto val="1"/>
        <c:lblAlgn val="ctr"/>
        <c:lblOffset val="100"/>
        <c:noMultiLvlLbl val="0"/>
      </c:catAx>
      <c:valAx>
        <c:axId val="19174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Porcentaje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102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ES"/>
              <a:t>Indicadores</a:t>
            </a:r>
            <a:r>
              <a:rPr lang="es-ES" baseline="0"/>
              <a:t> entomologicos de encuesta larvaria de aedes aegypti Machareti 2025</a:t>
            </a:r>
            <a:endParaRPr lang="es-E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Machareti!$AO$5</c:f>
              <c:strCache>
                <c:ptCount val="1"/>
                <c:pt idx="0">
                  <c:v>% 
Indice de 
Infestacion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Machareti!$AF$65:$AQ$65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(Machareti!$AO$14,Machareti!$AO$20,Machareti!$AO$26,Machareti!$AO$34,Machareti!$AO$37,Machareti!$AO$41,Machareti!$AO$45,Machareti!$AO$48,Machareti!$AO$51,Machareti!$AO$54,Machareti!$AO$59,Machareti!$AO$63)</c:f>
              <c:numCache>
                <c:formatCode>0.0</c:formatCode>
                <c:ptCount val="12"/>
                <c:pt idx="0">
                  <c:v>18.277945619335348</c:v>
                </c:pt>
                <c:pt idx="1">
                  <c:v>26.857142857142858</c:v>
                </c:pt>
                <c:pt idx="2">
                  <c:v>29.1358024691358</c:v>
                </c:pt>
                <c:pt idx="3">
                  <c:v>30.107526881720432</c:v>
                </c:pt>
                <c:pt idx="4">
                  <c:v>22.123893805309734</c:v>
                </c:pt>
                <c:pt idx="5">
                  <c:v>10.404624277456648</c:v>
                </c:pt>
                <c:pt idx="6">
                  <c:v>9.1304347826086953</c:v>
                </c:pt>
                <c:pt idx="7">
                  <c:v>5.2631578947368416</c:v>
                </c:pt>
                <c:pt idx="8">
                  <c:v>0</c:v>
                </c:pt>
                <c:pt idx="9">
                  <c:v>3.3333333333333335</c:v>
                </c:pt>
                <c:pt idx="10">
                  <c:v>9.5419847328244281</c:v>
                </c:pt>
                <c:pt idx="11">
                  <c:v>14.705882352941178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9-4AF3-B513-284C16FB064A}"/>
            </c:ext>
          </c:extLst>
        </c:ser>
        <c:ser>
          <c:idx val="1"/>
          <c:order val="1"/>
          <c:tx>
            <c:strRef>
              <c:f>Machareti!$AP$5</c:f>
              <c:strCache>
                <c:ptCount val="1"/>
                <c:pt idx="0">
                  <c:v>% 
Indice 
Bretau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Machareti!$AF$65:$AQ$65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(Machareti!$AP$14,Machareti!$AP$20,Machareti!$AP$26,Machareti!$AP$34,Machareti!$AP$37,Machareti!$AP$41,Machareti!$AP$45,Machareti!$AP$48,Machareti!$AP$51,Machareti!$AP$54,Machareti!$AP$59,Machareti!$AP$63)</c:f>
              <c:numCache>
                <c:formatCode>0.0</c:formatCode>
                <c:ptCount val="12"/>
                <c:pt idx="0">
                  <c:v>30.815709969788518</c:v>
                </c:pt>
                <c:pt idx="1">
                  <c:v>45.428571428571431</c:v>
                </c:pt>
                <c:pt idx="2">
                  <c:v>50.123456790123456</c:v>
                </c:pt>
                <c:pt idx="3">
                  <c:v>61.55913978494624</c:v>
                </c:pt>
                <c:pt idx="4">
                  <c:v>32.743362831858406</c:v>
                </c:pt>
                <c:pt idx="5">
                  <c:v>12.138728323699421</c:v>
                </c:pt>
                <c:pt idx="6">
                  <c:v>10</c:v>
                </c:pt>
                <c:pt idx="7">
                  <c:v>6.140350877192982</c:v>
                </c:pt>
                <c:pt idx="8">
                  <c:v>0</c:v>
                </c:pt>
                <c:pt idx="9">
                  <c:v>3.3333333333333335</c:v>
                </c:pt>
                <c:pt idx="10">
                  <c:v>13.549618320610687</c:v>
                </c:pt>
                <c:pt idx="11">
                  <c:v>15.294117647058824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89-4AF3-B513-284C16FB0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55896"/>
        <c:axId val="191813544"/>
      </c:barChart>
      <c:catAx>
        <c:axId val="191855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91813544"/>
        <c:crosses val="autoZero"/>
        <c:auto val="1"/>
        <c:lblAlgn val="ctr"/>
        <c:lblOffset val="100"/>
        <c:noMultiLvlLbl val="0"/>
      </c:catAx>
      <c:valAx>
        <c:axId val="191813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ES"/>
                  <a:t>Poecentaje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918558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S"/>
    </a:p>
  </c:txPr>
  <c:printSettings>
    <c:headerFooter/>
    <c:pageMargins b="0.75" l="0.36" r="1.05" t="0.75" header="0.3" footer="0.3"/>
    <c:pageSetup orientation="landscape" horizontalDpi="0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200"/>
              <a:t>Indice de recipientes municipio Monteagudo</a:t>
            </a:r>
          </a:p>
          <a:p>
            <a:pPr>
              <a:defRPr sz="1200"/>
            </a:pPr>
            <a:r>
              <a:rPr lang="es-ES" sz="1200" baseline="0"/>
              <a:t>diciembre 2025</a:t>
            </a:r>
            <a:endParaRPr lang="es-ES" sz="1200"/>
          </a:p>
        </c:rich>
      </c:tx>
      <c:layout>
        <c:manualLayout>
          <c:xMode val="edge"/>
          <c:yMode val="edge"/>
          <c:x val="0.16460562937010317"/>
          <c:y val="2.73376860765433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8922156605424321"/>
          <c:y val="0.19189814814814818"/>
          <c:w val="0.40489020122484687"/>
          <c:h val="0.6748170020414114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F1-4728-BCFE-6C0D164A934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F1-4728-BCFE-6C0D164A9345}"/>
              </c:ext>
            </c:extLst>
          </c:dPt>
          <c:dLbls>
            <c:dLbl>
              <c:idx val="0"/>
              <c:layout>
                <c:manualLayout>
                  <c:x val="0.33538553745712357"/>
                  <c:y val="0.11746092450888133"/>
                </c:manualLayout>
              </c:layout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FF1-4728-BCFE-6C0D164A9345}"/>
                </c:ext>
              </c:extLst>
            </c:dLbl>
            <c:dLbl>
              <c:idx val="1"/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FF1-4728-BCFE-6C0D164A9345}"/>
                </c:ext>
              </c:extLst>
            </c:dLbl>
            <c:spPr>
              <a:solidFill>
                <a:schemeClr val="lt1"/>
              </a:solidFill>
              <a:ln w="6350" cap="flat" cmpd="sng" algn="ctr">
                <a:solidFill>
                  <a:schemeClr val="dk1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Monteagudo!$AR$5:$AS$5</c:f>
              <c:strCache>
                <c:ptCount val="2"/>
                <c:pt idx="0">
                  <c:v>% Recipientes Secos</c:v>
                </c:pt>
                <c:pt idx="1">
                  <c:v>% Recipientes con Agua</c:v>
                </c:pt>
              </c:strCache>
            </c:strRef>
          </c:cat>
          <c:val>
            <c:numRef>
              <c:f>Monteagudo!$AR$147:$AS$147</c:f>
              <c:numCache>
                <c:formatCode>0.00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F1-4728-BCFE-6C0D164A9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Indice de Infestacion de tipo de recipiente de Aedes aegypti</a:t>
            </a:r>
          </a:p>
          <a:p>
            <a:pPr>
              <a:defRPr/>
            </a:pPr>
            <a:r>
              <a:rPr lang="es-ES"/>
              <a:t>municipio de Monteagudo diciembre 2025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Machareti!$AT$4:$AZ$5</c:f>
              <c:multiLvlStrCache>
                <c:ptCount val="7"/>
                <c:lvl>
                  <c:pt idx="0">
                    <c:v> A1</c:v>
                  </c:pt>
                  <c:pt idx="1">
                    <c:v> A2</c:v>
                  </c:pt>
                  <c:pt idx="2">
                    <c:v>B </c:v>
                  </c:pt>
                  <c:pt idx="3">
                    <c:v> C</c:v>
                  </c:pt>
                  <c:pt idx="4">
                    <c:v>D1</c:v>
                  </c:pt>
                  <c:pt idx="5">
                    <c:v>D2</c:v>
                  </c:pt>
                  <c:pt idx="6">
                    <c:v>E</c:v>
                  </c:pt>
                </c:lvl>
                <c:lvl>
                  <c:pt idx="0">
                    <c:v>Grupo A
Depositos de Almacenamiento 
de Gran Volumen</c:v>
                  </c:pt>
                  <c:pt idx="2">
                    <c:v>Grupo B
Depositos de Transporte de Agua Moviles</c:v>
                  </c:pt>
                  <c:pt idx="3">
                    <c:v>Grupo C
Depositos Fijos de Almacenamiento de Agua</c:v>
                  </c:pt>
                  <c:pt idx="4">
                    <c:v>Grupo D
Depositos para Eliminacion</c:v>
                  </c:pt>
                  <c:pt idx="6">
                    <c:v>Grupo E
Depositos Naturales</c:v>
                  </c:pt>
                </c:lvl>
              </c:multiLvlStrCache>
            </c:multiLvlStrRef>
          </c:cat>
          <c:val>
            <c:numRef>
              <c:f>Monteagudo!$AT$147:$AZ$147</c:f>
              <c:numCache>
                <c:formatCode>0.00</c:formatCode>
                <c:ptCount val="7"/>
                <c:pt idx="0">
                  <c:v>0</c:v>
                </c:pt>
                <c:pt idx="1">
                  <c:v>33.333333333333329</c:v>
                </c:pt>
                <c:pt idx="2">
                  <c:v>33.333333333333329</c:v>
                </c:pt>
                <c:pt idx="3">
                  <c:v>6.666666666666667</c:v>
                </c:pt>
                <c:pt idx="4">
                  <c:v>20</c:v>
                </c:pt>
                <c:pt idx="5">
                  <c:v>6.666666666666667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5-4FFF-BA61-C1ECC0894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48840"/>
        <c:axId val="191870840"/>
      </c:barChart>
      <c:catAx>
        <c:axId val="190948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1870840"/>
        <c:crosses val="autoZero"/>
        <c:auto val="1"/>
        <c:lblAlgn val="ctr"/>
        <c:lblOffset val="100"/>
        <c:noMultiLvlLbl val="0"/>
      </c:catAx>
      <c:valAx>
        <c:axId val="191870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Porcentaje</a:t>
                </a:r>
              </a:p>
            </c:rich>
          </c:tx>
          <c:layout>
            <c:manualLayout>
              <c:xMode val="edge"/>
              <c:yMode val="edge"/>
              <c:x val="8.4645147989044559E-3"/>
              <c:y val="0.38683530046542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0948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4803149606299213" l="0.5" r="0.70866141732283472" t="0.74803149606299213" header="0.31496062992125984" footer="0.31496062992125984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ES"/>
              <a:t>Indicadores</a:t>
            </a:r>
            <a:r>
              <a:rPr lang="es-ES" baseline="0"/>
              <a:t> entomologicos de encuesta larvaria de aedes aegypti Monteagudo 2025</a:t>
            </a:r>
            <a:endParaRPr lang="es-E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Machareti!$AO$5</c:f>
              <c:strCache>
                <c:ptCount val="1"/>
                <c:pt idx="0">
                  <c:v>% 
Indice de 
Infestacion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Machareti!$AF$65:$AQ$65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(Monteagudo!$AO$18,Monteagudo!$AO$29,Monteagudo!$AO$48,Monteagudo!$AO$70,Monteagudo!$AO$74,Monteagudo!$AO$91,Monteagudo!$AO$106,Monteagudo!$AO$121:$AO$122,Monteagudo!$AO$132,Monteagudo!$AO$144,Monteagudo!$AO$147)</c:f>
              <c:numCache>
                <c:formatCode>0.0</c:formatCode>
                <c:ptCount val="12"/>
                <c:pt idx="0">
                  <c:v>7.9032258064516121</c:v>
                </c:pt>
                <c:pt idx="1">
                  <c:v>14.730878186968837</c:v>
                </c:pt>
                <c:pt idx="2">
                  <c:v>7.5342465753424657</c:v>
                </c:pt>
                <c:pt idx="3">
                  <c:v>11.617647058823529</c:v>
                </c:pt>
                <c:pt idx="4">
                  <c:v>6.666666666666667</c:v>
                </c:pt>
                <c:pt idx="5">
                  <c:v>2.3448275862068968</c:v>
                </c:pt>
                <c:pt idx="6">
                  <c:v>1.6243654822335025</c:v>
                </c:pt>
                <c:pt idx="7">
                  <c:v>0.98039215686274506</c:v>
                </c:pt>
                <c:pt idx="9">
                  <c:v>2.9411764705882351</c:v>
                </c:pt>
                <c:pt idx="10">
                  <c:v>2.9154518950437316</c:v>
                </c:pt>
                <c:pt idx="11">
                  <c:v>6.8181818181818175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6-4E05-A427-A8FC9153DF2B}"/>
            </c:ext>
          </c:extLst>
        </c:ser>
        <c:ser>
          <c:idx val="1"/>
          <c:order val="1"/>
          <c:tx>
            <c:strRef>
              <c:f>Machareti!$AP$5</c:f>
              <c:strCache>
                <c:ptCount val="1"/>
                <c:pt idx="0">
                  <c:v>% 
Indice 
Bretau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Machareti!$AF$65:$AQ$65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(Monteagudo!$AP$18,Monteagudo!$AP$29,Monteagudo!$AP$48,Monteagudo!$AP$70,Monteagudo!$AP$74,Monteagudo!$AP$91,Monteagudo!$AP$106,Monteagudo!$AP$121:$AP$122,Monteagudo!$AP$132,Monteagudo!$AP$144,Monteagudo!$AP$147)</c:f>
              <c:numCache>
                <c:formatCode>0.0</c:formatCode>
                <c:ptCount val="12"/>
                <c:pt idx="0">
                  <c:v>11.451612903225806</c:v>
                </c:pt>
                <c:pt idx="1">
                  <c:v>23.512747875354105</c:v>
                </c:pt>
                <c:pt idx="2">
                  <c:v>11.095890410958905</c:v>
                </c:pt>
                <c:pt idx="3">
                  <c:v>14.558823529411766</c:v>
                </c:pt>
                <c:pt idx="4">
                  <c:v>6.666666666666667</c:v>
                </c:pt>
                <c:pt idx="5">
                  <c:v>2.4827586206896552</c:v>
                </c:pt>
                <c:pt idx="6">
                  <c:v>1.7258883248730965</c:v>
                </c:pt>
                <c:pt idx="7">
                  <c:v>0.98039215686274506</c:v>
                </c:pt>
                <c:pt idx="9">
                  <c:v>3.1674208144796379</c:v>
                </c:pt>
                <c:pt idx="10">
                  <c:v>3.2069970845481048</c:v>
                </c:pt>
                <c:pt idx="11">
                  <c:v>6.8181818181818175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6-4E05-A427-A8FC9153D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33464"/>
        <c:axId val="191835032"/>
      </c:barChart>
      <c:catAx>
        <c:axId val="191833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91835032"/>
        <c:crosses val="autoZero"/>
        <c:auto val="1"/>
        <c:lblAlgn val="ctr"/>
        <c:lblOffset val="100"/>
        <c:noMultiLvlLbl val="0"/>
      </c:catAx>
      <c:valAx>
        <c:axId val="19183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ES"/>
                  <a:t>Poecentaje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918334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S"/>
    </a:p>
  </c:txPr>
  <c:printSettings>
    <c:headerFooter/>
    <c:pageMargins b="0.75" l="0.36" r="1.05" t="0.75" header="0.3" footer="0.3"/>
    <c:pageSetup orientation="landscape" horizontalDpi="0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200"/>
              <a:t>Indice de recipientes municipio Huacaya</a:t>
            </a:r>
          </a:p>
          <a:p>
            <a:pPr>
              <a:defRPr sz="1200"/>
            </a:pPr>
            <a:r>
              <a:rPr lang="es-ES" sz="1200" baseline="0"/>
              <a:t>diciembre 2025</a:t>
            </a:r>
            <a:endParaRPr lang="es-ES" sz="12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8922156605424321"/>
          <c:y val="0.19189814814814818"/>
          <c:w val="0.40489020122484687"/>
          <c:h val="0.6748170020414114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D9-46BF-B267-DF780B8A4EB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D9-46BF-B267-DF780B8A4EBC}"/>
              </c:ext>
            </c:extLst>
          </c:dPt>
          <c:dLbls>
            <c:dLbl>
              <c:idx val="0"/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BD9-46BF-B267-DF780B8A4EBC}"/>
                </c:ext>
              </c:extLst>
            </c:dLbl>
            <c:dLbl>
              <c:idx val="1"/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BD9-46BF-B267-DF780B8A4EBC}"/>
                </c:ext>
              </c:extLst>
            </c:dLbl>
            <c:spPr>
              <a:solidFill>
                <a:schemeClr val="lt1"/>
              </a:solidFill>
              <a:ln w="6350" cap="flat" cmpd="sng" algn="ctr">
                <a:solidFill>
                  <a:schemeClr val="dk1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Monteagudo!$AR$5:$AS$5</c:f>
              <c:strCache>
                <c:ptCount val="2"/>
                <c:pt idx="0">
                  <c:v>% Recipientes Secos</c:v>
                </c:pt>
                <c:pt idx="1">
                  <c:v>% Recipientes con Agua</c:v>
                </c:pt>
              </c:strCache>
            </c:strRef>
          </c:cat>
          <c:val>
            <c:numRef>
              <c:f>Huacaya!$AR$24:$AS$24</c:f>
              <c:numCache>
                <c:formatCode>0.00</c:formatCode>
                <c:ptCount val="2"/>
                <c:pt idx="0">
                  <c:v>37.5249500998004</c:v>
                </c:pt>
                <c:pt idx="1">
                  <c:v>62.4750499001996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D9-46BF-B267-DF780B8A4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Indice de Infestacion de tipo de recipiente de Aedes aegypti</a:t>
            </a:r>
          </a:p>
          <a:p>
            <a:pPr>
              <a:defRPr/>
            </a:pPr>
            <a:r>
              <a:rPr lang="es-ES"/>
              <a:t>municipio de Huacaya diciembre</a:t>
            </a:r>
            <a:r>
              <a:rPr lang="es-ES" baseline="0"/>
              <a:t> </a:t>
            </a:r>
            <a:r>
              <a:rPr lang="es-ES"/>
              <a:t>2025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Machareti!$AT$4:$AZ$5</c:f>
              <c:multiLvlStrCache>
                <c:ptCount val="7"/>
                <c:lvl>
                  <c:pt idx="0">
                    <c:v> A1</c:v>
                  </c:pt>
                  <c:pt idx="1">
                    <c:v> A2</c:v>
                  </c:pt>
                  <c:pt idx="2">
                    <c:v>B </c:v>
                  </c:pt>
                  <c:pt idx="3">
                    <c:v> C</c:v>
                  </c:pt>
                  <c:pt idx="4">
                    <c:v>D1</c:v>
                  </c:pt>
                  <c:pt idx="5">
                    <c:v>D2</c:v>
                  </c:pt>
                  <c:pt idx="6">
                    <c:v>E</c:v>
                  </c:pt>
                </c:lvl>
                <c:lvl>
                  <c:pt idx="0">
                    <c:v>Grupo A
Depositos de Almacenamiento 
de Gran Volumen</c:v>
                  </c:pt>
                  <c:pt idx="2">
                    <c:v>Grupo B
Depositos de Transporte de Agua Moviles</c:v>
                  </c:pt>
                  <c:pt idx="3">
                    <c:v>Grupo C
Depositos Fijos de Almacenamiento de Agua</c:v>
                  </c:pt>
                  <c:pt idx="4">
                    <c:v>Grupo D
Depositos para Eliminacion</c:v>
                  </c:pt>
                  <c:pt idx="6">
                    <c:v>Grupo E
Depositos Naturales</c:v>
                  </c:pt>
                </c:lvl>
              </c:multiLvlStrCache>
            </c:multiLvlStrRef>
          </c:cat>
          <c:val>
            <c:numRef>
              <c:f>Huacaya!$AT$24:$AZ$24</c:f>
              <c:numCache>
                <c:formatCode>0.00</c:formatCode>
                <c:ptCount val="7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3-465D-ACAA-A4AD787A5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36600"/>
        <c:axId val="110773808"/>
      </c:barChart>
      <c:catAx>
        <c:axId val="191836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10773808"/>
        <c:crosses val="autoZero"/>
        <c:auto val="1"/>
        <c:lblAlgn val="ctr"/>
        <c:lblOffset val="100"/>
        <c:noMultiLvlLbl val="0"/>
      </c:catAx>
      <c:valAx>
        <c:axId val="1107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Porcentaje</a:t>
                </a:r>
              </a:p>
            </c:rich>
          </c:tx>
          <c:layout>
            <c:manualLayout>
              <c:xMode val="edge"/>
              <c:yMode val="edge"/>
              <c:x val="8.4645147989044559E-3"/>
              <c:y val="0.38683530046542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1836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ES"/>
              <a:t>Indicadores</a:t>
            </a:r>
            <a:r>
              <a:rPr lang="es-ES" baseline="0"/>
              <a:t> entomologicos de encuesta larvaria de aedes aegypti Huacaya 2025</a:t>
            </a:r>
            <a:endParaRPr lang="es-E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Machareti!$AO$5</c:f>
              <c:strCache>
                <c:ptCount val="1"/>
                <c:pt idx="0">
                  <c:v>% 
Indice de 
Infestacion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Machareti!$AF$65:$AQ$65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(Machareti!$AO$14,Machareti!$AO$20,Machareti!$AO$26,Machareti!$AO$34,Machareti!$AO$37,Machareti!$AO$41,Machareti!$AO$45,Machareti!$AO$48,Machareti!$AO$51,Machareti!$AO$54,Machareti!$AO$59,Machareti!$AO$63)</c:f>
              <c:numCache>
                <c:formatCode>0.0</c:formatCode>
                <c:ptCount val="12"/>
                <c:pt idx="0">
                  <c:v>18.277945619335348</c:v>
                </c:pt>
                <c:pt idx="1">
                  <c:v>26.857142857142858</c:v>
                </c:pt>
                <c:pt idx="2">
                  <c:v>29.1358024691358</c:v>
                </c:pt>
                <c:pt idx="3">
                  <c:v>30.107526881720432</c:v>
                </c:pt>
                <c:pt idx="4">
                  <c:v>22.123893805309734</c:v>
                </c:pt>
                <c:pt idx="5">
                  <c:v>10.404624277456648</c:v>
                </c:pt>
                <c:pt idx="6">
                  <c:v>9.1304347826086953</c:v>
                </c:pt>
                <c:pt idx="7">
                  <c:v>5.2631578947368416</c:v>
                </c:pt>
                <c:pt idx="8">
                  <c:v>0</c:v>
                </c:pt>
                <c:pt idx="9">
                  <c:v>3.3333333333333335</c:v>
                </c:pt>
                <c:pt idx="10">
                  <c:v>9.5419847328244281</c:v>
                </c:pt>
                <c:pt idx="11">
                  <c:v>14.705882352941178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6-4DC0-A537-A9B815ECF066}"/>
            </c:ext>
          </c:extLst>
        </c:ser>
        <c:ser>
          <c:idx val="1"/>
          <c:order val="1"/>
          <c:tx>
            <c:strRef>
              <c:f>Machareti!$AP$5</c:f>
              <c:strCache>
                <c:ptCount val="1"/>
                <c:pt idx="0">
                  <c:v>% 
Indice 
Bretau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Machareti!$AF$65:$AQ$65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(Machareti!$AP$14,Machareti!$AP$20,Machareti!$AP$26,Machareti!$AP$34,Machareti!$AP$37,Machareti!$AP$41,Machareti!$AP$45,Machareti!$AP$48,Machareti!$AP$51,Machareti!$AP$54,Machareti!$AP$59,Machareti!$AP$63)</c:f>
              <c:numCache>
                <c:formatCode>0.0</c:formatCode>
                <c:ptCount val="12"/>
                <c:pt idx="0">
                  <c:v>30.815709969788518</c:v>
                </c:pt>
                <c:pt idx="1">
                  <c:v>45.428571428571431</c:v>
                </c:pt>
                <c:pt idx="2">
                  <c:v>50.123456790123456</c:v>
                </c:pt>
                <c:pt idx="3">
                  <c:v>61.55913978494624</c:v>
                </c:pt>
                <c:pt idx="4">
                  <c:v>32.743362831858406</c:v>
                </c:pt>
                <c:pt idx="5">
                  <c:v>12.138728323699421</c:v>
                </c:pt>
                <c:pt idx="6">
                  <c:v>10</c:v>
                </c:pt>
                <c:pt idx="7">
                  <c:v>6.140350877192982</c:v>
                </c:pt>
                <c:pt idx="8">
                  <c:v>0</c:v>
                </c:pt>
                <c:pt idx="9">
                  <c:v>3.3333333333333335</c:v>
                </c:pt>
                <c:pt idx="10">
                  <c:v>13.549618320610687</c:v>
                </c:pt>
                <c:pt idx="11">
                  <c:v>15.294117647058824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A6-4DC0-A537-A9B815ECF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73024"/>
        <c:axId val="110772632"/>
      </c:barChart>
      <c:catAx>
        <c:axId val="1107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10772632"/>
        <c:crosses val="autoZero"/>
        <c:auto val="1"/>
        <c:lblAlgn val="ctr"/>
        <c:lblOffset val="100"/>
        <c:noMultiLvlLbl val="0"/>
      </c:catAx>
      <c:valAx>
        <c:axId val="11077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ES"/>
                  <a:t>Porcentaje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107730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S"/>
    </a:p>
  </c:txPr>
  <c:printSettings>
    <c:headerFooter/>
    <c:pageMargins b="0.75" l="0.36" r="1.05" t="0.75" header="0.3" footer="0.3"/>
    <c:pageSetup orientation="landscape" horizontalDpi="0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200"/>
              <a:t>Indice de recipientes municipio Huacareta</a:t>
            </a:r>
          </a:p>
          <a:p>
            <a:pPr>
              <a:defRPr sz="1200"/>
            </a:pPr>
            <a:r>
              <a:rPr lang="es-ES" sz="1200" baseline="0"/>
              <a:t>noviembre 2025</a:t>
            </a:r>
            <a:endParaRPr lang="es-ES" sz="12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8922156605424321"/>
          <c:y val="0.19189814814814818"/>
          <c:w val="0.40489020122484687"/>
          <c:h val="0.6748170020414114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9-43B9-A192-BEEC92E6FBF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9-43B9-A192-BEEC92E6FBFB}"/>
              </c:ext>
            </c:extLst>
          </c:dPt>
          <c:dLbls>
            <c:dLbl>
              <c:idx val="0"/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C29-43B9-A192-BEEC92E6FBFB}"/>
                </c:ext>
              </c:extLst>
            </c:dLbl>
            <c:dLbl>
              <c:idx val="1"/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C29-43B9-A192-BEEC92E6FBFB}"/>
                </c:ext>
              </c:extLst>
            </c:dLbl>
            <c:spPr>
              <a:solidFill>
                <a:schemeClr val="lt1"/>
              </a:solidFill>
              <a:ln w="6350" cap="flat" cmpd="sng" algn="ctr">
                <a:solidFill>
                  <a:schemeClr val="dk1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Monteagudo!$AR$5:$AS$5</c:f>
              <c:strCache>
                <c:ptCount val="2"/>
                <c:pt idx="0">
                  <c:v>% Recipientes Secos</c:v>
                </c:pt>
                <c:pt idx="1">
                  <c:v>% Recipientes con Agua</c:v>
                </c:pt>
              </c:strCache>
            </c:strRef>
          </c:cat>
          <c:val>
            <c:numRef>
              <c:f>Huacareta!$AR$44:$AS$44</c:f>
              <c:numCache>
                <c:formatCode>0.00</c:formatCode>
                <c:ptCount val="2"/>
                <c:pt idx="0">
                  <c:v>35.406698564593306</c:v>
                </c:pt>
                <c:pt idx="1">
                  <c:v>64.593301435406701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29-43B9-A192-BEEC92E6F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Indice de Infestacion de tipo de recipiente de Aedes aegypti</a:t>
            </a:r>
          </a:p>
          <a:p>
            <a:pPr>
              <a:defRPr/>
            </a:pPr>
            <a:r>
              <a:rPr lang="es-ES"/>
              <a:t>municipio de Huacareta diciembre 2025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Machareti!$AT$4:$AZ$5</c:f>
              <c:multiLvlStrCache>
                <c:ptCount val="7"/>
                <c:lvl>
                  <c:pt idx="0">
                    <c:v> A1</c:v>
                  </c:pt>
                  <c:pt idx="1">
                    <c:v> A2</c:v>
                  </c:pt>
                  <c:pt idx="2">
                    <c:v>B </c:v>
                  </c:pt>
                  <c:pt idx="3">
                    <c:v> C</c:v>
                  </c:pt>
                  <c:pt idx="4">
                    <c:v>D1</c:v>
                  </c:pt>
                  <c:pt idx="5">
                    <c:v>D2</c:v>
                  </c:pt>
                  <c:pt idx="6">
                    <c:v>E</c:v>
                  </c:pt>
                </c:lvl>
                <c:lvl>
                  <c:pt idx="0">
                    <c:v>Grupo A
Depositos de Almacenamiento 
de Gran Volumen</c:v>
                  </c:pt>
                  <c:pt idx="2">
                    <c:v>Grupo B
Depositos de Transporte de Agua Moviles</c:v>
                  </c:pt>
                  <c:pt idx="3">
                    <c:v>Grupo C
Depositos Fijos de Almacenamiento de Agua</c:v>
                  </c:pt>
                  <c:pt idx="4">
                    <c:v>Grupo D
Depositos para Eliminacion</c:v>
                  </c:pt>
                  <c:pt idx="6">
                    <c:v>Grupo E
Depositos Naturales</c:v>
                  </c:pt>
                </c:lvl>
              </c:multiLvlStrCache>
            </c:multiLvlStrRef>
          </c:cat>
          <c:val>
            <c:numRef>
              <c:f>Huacareta!$AT$44:$AZ$44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C-4BC3-9CD9-C1BCF6513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618336"/>
        <c:axId val="192618728"/>
      </c:barChart>
      <c:catAx>
        <c:axId val="19261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618728"/>
        <c:crosses val="autoZero"/>
        <c:auto val="1"/>
        <c:lblAlgn val="ctr"/>
        <c:lblOffset val="100"/>
        <c:noMultiLvlLbl val="0"/>
      </c:catAx>
      <c:valAx>
        <c:axId val="19261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Porcentaje</a:t>
                </a:r>
              </a:p>
            </c:rich>
          </c:tx>
          <c:layout>
            <c:manualLayout>
              <c:xMode val="edge"/>
              <c:yMode val="edge"/>
              <c:x val="8.4645147989044559E-3"/>
              <c:y val="0.38683530046542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61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ES"/>
              <a:t>Indicadores</a:t>
            </a:r>
            <a:r>
              <a:rPr lang="es-ES" baseline="0"/>
              <a:t> entomologicos de encuesta larvaria de aedes aegypti Huacareta 2025</a:t>
            </a:r>
            <a:endParaRPr lang="es-E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Machareti!$AO$5</c:f>
              <c:strCache>
                <c:ptCount val="1"/>
                <c:pt idx="0">
                  <c:v>% 
Indice de 
Infestacion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Machareti!$AF$65:$AQ$65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(Huacareta!$AO$10,Huacareta!$AO$14,Huacareta!$AO$18,Huacareta!$AO$23,Huacareta!$AO$27:$AO$31,Huacareta!$AO$34,Huacareta!$AO$40,Huacareta!$AO$44)</c:f>
              <c:numCache>
                <c:formatCode>0.0</c:formatCode>
                <c:ptCount val="12"/>
                <c:pt idx="0">
                  <c:v>0.50590219224283306</c:v>
                </c:pt>
                <c:pt idx="1">
                  <c:v>1.1152416356877324</c:v>
                </c:pt>
                <c:pt idx="2">
                  <c:v>1.6605166051660518</c:v>
                </c:pt>
                <c:pt idx="3">
                  <c:v>1.3651877133105803</c:v>
                </c:pt>
                <c:pt idx="4">
                  <c:v>0</c:v>
                </c:pt>
                <c:pt idx="9">
                  <c:v>0</c:v>
                </c:pt>
                <c:pt idx="10">
                  <c:v>1.6901408450704223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4-4D30-8C3F-8A520059A843}"/>
            </c:ext>
          </c:extLst>
        </c:ser>
        <c:ser>
          <c:idx val="1"/>
          <c:order val="1"/>
          <c:tx>
            <c:strRef>
              <c:f>Machareti!$AP$5</c:f>
              <c:strCache>
                <c:ptCount val="1"/>
                <c:pt idx="0">
                  <c:v>% 
Indice 
Bretau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Machareti!$AF$65:$AQ$65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(Huacareta!$AP$10,Huacareta!$AP$14,Huacareta!$AP$18,Huacareta!$AP$23,Huacareta!$AP$27:$AP$31,Huacareta!$AP$34,Huacareta!$AP$40,Huacareta!$AP$44)</c:f>
              <c:numCache>
                <c:formatCode>0.0</c:formatCode>
                <c:ptCount val="12"/>
                <c:pt idx="0">
                  <c:v>1.1804384485666104</c:v>
                </c:pt>
                <c:pt idx="1">
                  <c:v>1.1152416356877324</c:v>
                </c:pt>
                <c:pt idx="2">
                  <c:v>1.6605166051660518</c:v>
                </c:pt>
                <c:pt idx="3">
                  <c:v>1.5358361774744027</c:v>
                </c:pt>
                <c:pt idx="4">
                  <c:v>0</c:v>
                </c:pt>
                <c:pt idx="9">
                  <c:v>0</c:v>
                </c:pt>
                <c:pt idx="10">
                  <c:v>1.6901408450704223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E4-4D30-8C3F-8A520059A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619512"/>
        <c:axId val="192619904"/>
      </c:barChart>
      <c:catAx>
        <c:axId val="192619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92619904"/>
        <c:crosses val="autoZero"/>
        <c:auto val="1"/>
        <c:lblAlgn val="ctr"/>
        <c:lblOffset val="100"/>
        <c:noMultiLvlLbl val="0"/>
      </c:catAx>
      <c:valAx>
        <c:axId val="19261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ES"/>
                  <a:t>Poecentaje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926195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S"/>
    </a:p>
  </c:txPr>
  <c:printSettings>
    <c:headerFooter/>
    <c:pageMargins b="0.75" l="0.36" r="1.05" t="0.75" header="0.3" footer="0.3"/>
    <c:pageSetup orientation="landscape" horizontalDpi="0" verticalDpi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200"/>
              <a:t>Indice de recipientes municipio Villa Vacaguzman</a:t>
            </a:r>
          </a:p>
          <a:p>
            <a:pPr>
              <a:defRPr sz="1200"/>
            </a:pPr>
            <a:r>
              <a:rPr lang="es-ES" sz="1200" baseline="0"/>
              <a:t>diciembre 2025</a:t>
            </a:r>
            <a:endParaRPr lang="es-ES" sz="12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8922156605424321"/>
          <c:y val="0.19189814814814818"/>
          <c:w val="0.40489020122484687"/>
          <c:h val="0.6748170020414114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5D-40F6-8896-BAB23009F79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5D-40F6-8896-BAB23009F79C}"/>
              </c:ext>
            </c:extLst>
          </c:dPt>
          <c:dLbls>
            <c:dLbl>
              <c:idx val="0"/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C5D-40F6-8896-BAB23009F79C}"/>
                </c:ext>
              </c:extLst>
            </c:dLbl>
            <c:dLbl>
              <c:idx val="1"/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C5D-40F6-8896-BAB23009F79C}"/>
                </c:ext>
              </c:extLst>
            </c:dLbl>
            <c:spPr>
              <a:solidFill>
                <a:schemeClr val="lt1"/>
              </a:solidFill>
              <a:ln w="6350" cap="flat" cmpd="sng" algn="ctr">
                <a:solidFill>
                  <a:schemeClr val="dk1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Monteagudo!$AR$5:$AS$5</c:f>
              <c:strCache>
                <c:ptCount val="2"/>
                <c:pt idx="0">
                  <c:v>% Recipientes Secos</c:v>
                </c:pt>
                <c:pt idx="1">
                  <c:v>% Recipientes con Agua</c:v>
                </c:pt>
              </c:strCache>
            </c:strRef>
          </c:cat>
          <c:val>
            <c:numRef>
              <c:f>Muyupampa!$AS$67:$AT$67</c:f>
              <c:numCache>
                <c:formatCode>0.00</c:formatCode>
                <c:ptCount val="2"/>
                <c:pt idx="0">
                  <c:v>28.235294117647058</c:v>
                </c:pt>
                <c:pt idx="1">
                  <c:v>71.764705882352942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5D-40F6-8896-BAB23009F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Indice de Infestacion de tipo de recipiente de Aedes aegypti</a:t>
            </a:r>
          </a:p>
          <a:p>
            <a:pPr>
              <a:defRPr/>
            </a:pPr>
            <a:r>
              <a:rPr lang="es-ES"/>
              <a:t>municipio de Villa Vacaguzman diciembre 2025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Machareti!$AT$4:$AZ$5</c:f>
              <c:multiLvlStrCache>
                <c:ptCount val="7"/>
                <c:lvl>
                  <c:pt idx="0">
                    <c:v> A1</c:v>
                  </c:pt>
                  <c:pt idx="1">
                    <c:v> A2</c:v>
                  </c:pt>
                  <c:pt idx="2">
                    <c:v>B </c:v>
                  </c:pt>
                  <c:pt idx="3">
                    <c:v> C</c:v>
                  </c:pt>
                  <c:pt idx="4">
                    <c:v>D1</c:v>
                  </c:pt>
                  <c:pt idx="5">
                    <c:v>D2</c:v>
                  </c:pt>
                  <c:pt idx="6">
                    <c:v>E</c:v>
                  </c:pt>
                </c:lvl>
                <c:lvl>
                  <c:pt idx="0">
                    <c:v>Grupo A
Depositos de Almacenamiento 
de Gran Volumen</c:v>
                  </c:pt>
                  <c:pt idx="2">
                    <c:v>Grupo B
Depositos de Transporte de Agua Moviles</c:v>
                  </c:pt>
                  <c:pt idx="3">
                    <c:v>Grupo C
Depositos Fijos de Almacenamiento de Agua</c:v>
                  </c:pt>
                  <c:pt idx="4">
                    <c:v>Grupo D
Depositos para Eliminacion</c:v>
                  </c:pt>
                  <c:pt idx="6">
                    <c:v>Grupo E
Depositos Naturales</c:v>
                  </c:pt>
                </c:lvl>
              </c:multiLvlStrCache>
            </c:multiLvlStrRef>
          </c:cat>
          <c:val>
            <c:numRef>
              <c:f>Muyupampa!$AU$67:$BA$67</c:f>
              <c:numCache>
                <c:formatCode>0.00</c:formatCode>
                <c:ptCount val="7"/>
                <c:pt idx="0">
                  <c:v>0</c:v>
                </c:pt>
                <c:pt idx="1">
                  <c:v>40</c:v>
                </c:pt>
                <c:pt idx="2">
                  <c:v>0</c:v>
                </c:pt>
                <c:pt idx="3">
                  <c:v>0</c:v>
                </c:pt>
                <c:pt idx="4">
                  <c:v>40</c:v>
                </c:pt>
                <c:pt idx="5">
                  <c:v>20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D-41C6-8439-4800F77AD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786512"/>
        <c:axId val="192786904"/>
      </c:barChart>
      <c:catAx>
        <c:axId val="19278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786904"/>
        <c:crosses val="autoZero"/>
        <c:auto val="1"/>
        <c:lblAlgn val="ctr"/>
        <c:lblOffset val="100"/>
        <c:noMultiLvlLbl val="0"/>
      </c:catAx>
      <c:valAx>
        <c:axId val="19278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Porcentaje</a:t>
                </a:r>
              </a:p>
            </c:rich>
          </c:tx>
          <c:layout>
            <c:manualLayout>
              <c:xMode val="edge"/>
              <c:yMode val="edge"/>
              <c:x val="8.4645147989044559E-3"/>
              <c:y val="0.38683530046542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78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ES"/>
              <a:t>Indicadores</a:t>
            </a:r>
            <a:r>
              <a:rPr lang="es-ES" baseline="0"/>
              <a:t> entomologicos de encuesta larvaria de aedes aegypti Villa Vacaguzman 2025</a:t>
            </a:r>
            <a:endParaRPr lang="es-E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Machareti!$AO$5</c:f>
              <c:strCache>
                <c:ptCount val="1"/>
                <c:pt idx="0">
                  <c:v>% 
Indice de 
Infestacion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Machareti!$AF$65:$AQ$65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(Muyupampa!$AP$12,Muyupampa!$AP$27,Muyupampa!$AP$34,Muyupampa!$AP$41:$AP$46,Muyupampa!$AP$53,Muyupampa!$AP$60,Muyupampa!$AP$67)</c:f>
              <c:numCache>
                <c:formatCode>0.0</c:formatCode>
                <c:ptCount val="12"/>
                <c:pt idx="0">
                  <c:v>3.2520325203252036</c:v>
                </c:pt>
                <c:pt idx="1">
                  <c:v>2.7272727272727271</c:v>
                </c:pt>
                <c:pt idx="2">
                  <c:v>0</c:v>
                </c:pt>
                <c:pt idx="3">
                  <c:v>2.4945770065075923</c:v>
                </c:pt>
                <c:pt idx="9">
                  <c:v>0</c:v>
                </c:pt>
                <c:pt idx="10">
                  <c:v>2.0920502092050208</c:v>
                </c:pt>
                <c:pt idx="11">
                  <c:v>2.8089887640449436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C-4DB4-84BC-0BA69C7392B5}"/>
            </c:ext>
          </c:extLst>
        </c:ser>
        <c:ser>
          <c:idx val="1"/>
          <c:order val="1"/>
          <c:tx>
            <c:strRef>
              <c:f>Machareti!$AP$5</c:f>
              <c:strCache>
                <c:ptCount val="1"/>
                <c:pt idx="0">
                  <c:v>% 
Indice 
Bretau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Machareti!$AF$65:$AQ$65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(Muyupampa!$AQ$12,Muyupampa!$AQ$27,Muyupampa!$AQ$34,Muyupampa!$AQ$41:$AQ$46,Muyupampa!$AQ$53,Muyupampa!$AQ$60,Muyupampa!$AQ$67)</c:f>
              <c:numCache>
                <c:formatCode>0.0</c:formatCode>
                <c:ptCount val="12"/>
                <c:pt idx="0">
                  <c:v>3.2520325203252036</c:v>
                </c:pt>
                <c:pt idx="1">
                  <c:v>2.7272727272727271</c:v>
                </c:pt>
                <c:pt idx="2">
                  <c:v>0</c:v>
                </c:pt>
                <c:pt idx="3">
                  <c:v>2.9284164859002169</c:v>
                </c:pt>
                <c:pt idx="9">
                  <c:v>0</c:v>
                </c:pt>
                <c:pt idx="10">
                  <c:v>2.0920502092050208</c:v>
                </c:pt>
                <c:pt idx="11">
                  <c:v>2.8089887640449436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8C-4DB4-84BC-0BA69C739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787688"/>
        <c:axId val="192788080"/>
      </c:barChart>
      <c:catAx>
        <c:axId val="192787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92788080"/>
        <c:crosses val="autoZero"/>
        <c:auto val="1"/>
        <c:lblAlgn val="ctr"/>
        <c:lblOffset val="100"/>
        <c:noMultiLvlLbl val="0"/>
      </c:catAx>
      <c:valAx>
        <c:axId val="19278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ES"/>
                  <a:t>Porcentaje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927876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S"/>
    </a:p>
  </c:txPr>
  <c:printSettings>
    <c:headerFooter/>
    <c:pageMargins b="0.75" l="0.36" r="1.05" t="0.75" header="0.3" footer="0.3"/>
    <c:pageSetup orientation="landscape" horizontalDpi="0" verticalDpi="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Indice de Infestacion de tipo de recipiente de Aedes aegypti</a:t>
            </a:r>
          </a:p>
          <a:p>
            <a:pPr>
              <a:defRPr/>
            </a:pPr>
            <a:r>
              <a:rPr lang="es-ES"/>
              <a:t>municipio de Padilla</a:t>
            </a:r>
            <a:r>
              <a:rPr lang="es-ES" baseline="0"/>
              <a:t> diciembre </a:t>
            </a:r>
            <a:r>
              <a:rPr lang="es-ES"/>
              <a:t>2025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Machareti!$AT$4:$AZ$5</c:f>
              <c:multiLvlStrCache>
                <c:ptCount val="7"/>
                <c:lvl>
                  <c:pt idx="0">
                    <c:v> A1</c:v>
                  </c:pt>
                  <c:pt idx="1">
                    <c:v> A2</c:v>
                  </c:pt>
                  <c:pt idx="2">
                    <c:v>B </c:v>
                  </c:pt>
                  <c:pt idx="3">
                    <c:v> C</c:v>
                  </c:pt>
                  <c:pt idx="4">
                    <c:v>D1</c:v>
                  </c:pt>
                  <c:pt idx="5">
                    <c:v>D2</c:v>
                  </c:pt>
                  <c:pt idx="6">
                    <c:v>E</c:v>
                  </c:pt>
                </c:lvl>
                <c:lvl>
                  <c:pt idx="0">
                    <c:v>Grupo A
Depositos de Almacenamiento 
de Gran Volumen</c:v>
                  </c:pt>
                  <c:pt idx="2">
                    <c:v>Grupo B
Depositos de Transporte de Agua Moviles</c:v>
                  </c:pt>
                  <c:pt idx="3">
                    <c:v>Grupo C
Depositos Fijos de Almacenamiento de Agua</c:v>
                  </c:pt>
                  <c:pt idx="4">
                    <c:v>Grupo D
Depositos para Eliminacion</c:v>
                  </c:pt>
                  <c:pt idx="6">
                    <c:v>Grupo E
Depositos Naturales</c:v>
                  </c:pt>
                </c:lvl>
              </c:multiLvlStrCache>
            </c:multiLvlStrRef>
          </c:cat>
          <c:val>
            <c:numRef>
              <c:f>Padilla!$AT$29:$AZ$29</c:f>
              <c:numCache>
                <c:formatCode>0.00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50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6-494A-9957-FE16CBCBC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788864"/>
        <c:axId val="192789648"/>
      </c:barChart>
      <c:catAx>
        <c:axId val="1927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789648"/>
        <c:crosses val="autoZero"/>
        <c:auto val="1"/>
        <c:lblAlgn val="ctr"/>
        <c:lblOffset val="100"/>
        <c:noMultiLvlLbl val="0"/>
      </c:catAx>
      <c:valAx>
        <c:axId val="19278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Porcentaje</a:t>
                </a:r>
              </a:p>
            </c:rich>
          </c:tx>
          <c:layout>
            <c:manualLayout>
              <c:xMode val="edge"/>
              <c:yMode val="edge"/>
              <c:x val="8.4645147989044559E-3"/>
              <c:y val="0.38683530046542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78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45" r="0.7" t="0.75" header="0.3" footer="0.3"/>
    <c:pageSetup orientation="landscape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200"/>
              <a:t>Indice de recipientes municipio Padilla</a:t>
            </a:r>
          </a:p>
          <a:p>
            <a:pPr>
              <a:defRPr sz="1200"/>
            </a:pPr>
            <a:r>
              <a:rPr lang="es-ES" sz="1200" baseline="0"/>
              <a:t>diciembre 2025</a:t>
            </a:r>
            <a:endParaRPr lang="es-ES" sz="12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8922156605424321"/>
          <c:y val="0.19189814814814818"/>
          <c:w val="0.40489020122484687"/>
          <c:h val="0.6748170020414114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FA-4807-AAA6-653AC75D4C1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FA-4807-AAA6-653AC75D4C18}"/>
              </c:ext>
            </c:extLst>
          </c:dPt>
          <c:dLbls>
            <c:dLbl>
              <c:idx val="0"/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EFA-4807-AAA6-653AC75D4C18}"/>
                </c:ext>
              </c:extLst>
            </c:dLbl>
            <c:dLbl>
              <c:idx val="1"/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EFA-4807-AAA6-653AC75D4C18}"/>
                </c:ext>
              </c:extLst>
            </c:dLbl>
            <c:spPr>
              <a:solidFill>
                <a:schemeClr val="lt1"/>
              </a:solidFill>
              <a:ln w="6350" cap="flat" cmpd="sng" algn="ctr">
                <a:solidFill>
                  <a:schemeClr val="dk1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Monteagudo!$AR$5:$AS$5</c:f>
              <c:strCache>
                <c:ptCount val="2"/>
                <c:pt idx="0">
                  <c:v>% Recipientes Secos</c:v>
                </c:pt>
                <c:pt idx="1">
                  <c:v>% Recipientes con Agua</c:v>
                </c:pt>
              </c:strCache>
            </c:strRef>
          </c:cat>
          <c:val>
            <c:numRef>
              <c:f>Padilla!$AR$29:$AS$29</c:f>
              <c:numCache>
                <c:formatCode>0.00</c:formatCode>
                <c:ptCount val="2"/>
                <c:pt idx="0">
                  <c:v>63.492063492063487</c:v>
                </c:pt>
                <c:pt idx="1">
                  <c:v>36.507936507936506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FA-4807-AAA6-653AC75D4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200"/>
              <a:t>Indice de recipientes municipio Sucre</a:t>
            </a:r>
          </a:p>
          <a:p>
            <a:pPr>
              <a:defRPr sz="1200"/>
            </a:pPr>
            <a:r>
              <a:rPr lang="es-ES" sz="1200" baseline="0"/>
              <a:t>diciembre 2025</a:t>
            </a:r>
            <a:endParaRPr lang="es-ES" sz="12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8922156605424321"/>
          <c:y val="0.19189814814814818"/>
          <c:w val="0.40489020122484687"/>
          <c:h val="0.6748170020414114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74-4948-AD1E-E66973E2586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74-4948-AD1E-E66973E2586E}"/>
              </c:ext>
            </c:extLst>
          </c:dPt>
          <c:dLbls>
            <c:dLbl>
              <c:idx val="0"/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B74-4948-AD1E-E66973E2586E}"/>
                </c:ext>
              </c:extLst>
            </c:dLbl>
            <c:dLbl>
              <c:idx val="1"/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B74-4948-AD1E-E66973E2586E}"/>
                </c:ext>
              </c:extLst>
            </c:dLbl>
            <c:spPr>
              <a:solidFill>
                <a:schemeClr val="lt1"/>
              </a:solidFill>
              <a:ln w="6350" cap="flat" cmpd="sng" algn="ctr">
                <a:solidFill>
                  <a:schemeClr val="dk1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Monteagudo!$AR$5:$AS$5</c:f>
              <c:strCache>
                <c:ptCount val="2"/>
                <c:pt idx="0">
                  <c:v>% Recipientes Secos</c:v>
                </c:pt>
                <c:pt idx="1">
                  <c:v>% Recipientes con Agua</c:v>
                </c:pt>
              </c:strCache>
            </c:strRef>
          </c:cat>
          <c:val>
            <c:numRef>
              <c:f>Sucre!$AR$53:$AS$53</c:f>
              <c:numCache>
                <c:formatCode>0.00</c:formatCode>
                <c:ptCount val="2"/>
                <c:pt idx="0">
                  <c:v>86.541471048513301</c:v>
                </c:pt>
                <c:pt idx="1">
                  <c:v>13.458528951486699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74-4948-AD1E-E66973E25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Indice de Infestacion de tipo de recipiente de Aedes aegypti</a:t>
            </a:r>
          </a:p>
          <a:p>
            <a:pPr>
              <a:defRPr/>
            </a:pPr>
            <a:r>
              <a:rPr lang="es-ES"/>
              <a:t>municipio de Sucre diciembre 2025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Machareti!$AT$4:$AZ$5</c:f>
              <c:multiLvlStrCache>
                <c:ptCount val="7"/>
                <c:lvl>
                  <c:pt idx="0">
                    <c:v> A1</c:v>
                  </c:pt>
                  <c:pt idx="1">
                    <c:v> A2</c:v>
                  </c:pt>
                  <c:pt idx="2">
                    <c:v>B </c:v>
                  </c:pt>
                  <c:pt idx="3">
                    <c:v> C</c:v>
                  </c:pt>
                  <c:pt idx="4">
                    <c:v>D1</c:v>
                  </c:pt>
                  <c:pt idx="5">
                    <c:v>D2</c:v>
                  </c:pt>
                  <c:pt idx="6">
                    <c:v>E</c:v>
                  </c:pt>
                </c:lvl>
                <c:lvl>
                  <c:pt idx="0">
                    <c:v>Grupo A
Depositos de Almacenamiento 
de Gran Volumen</c:v>
                  </c:pt>
                  <c:pt idx="2">
                    <c:v>Grupo B
Depositos de Transporte de Agua Moviles</c:v>
                  </c:pt>
                  <c:pt idx="3">
                    <c:v>Grupo C
Depositos Fijos de Almacenamiento de Agua</c:v>
                  </c:pt>
                  <c:pt idx="4">
                    <c:v>Grupo D
Depositos para Eliminacion</c:v>
                  </c:pt>
                  <c:pt idx="6">
                    <c:v>Grupo E
Depositos Naturales</c:v>
                  </c:pt>
                </c:lvl>
              </c:multiLvlStrCache>
            </c:multiLvlStrRef>
          </c:cat>
          <c:val>
            <c:numRef>
              <c:f>Sucre!$AT$53:$AZ$53</c:f>
              <c:numCache>
                <c:formatCode>0.00</c:formatCode>
                <c:ptCount val="7"/>
                <c:pt idx="0">
                  <c:v>0</c:v>
                </c:pt>
                <c:pt idx="1">
                  <c:v>28.571428571428569</c:v>
                </c:pt>
                <c:pt idx="2">
                  <c:v>28.571428571428569</c:v>
                </c:pt>
                <c:pt idx="3">
                  <c:v>0</c:v>
                </c:pt>
                <c:pt idx="4">
                  <c:v>42.857142857142854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E-4051-B235-8726507D7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688448"/>
        <c:axId val="193688840"/>
      </c:barChart>
      <c:catAx>
        <c:axId val="19368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3688840"/>
        <c:crosses val="autoZero"/>
        <c:auto val="1"/>
        <c:lblAlgn val="ctr"/>
        <c:lblOffset val="100"/>
        <c:noMultiLvlLbl val="0"/>
      </c:catAx>
      <c:valAx>
        <c:axId val="193688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Porcentaje</a:t>
                </a:r>
              </a:p>
            </c:rich>
          </c:tx>
          <c:layout>
            <c:manualLayout>
              <c:xMode val="edge"/>
              <c:yMode val="edge"/>
              <c:x val="8.4645147989044559E-3"/>
              <c:y val="0.38683530046542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368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landscape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ES"/>
              <a:t>Indicadores</a:t>
            </a:r>
            <a:r>
              <a:rPr lang="es-ES" baseline="0"/>
              <a:t> entomologicos de encuesta larvaria de aedes aegypti Sucre 2025</a:t>
            </a:r>
            <a:endParaRPr lang="es-E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Machareti!$AO$5</c:f>
              <c:strCache>
                <c:ptCount val="1"/>
                <c:pt idx="0">
                  <c:v>% 
Indice de 
Infestacion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Machareti!$AF$65:$AQ$65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(Machareti!$AO$14,Machareti!$AO$20,Machareti!$AO$26,Machareti!$AO$34,Machareti!$AO$37,Machareti!$AO$41,Machareti!$AO$45,Machareti!$AO$48,Machareti!$AO$51,Machareti!$AO$54,Machareti!$AO$59,Machareti!$AO$63)</c:f>
              <c:numCache>
                <c:formatCode>0.0</c:formatCode>
                <c:ptCount val="12"/>
                <c:pt idx="0">
                  <c:v>18.277945619335348</c:v>
                </c:pt>
                <c:pt idx="1">
                  <c:v>26.857142857142858</c:v>
                </c:pt>
                <c:pt idx="2">
                  <c:v>29.1358024691358</c:v>
                </c:pt>
                <c:pt idx="3">
                  <c:v>30.107526881720432</c:v>
                </c:pt>
                <c:pt idx="4">
                  <c:v>22.123893805309734</c:v>
                </c:pt>
                <c:pt idx="5">
                  <c:v>10.404624277456648</c:v>
                </c:pt>
                <c:pt idx="6">
                  <c:v>9.1304347826086953</c:v>
                </c:pt>
                <c:pt idx="7">
                  <c:v>5.2631578947368416</c:v>
                </c:pt>
                <c:pt idx="8">
                  <c:v>0</c:v>
                </c:pt>
                <c:pt idx="9">
                  <c:v>3.3333333333333335</c:v>
                </c:pt>
                <c:pt idx="10">
                  <c:v>9.5419847328244281</c:v>
                </c:pt>
                <c:pt idx="11">
                  <c:v>14.705882352941178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4-4BE0-8324-7A7DE19CB9FF}"/>
            </c:ext>
          </c:extLst>
        </c:ser>
        <c:ser>
          <c:idx val="1"/>
          <c:order val="1"/>
          <c:tx>
            <c:strRef>
              <c:f>Machareti!$AP$5</c:f>
              <c:strCache>
                <c:ptCount val="1"/>
                <c:pt idx="0">
                  <c:v>% 
Indice 
Bretau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Machareti!$AF$65:$AQ$65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(Machareti!$AP$14,Machareti!$AP$20,Machareti!$AP$26,Machareti!$AP$34,Machareti!$AP$37,Machareti!$AP$41,Machareti!$AP$45,Machareti!$AP$48,Machareti!$AP$51,Machareti!$AP$54,Machareti!$AP$59,Machareti!$AP$63)</c:f>
              <c:numCache>
                <c:formatCode>0.0</c:formatCode>
                <c:ptCount val="12"/>
                <c:pt idx="0">
                  <c:v>30.815709969788518</c:v>
                </c:pt>
                <c:pt idx="1">
                  <c:v>45.428571428571431</c:v>
                </c:pt>
                <c:pt idx="2">
                  <c:v>50.123456790123456</c:v>
                </c:pt>
                <c:pt idx="3">
                  <c:v>61.55913978494624</c:v>
                </c:pt>
                <c:pt idx="4">
                  <c:v>32.743362831858406</c:v>
                </c:pt>
                <c:pt idx="5">
                  <c:v>12.138728323699421</c:v>
                </c:pt>
                <c:pt idx="6">
                  <c:v>10</c:v>
                </c:pt>
                <c:pt idx="7">
                  <c:v>6.140350877192982</c:v>
                </c:pt>
                <c:pt idx="8">
                  <c:v>0</c:v>
                </c:pt>
                <c:pt idx="9">
                  <c:v>3.3333333333333335</c:v>
                </c:pt>
                <c:pt idx="10">
                  <c:v>13.549618320610687</c:v>
                </c:pt>
                <c:pt idx="11">
                  <c:v>15.294117647058824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C4-4BE0-8324-7A7DE19CB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689624"/>
        <c:axId val="193690016"/>
      </c:barChart>
      <c:catAx>
        <c:axId val="193689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93690016"/>
        <c:crosses val="autoZero"/>
        <c:auto val="1"/>
        <c:lblAlgn val="ctr"/>
        <c:lblOffset val="100"/>
        <c:noMultiLvlLbl val="0"/>
      </c:catAx>
      <c:valAx>
        <c:axId val="19369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ES"/>
                  <a:t>Porcentaje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936896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S"/>
    </a:p>
  </c:txPr>
  <c:printSettings>
    <c:headerFooter/>
    <c:pageMargins b="0.75" l="0.36" r="1.05" t="0.75" header="0.3" footer="0.3"/>
    <c:pageSetup orientation="landscape" horizontalDpi="0" verticalDpi="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200"/>
              <a:t>Indice de recipientes municipio Villa Serrano</a:t>
            </a:r>
          </a:p>
          <a:p>
            <a:pPr>
              <a:defRPr sz="1200"/>
            </a:pPr>
            <a:r>
              <a:rPr lang="es-ES" sz="1200" baseline="0"/>
              <a:t>diciembre 2025</a:t>
            </a:r>
            <a:endParaRPr lang="es-ES" sz="12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8922156605424321"/>
          <c:y val="0.19189814814814818"/>
          <c:w val="0.40489020122484687"/>
          <c:h val="0.6748170020414114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BC-476A-9381-D938DC4D45A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BC-476A-9381-D938DC4D45A7}"/>
              </c:ext>
            </c:extLst>
          </c:dPt>
          <c:dLbls>
            <c:dLbl>
              <c:idx val="0"/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7BC-476A-9381-D938DC4D45A7}"/>
                </c:ext>
              </c:extLst>
            </c:dLbl>
            <c:dLbl>
              <c:idx val="1"/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7BC-476A-9381-D938DC4D45A7}"/>
                </c:ext>
              </c:extLst>
            </c:dLbl>
            <c:spPr>
              <a:solidFill>
                <a:schemeClr val="lt1"/>
              </a:solidFill>
              <a:ln w="6350" cap="flat" cmpd="sng" algn="ctr">
                <a:solidFill>
                  <a:schemeClr val="dk1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Monteagudo!$AR$5:$AS$5</c:f>
              <c:strCache>
                <c:ptCount val="2"/>
                <c:pt idx="0">
                  <c:v>% Recipientes Secos</c:v>
                </c:pt>
                <c:pt idx="1">
                  <c:v>% Recipientes con Agua</c:v>
                </c:pt>
              </c:strCache>
            </c:strRef>
          </c:cat>
          <c:val>
            <c:numRef>
              <c:f>'Villa Serrano'!$AR$21:$AS$21</c:f>
              <c:numCache>
                <c:formatCode>0.00</c:formatCode>
                <c:ptCount val="2"/>
                <c:pt idx="0">
                  <c:v>42.599277978339352</c:v>
                </c:pt>
                <c:pt idx="1">
                  <c:v>57.400722021660656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BC-476A-9381-D938DC4D4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Indice de Infestacion de tipo de recipiente de Aedes aegypti</a:t>
            </a:r>
          </a:p>
          <a:p>
            <a:pPr>
              <a:defRPr/>
            </a:pPr>
            <a:r>
              <a:rPr lang="es-ES"/>
              <a:t>municipio de Villa Serrano diciembre 2025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8.834953958371472E-2"/>
          <c:y val="0.13623057964200924"/>
          <c:w val="0.88202465862011969"/>
          <c:h val="0.6604247903451939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Machareti!$AT$4:$AZ$5</c:f>
              <c:multiLvlStrCache>
                <c:ptCount val="7"/>
                <c:lvl>
                  <c:pt idx="0">
                    <c:v> A1</c:v>
                  </c:pt>
                  <c:pt idx="1">
                    <c:v> A2</c:v>
                  </c:pt>
                  <c:pt idx="2">
                    <c:v>B </c:v>
                  </c:pt>
                  <c:pt idx="3">
                    <c:v> C</c:v>
                  </c:pt>
                  <c:pt idx="4">
                    <c:v>D1</c:v>
                  </c:pt>
                  <c:pt idx="5">
                    <c:v>D2</c:v>
                  </c:pt>
                  <c:pt idx="6">
                    <c:v>E</c:v>
                  </c:pt>
                </c:lvl>
                <c:lvl>
                  <c:pt idx="0">
                    <c:v>Grupo A
Depositos de Almacenamiento 
de Gran Volumen</c:v>
                  </c:pt>
                  <c:pt idx="2">
                    <c:v>Grupo B
Depositos de Transporte de Agua Moviles</c:v>
                  </c:pt>
                  <c:pt idx="3">
                    <c:v>Grupo C
Depositos Fijos de Almacenamiento de Agua</c:v>
                  </c:pt>
                  <c:pt idx="4">
                    <c:v>Grupo D
Depositos para Eliminacion</c:v>
                  </c:pt>
                  <c:pt idx="6">
                    <c:v>Grupo E
Depositos Naturales</c:v>
                  </c:pt>
                </c:lvl>
              </c:multiLvlStrCache>
            </c:multiLvlStrRef>
          </c:cat>
          <c:val>
            <c:numRef>
              <c:f>'Villa Serrano'!$AT$21:$AZ$21</c:f>
              <c:numCache>
                <c:formatCode>0.00</c:formatCode>
                <c:ptCount val="7"/>
                <c:pt idx="0">
                  <c:v>0</c:v>
                </c:pt>
                <c:pt idx="1">
                  <c:v>20</c:v>
                </c:pt>
                <c:pt idx="2">
                  <c:v>10</c:v>
                </c:pt>
                <c:pt idx="3">
                  <c:v>0</c:v>
                </c:pt>
                <c:pt idx="4">
                  <c:v>20</c:v>
                </c:pt>
                <c:pt idx="5">
                  <c:v>50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B-47B4-B415-73CB4676C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707032"/>
        <c:axId val="206707424"/>
      </c:barChart>
      <c:catAx>
        <c:axId val="206707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206707424"/>
        <c:crosses val="autoZero"/>
        <c:auto val="1"/>
        <c:lblAlgn val="ctr"/>
        <c:lblOffset val="100"/>
        <c:noMultiLvlLbl val="0"/>
      </c:catAx>
      <c:valAx>
        <c:axId val="20670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Porcentaje</a:t>
                </a:r>
              </a:p>
            </c:rich>
          </c:tx>
          <c:layout>
            <c:manualLayout>
              <c:xMode val="edge"/>
              <c:yMode val="edge"/>
              <c:x val="8.4645147989044559E-3"/>
              <c:y val="0.38683530046542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206707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46" r="0.7" t="0.75" header="0.3" footer="0.3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/>
              <a:t>Indice de Infestacion de tipo de recipiente de Aedes aegypti</a:t>
            </a:r>
          </a:p>
          <a:p>
            <a:pPr>
              <a:defRPr/>
            </a:pPr>
            <a:r>
              <a:rPr lang="es-ES"/>
              <a:t>municipio de Yamparez Abril 2025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Machareti!$AT$4:$AZ$5</c:f>
              <c:multiLvlStrCache>
                <c:ptCount val="7"/>
                <c:lvl>
                  <c:pt idx="0">
                    <c:v> A1</c:v>
                  </c:pt>
                  <c:pt idx="1">
                    <c:v> A2</c:v>
                  </c:pt>
                  <c:pt idx="2">
                    <c:v>B </c:v>
                  </c:pt>
                  <c:pt idx="3">
                    <c:v> C</c:v>
                  </c:pt>
                  <c:pt idx="4">
                    <c:v>D1</c:v>
                  </c:pt>
                  <c:pt idx="5">
                    <c:v>D2</c:v>
                  </c:pt>
                  <c:pt idx="6">
                    <c:v>E</c:v>
                  </c:pt>
                </c:lvl>
                <c:lvl>
                  <c:pt idx="0">
                    <c:v>Grupo A
Depositos de Almacenamiento 
de Gran Volumen</c:v>
                  </c:pt>
                  <c:pt idx="2">
                    <c:v>Grupo B
Depositos de Transporte de Agua Moviles</c:v>
                  </c:pt>
                  <c:pt idx="3">
                    <c:v>Grupo C
Depositos Fijos de Almacenamiento de Agua</c:v>
                  </c:pt>
                  <c:pt idx="4">
                    <c:v>Grupo D
Depositos para Eliminacion</c:v>
                  </c:pt>
                  <c:pt idx="6">
                    <c:v>Grupo E
Depositos Naturales</c:v>
                  </c:pt>
                </c:lvl>
              </c:multiLvlStrCache>
            </c:multiLvlStrRef>
          </c:cat>
          <c:val>
            <c:numRef>
              <c:f>Yamparaez!$AT$21:$AZ$21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6-494B-A3E2-1C3CF83F1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707816"/>
        <c:axId val="206708600"/>
      </c:barChart>
      <c:catAx>
        <c:axId val="206707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206708600"/>
        <c:crosses val="autoZero"/>
        <c:auto val="1"/>
        <c:lblAlgn val="ctr"/>
        <c:lblOffset val="100"/>
        <c:noMultiLvlLbl val="0"/>
      </c:catAx>
      <c:valAx>
        <c:axId val="20670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Porcentaje</a:t>
                </a:r>
              </a:p>
            </c:rich>
          </c:tx>
          <c:layout>
            <c:manualLayout>
              <c:xMode val="edge"/>
              <c:yMode val="edge"/>
              <c:x val="8.4645147989044559E-3"/>
              <c:y val="0.38683530046542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206707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200"/>
              <a:t>Indice de recipientes municipio Yamparaez</a:t>
            </a:r>
          </a:p>
          <a:p>
            <a:pPr>
              <a:defRPr sz="1200"/>
            </a:pPr>
            <a:r>
              <a:rPr lang="es-ES" sz="1200" baseline="0"/>
              <a:t>Abril 2025</a:t>
            </a:r>
            <a:endParaRPr lang="es-ES" sz="12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8922156605424321"/>
          <c:y val="0.19189814814814818"/>
          <c:w val="0.40489020122484687"/>
          <c:h val="0.6748170020414114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40-4347-9B4E-EC11DD42BF6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40-4347-9B4E-EC11DD42BF6E}"/>
              </c:ext>
            </c:extLst>
          </c:dPt>
          <c:dLbls>
            <c:dLbl>
              <c:idx val="0"/>
              <c:layout>
                <c:manualLayout>
                  <c:x val="-0.13672036525964376"/>
                  <c:y val="4.8862238478219397E-2"/>
                </c:manualLayout>
              </c:layout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F40-4347-9B4E-EC11DD42BF6E}"/>
                </c:ext>
              </c:extLst>
            </c:dLbl>
            <c:dLbl>
              <c:idx val="1"/>
              <c:layout>
                <c:manualLayout>
                  <c:x val="0.13490120101830921"/>
                  <c:y val="-4.3743330434998992E-2"/>
                </c:manualLayout>
              </c:layout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F40-4347-9B4E-EC11DD42BF6E}"/>
                </c:ext>
              </c:extLst>
            </c:dLbl>
            <c:spPr>
              <a:solidFill>
                <a:schemeClr val="lt1"/>
              </a:solidFill>
              <a:ln w="6350" cap="flat" cmpd="sng" algn="ctr">
                <a:solidFill>
                  <a:schemeClr val="dk1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Monteagudo!$AR$5:$AS$5</c:f>
              <c:strCache>
                <c:ptCount val="2"/>
                <c:pt idx="0">
                  <c:v>% Recipientes Secos</c:v>
                </c:pt>
                <c:pt idx="1">
                  <c:v>% Recipientes con Agua</c:v>
                </c:pt>
              </c:strCache>
            </c:strRef>
          </c:cat>
          <c:val>
            <c:numRef>
              <c:f>Yamparaez!$AR$21:$AS$21</c:f>
              <c:numCache>
                <c:formatCode>0.00</c:formatCode>
                <c:ptCount val="2"/>
                <c:pt idx="0">
                  <c:v>52.424639580602886</c:v>
                </c:pt>
                <c:pt idx="1">
                  <c:v>47.575360419397114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40-4347-9B4E-EC11DD42B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200"/>
              <a:t>Indice de recipientes municipio Huacaya</a:t>
            </a:r>
          </a:p>
          <a:p>
            <a:pPr>
              <a:defRPr sz="1200"/>
            </a:pPr>
            <a:r>
              <a:rPr lang="es-ES" sz="1200" baseline="0"/>
              <a:t>Marzo 2024</a:t>
            </a:r>
            <a:endParaRPr lang="es-E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8922156605424321"/>
          <c:y val="0.19189814814814818"/>
          <c:w val="0.40489020122484687"/>
          <c:h val="0.6748170020414114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D9-46BF-B267-DF780B8A4EB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D9-46BF-B267-DF780B8A4EBC}"/>
              </c:ext>
            </c:extLst>
          </c:dPt>
          <c:dLbls>
            <c:dLbl>
              <c:idx val="0"/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BD9-46BF-B267-DF780B8A4EBC}"/>
                </c:ext>
              </c:extLst>
            </c:dLbl>
            <c:dLbl>
              <c:idx val="1"/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BD9-46BF-B267-DF780B8A4EBC}"/>
                </c:ext>
              </c:extLst>
            </c:dLbl>
            <c:spPr>
              <a:solidFill>
                <a:schemeClr val="lt1"/>
              </a:solidFill>
              <a:ln w="6350" cap="flat" cmpd="sng" algn="ctr">
                <a:solidFill>
                  <a:schemeClr val="dk1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Monteagudo!$AR$5:$AS$5</c:f>
              <c:strCache>
                <c:ptCount val="2"/>
                <c:pt idx="0">
                  <c:v>% Recipientes Secos</c:v>
                </c:pt>
                <c:pt idx="1">
                  <c:v>% Recipientes con Agua</c:v>
                </c:pt>
              </c:strCache>
            </c:strRef>
          </c:cat>
          <c:val>
            <c:numRef>
              <c:f>'El Villar'!#REF!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D9-46BF-B267-DF780B8A4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sz="1200"/>
              <a:t>Indice de Recipientes Dpto. Chuquisaca</a:t>
            </a:r>
          </a:p>
          <a:p>
            <a:pPr>
              <a:defRPr sz="1200"/>
            </a:pPr>
            <a:r>
              <a:rPr lang="es-ES" sz="1200" baseline="0"/>
              <a:t>diciembre 2025</a:t>
            </a:r>
            <a:endParaRPr lang="es-ES" sz="12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8922156605424321"/>
          <c:y val="0.19189814814814818"/>
          <c:w val="0.40489020122484687"/>
          <c:h val="0.6748170020414114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E8-40B4-82E0-651CE4F697E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E8-40B4-82E0-651CE4F697E2}"/>
              </c:ext>
            </c:extLst>
          </c:dPt>
          <c:dLbls>
            <c:dLbl>
              <c:idx val="0"/>
              <c:layout>
                <c:manualLayout>
                  <c:x val="-0.17075493049103527"/>
                  <c:y val="-2.8235063141655845E-2"/>
                </c:manualLayout>
              </c:layout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1E8-40B4-82E0-651CE4F697E2}"/>
                </c:ext>
              </c:extLst>
            </c:dLbl>
            <c:dLbl>
              <c:idx val="1"/>
              <c:layout>
                <c:manualLayout>
                  <c:x val="0.14948844800530939"/>
                  <c:y val="1.9038455599364099E-2"/>
                </c:manualLayout>
              </c:layout>
              <c:spPr>
                <a:solidFill>
                  <a:schemeClr val="lt1"/>
                </a:solidFill>
                <a:ln w="6350" cap="flat" cmpd="sng" algn="ctr">
                  <a:solidFill>
                    <a:schemeClr val="dk1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1" i="0" u="none" strike="noStrike" kern="1200" baseline="0">
                      <a:solidFill>
                        <a:schemeClr val="dk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1E8-40B4-82E0-651CE4F697E2}"/>
                </c:ext>
              </c:extLst>
            </c:dLbl>
            <c:spPr>
              <a:solidFill>
                <a:schemeClr val="lt1"/>
              </a:solidFill>
              <a:ln w="6350" cap="flat" cmpd="sng" algn="ctr">
                <a:solidFill>
                  <a:schemeClr val="dk1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Monteagudo!$AR$5:$AS$5</c:f>
              <c:strCache>
                <c:ptCount val="2"/>
                <c:pt idx="0">
                  <c:v>% Recipientes Secos</c:v>
                </c:pt>
                <c:pt idx="1">
                  <c:v>% Recipientes con Agua</c:v>
                </c:pt>
              </c:strCache>
            </c:strRef>
          </c:cat>
          <c:val>
            <c:numRef>
              <c:f>DatosXMes!$AR$85:$AS$85</c:f>
              <c:numCache>
                <c:formatCode>0.00</c:formatCode>
                <c:ptCount val="2"/>
                <c:pt idx="0">
                  <c:v>52.305936073059357</c:v>
                </c:pt>
                <c:pt idx="1">
                  <c:v>47.694063926940636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E8-40B4-82E0-651CE4F69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928377708107715E-2"/>
          <c:y val="0.92032731893190822"/>
          <c:w val="0.85382026743914718"/>
          <c:h val="7.9672681068091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2.2400000000000002" r="2.68" t="0.75" header="0.3" footer="0.3"/>
    <c:pageSetup orientation="landscape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ES"/>
              <a:t>Indice de Infestacion de Tipo de Recipiente de Aedes aegypti</a:t>
            </a:r>
          </a:p>
          <a:p>
            <a:pPr>
              <a:defRPr/>
            </a:pPr>
            <a:r>
              <a:rPr lang="es-ES"/>
              <a:t>Dpto. Chuquisaca diciembre 2025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Machareti!$AT$4:$AZ$5</c:f>
              <c:multiLvlStrCache>
                <c:ptCount val="7"/>
                <c:lvl>
                  <c:pt idx="0">
                    <c:v> A1</c:v>
                  </c:pt>
                  <c:pt idx="1">
                    <c:v> A2</c:v>
                  </c:pt>
                  <c:pt idx="2">
                    <c:v>B </c:v>
                  </c:pt>
                  <c:pt idx="3">
                    <c:v> C</c:v>
                  </c:pt>
                  <c:pt idx="4">
                    <c:v>D1</c:v>
                  </c:pt>
                  <c:pt idx="5">
                    <c:v>D2</c:v>
                  </c:pt>
                  <c:pt idx="6">
                    <c:v>E</c:v>
                  </c:pt>
                </c:lvl>
                <c:lvl>
                  <c:pt idx="0">
                    <c:v>Grupo A
Depositos de Almacenamiento 
de Gran Volumen</c:v>
                  </c:pt>
                  <c:pt idx="2">
                    <c:v>Grupo B
Depositos de Transporte de Agua Moviles</c:v>
                  </c:pt>
                  <c:pt idx="3">
                    <c:v>Grupo C
Depositos Fijos de Almacenamiento de Agua</c:v>
                  </c:pt>
                  <c:pt idx="4">
                    <c:v>Grupo D
Depositos para Eliminacion</c:v>
                  </c:pt>
                  <c:pt idx="6">
                    <c:v>Grupo E
Depositos Naturales</c:v>
                  </c:pt>
                </c:lvl>
              </c:multiLvlStrCache>
            </c:multiLvlStrRef>
          </c:cat>
          <c:val>
            <c:numRef>
              <c:f>DatosXMes!$AT$85:$AZ$85</c:f>
              <c:numCache>
                <c:formatCode>0.00</c:formatCode>
                <c:ptCount val="7"/>
                <c:pt idx="0">
                  <c:v>0</c:v>
                </c:pt>
                <c:pt idx="1">
                  <c:v>61.111111111111114</c:v>
                </c:pt>
                <c:pt idx="2">
                  <c:v>11.111111111111111</c:v>
                </c:pt>
                <c:pt idx="3">
                  <c:v>1.3888888888888888</c:v>
                </c:pt>
                <c:pt idx="4">
                  <c:v>15.277777777777779</c:v>
                </c:pt>
                <c:pt idx="5">
                  <c:v>11.111111111111111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8-4D56-B13F-7526D366F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761032"/>
        <c:axId val="207761424"/>
      </c:barChart>
      <c:catAx>
        <c:axId val="207761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207761424"/>
        <c:crosses val="autoZero"/>
        <c:auto val="1"/>
        <c:lblAlgn val="ctr"/>
        <c:lblOffset val="100"/>
        <c:noMultiLvlLbl val="0"/>
      </c:catAx>
      <c:valAx>
        <c:axId val="20776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ES"/>
                  <a:t>Porcentaje</a:t>
                </a:r>
              </a:p>
            </c:rich>
          </c:tx>
          <c:layout>
            <c:manualLayout>
              <c:xMode val="edge"/>
              <c:yMode val="edge"/>
              <c:x val="8.4645147989044559E-3"/>
              <c:y val="0.38683530046542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207761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S"/>
    </a:p>
  </c:txPr>
  <c:printSettings>
    <c:headerFooter/>
    <c:pageMargins b="0.74803149606299213" l="0.15" r="0.68" t="0.74803149606299213" header="0.31496062992125984" footer="0.31496062992125984"/>
    <c:pageSetup orientation="landscape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/>
              <a:t>Indicadores entomologicos de encuesta larvaria de aedes aegyti</a:t>
            </a:r>
          </a:p>
          <a:p>
            <a:pPr>
              <a:defRPr/>
            </a:pPr>
            <a:r>
              <a:rPr lang="en-US" sz="1200"/>
              <a:t> - Indice de infestacion de vivenda (IIV)</a:t>
            </a:r>
          </a:p>
          <a:p>
            <a:pPr>
              <a:defRPr/>
            </a:pPr>
            <a:r>
              <a:rPr lang="en-US" sz="1200"/>
              <a:t>Indice de Bretau (IB)</a:t>
            </a:r>
          </a:p>
          <a:p>
            <a:pPr>
              <a:defRPr/>
            </a:pPr>
            <a:r>
              <a:rPr lang="en-US" sz="1200"/>
              <a:t>Dpto. Chuquisaca 2025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1650451354382282"/>
          <c:y val="0.16996977938506949"/>
          <c:w val="0.87630800646867868"/>
          <c:h val="0.638672089302073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Ind_Gestiones_IIV_IB!$B$2</c:f>
              <c:strCache>
                <c:ptCount val="1"/>
                <c:pt idx="0">
                  <c:v>Indice 
de Viviendas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Consolidado!$C$91:$N$91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(Consolidado!$J$11,Consolidado!$J$22,Consolidado!$J$33,Consolidado!$J$44,Consolidado!$J$48,Consolidado!$J$51,Consolidado!$J$54,Consolidado!$J$57,Consolidado!$J$59,Consolidado!$J$65,Consolidado!$J$74,Consolidado!$J$83)</c:f>
              <c:numCache>
                <c:formatCode>0.0</c:formatCode>
                <c:ptCount val="12"/>
                <c:pt idx="0">
                  <c:v>9.6337579617834397</c:v>
                </c:pt>
                <c:pt idx="1">
                  <c:v>6.9613552143991537</c:v>
                </c:pt>
                <c:pt idx="2">
                  <c:v>12.318634423897581</c:v>
                </c:pt>
                <c:pt idx="3">
                  <c:v>7.3210538587083231</c:v>
                </c:pt>
                <c:pt idx="4">
                  <c:v>4.2416452442159382</c:v>
                </c:pt>
                <c:pt idx="5">
                  <c:v>3.8975501113585747</c:v>
                </c:pt>
                <c:pt idx="6">
                  <c:v>3.0452674897119345</c:v>
                </c:pt>
                <c:pt idx="7">
                  <c:v>1.4109347442680775</c:v>
                </c:pt>
                <c:pt idx="8">
                  <c:v>0</c:v>
                </c:pt>
                <c:pt idx="9">
                  <c:v>1.4010507880910683</c:v>
                </c:pt>
                <c:pt idx="10">
                  <c:v>3.7753807106598987</c:v>
                </c:pt>
                <c:pt idx="11">
                  <c:v>3.53938185443669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6-4703-871C-CF79458CEEBE}"/>
            </c:ext>
          </c:extLst>
        </c:ser>
        <c:ser>
          <c:idx val="1"/>
          <c:order val="1"/>
          <c:tx>
            <c:strRef>
              <c:f>Ind_Gestiones_IIV_IB!$C$2</c:f>
              <c:strCache>
                <c:ptCount val="1"/>
                <c:pt idx="0">
                  <c:v>Indice 
de Bretau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Consolidado!$C$91:$N$91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 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(Consolidado!$K$11,Consolidado!$K$22,Consolidado!$K$33,Consolidado!$K$44,Consolidado!$K$48,Consolidado!$K$51,Consolidado!$K$54,Consolidado!$K$57,Consolidado!$K$59,Consolidado!$K$65,Consolidado!$K$74,Consolidado!$K$83)</c:f>
              <c:numCache>
                <c:formatCode>0.0</c:formatCode>
                <c:ptCount val="12"/>
                <c:pt idx="0">
                  <c:v>15.406050955414013</c:v>
                </c:pt>
                <c:pt idx="1">
                  <c:v>10.005293806246691</c:v>
                </c:pt>
                <c:pt idx="2">
                  <c:v>18.918918918918919</c:v>
                </c:pt>
                <c:pt idx="3">
                  <c:v>12.007460946607601</c:v>
                </c:pt>
                <c:pt idx="4">
                  <c:v>5.7840616966580978</c:v>
                </c:pt>
                <c:pt idx="5">
                  <c:v>4.3429844097995547</c:v>
                </c:pt>
                <c:pt idx="6">
                  <c:v>3.2921810699588478</c:v>
                </c:pt>
                <c:pt idx="7">
                  <c:v>1.4991181657848323</c:v>
                </c:pt>
                <c:pt idx="8">
                  <c:v>0</c:v>
                </c:pt>
                <c:pt idx="9">
                  <c:v>1.4886164623467601</c:v>
                </c:pt>
                <c:pt idx="10">
                  <c:v>4.9809644670050757</c:v>
                </c:pt>
                <c:pt idx="11">
                  <c:v>3.589232303090728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46-4703-871C-CF79458CE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"/>
        <c:axId val="207762208"/>
        <c:axId val="207762600"/>
      </c:barChart>
      <c:catAx>
        <c:axId val="20776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207762600"/>
        <c:crosses val="autoZero"/>
        <c:auto val="1"/>
        <c:lblAlgn val="ctr"/>
        <c:lblOffset val="100"/>
        <c:noMultiLvlLbl val="0"/>
      </c:catAx>
      <c:valAx>
        <c:axId val="20776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Porcentaje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2077622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S"/>
    </a:p>
  </c:tx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Indicadores entomologicos de encuesta larvaria de aedes aegyti</a:t>
            </a:r>
          </a:p>
          <a:p>
            <a:pPr>
              <a:defRPr/>
            </a:pPr>
            <a:r>
              <a:rPr lang="en-US"/>
              <a:t> - Indice de infestacion de vivenda (IIV)</a:t>
            </a:r>
          </a:p>
          <a:p>
            <a:pPr>
              <a:defRPr/>
            </a:pPr>
            <a:r>
              <a:rPr lang="en-US"/>
              <a:t>Indice de Bretau (IB)</a:t>
            </a:r>
          </a:p>
          <a:p>
            <a:pPr>
              <a:defRPr/>
            </a:pPr>
            <a:r>
              <a:rPr lang="en-US"/>
              <a:t>Dpto. Chuquisaca 2015 - 2025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4563257533587456"/>
          <c:y val="0.15599651920356788"/>
          <c:w val="0.84118170999447905"/>
          <c:h val="0.67257912102986483"/>
        </c:manualLayout>
      </c:layout>
      <c:lineChart>
        <c:grouping val="standard"/>
        <c:varyColors val="0"/>
        <c:ser>
          <c:idx val="0"/>
          <c:order val="0"/>
          <c:tx>
            <c:strRef>
              <c:f>Ind_Gestiones_IIV_IB!$B$2</c:f>
              <c:strCache>
                <c:ptCount val="1"/>
                <c:pt idx="0">
                  <c:v>Indice 
de Viviendas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Ind_Gestiones_IIV_IB!$A$3:$A$13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Ind_Gestiones_IIV_IB!$B$3:$B$13</c:f>
              <c:numCache>
                <c:formatCode>0.0</c:formatCode>
                <c:ptCount val="11"/>
                <c:pt idx="0">
                  <c:v>8.6999999999999993</c:v>
                </c:pt>
                <c:pt idx="1">
                  <c:v>6.3</c:v>
                </c:pt>
                <c:pt idx="2">
                  <c:v>7.1</c:v>
                </c:pt>
                <c:pt idx="3">
                  <c:v>10.199999999999999</c:v>
                </c:pt>
                <c:pt idx="4">
                  <c:v>7.8</c:v>
                </c:pt>
                <c:pt idx="5">
                  <c:v>4.4000000000000004</c:v>
                </c:pt>
                <c:pt idx="6">
                  <c:v>3.4</c:v>
                </c:pt>
                <c:pt idx="7">
                  <c:v>5.2</c:v>
                </c:pt>
                <c:pt idx="8">
                  <c:v>6.3</c:v>
                </c:pt>
                <c:pt idx="9">
                  <c:v>5.5476759735786363</c:v>
                </c:pt>
                <c:pt idx="10">
                  <c:v>6.6794871794871797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0-4BCE-B751-49E58F251BCF}"/>
            </c:ext>
          </c:extLst>
        </c:ser>
        <c:ser>
          <c:idx val="1"/>
          <c:order val="1"/>
          <c:tx>
            <c:strRef>
              <c:f>Ind_Gestiones_IIV_IB!$C$2</c:f>
              <c:strCache>
                <c:ptCount val="1"/>
                <c:pt idx="0">
                  <c:v>Indice 
de Bretau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4.1155420638921407E-2"/>
                  <c:y val="-3.00832896499505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20-4BCE-B751-49E58F251BCF}"/>
                </c:ext>
              </c:extLst>
            </c:dLbl>
            <c:dLbl>
              <c:idx val="4"/>
              <c:layout>
                <c:manualLayout>
                  <c:x val="-1.4773740742176897E-2"/>
                  <c:y val="-2.80622369647671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20-4BCE-B751-49E58F251BCF}"/>
                </c:ext>
              </c:extLst>
            </c:dLbl>
            <c:dLbl>
              <c:idx val="5"/>
              <c:layout>
                <c:manualLayout>
                  <c:x val="-1.3692853542208026E-2"/>
                  <c:y val="-2.80622369647671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20-4BCE-B751-49E58F251BCF}"/>
                </c:ext>
              </c:extLst>
            </c:dLbl>
            <c:dLbl>
              <c:idx val="6"/>
              <c:layout>
                <c:manualLayout>
                  <c:x val="-2.2456108347140326E-2"/>
                  <c:y val="-4.62492885256693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20-4BCE-B751-49E58F251BCF}"/>
                </c:ext>
              </c:extLst>
            </c:dLbl>
            <c:dLbl>
              <c:idx val="9"/>
              <c:layout>
                <c:manualLayout>
                  <c:x val="-2.9929225231003102E-2"/>
                  <c:y val="-2.80580174481316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274-48BF-A813-49299E69F6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Ind_Gestiones_IIV_IB!$A$3:$A$13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Ind_Gestiones_IIV_IB!$C$3:$C$13</c:f>
              <c:numCache>
                <c:formatCode>0.0</c:formatCode>
                <c:ptCount val="11"/>
                <c:pt idx="0">
                  <c:v>10.3</c:v>
                </c:pt>
                <c:pt idx="1">
                  <c:v>9.4</c:v>
                </c:pt>
                <c:pt idx="2">
                  <c:v>10</c:v>
                </c:pt>
                <c:pt idx="3">
                  <c:v>15.5</c:v>
                </c:pt>
                <c:pt idx="4">
                  <c:v>12.1</c:v>
                </c:pt>
                <c:pt idx="5">
                  <c:v>6.1</c:v>
                </c:pt>
                <c:pt idx="6">
                  <c:v>4.4000000000000004</c:v>
                </c:pt>
                <c:pt idx="7">
                  <c:v>7.8</c:v>
                </c:pt>
                <c:pt idx="8">
                  <c:v>9.1999999999999993</c:v>
                </c:pt>
                <c:pt idx="9">
                  <c:v>8.1452364549985816</c:v>
                </c:pt>
                <c:pt idx="10">
                  <c:v>9.8931623931623935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20-4BCE-B751-49E58F251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763776"/>
        <c:axId val="207764168"/>
      </c:lineChart>
      <c:catAx>
        <c:axId val="20776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207764168"/>
        <c:crosses val="autoZero"/>
        <c:auto val="1"/>
        <c:lblAlgn val="ctr"/>
        <c:lblOffset val="100"/>
        <c:noMultiLvlLbl val="0"/>
      </c:catAx>
      <c:valAx>
        <c:axId val="207764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207763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  <a:cs typeface="Arial" panose="020B0604020202020204" pitchFamily="34" charset="0"/>
        </a:defRPr>
      </a:pPr>
      <a:endParaRPr lang="es-E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00B0F0"/>
  </sheetPr>
  <sheetViews>
    <sheetView zoomScale="80" workbookViewId="0"/>
  </sheetViews>
  <pageMargins left="0.3" right="0.28000000000000003" top="0.38" bottom="0.36" header="0.3" footer="0.3"/>
  <pageSetup orientation="landscape" horizontalDpi="1200" verticalDpi="120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00B0F0"/>
  </sheetPr>
  <sheetViews>
    <sheetView zoomScale="118" workbookViewId="0" zoomToFit="1"/>
  </sheetViews>
  <pageMargins left="0.7" right="0.7" top="0.75" bottom="0.75" header="0.3" footer="0.3"/>
  <pageSetup orientation="landscape" horizontalDpi="1200" verticalDpi="1200" r:id="rId1"/>
  <drawing r:id="rId2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381000</xdr:colOff>
      <xdr:row>9</xdr:row>
      <xdr:rowOff>133350</xdr:rowOff>
    </xdr:from>
    <xdr:to>
      <xdr:col>24</xdr:col>
      <xdr:colOff>190500</xdr:colOff>
      <xdr:row>26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0</xdr:rowOff>
    </xdr:from>
    <xdr:to>
      <xdr:col>11</xdr:col>
      <xdr:colOff>248813</xdr:colOff>
      <xdr:row>39</xdr:row>
      <xdr:rowOff>77259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495300</xdr:colOff>
      <xdr:row>67</xdr:row>
      <xdr:rowOff>85725</xdr:rowOff>
    </xdr:from>
    <xdr:to>
      <xdr:col>22</xdr:col>
      <xdr:colOff>472017</xdr:colOff>
      <xdr:row>84</xdr:row>
      <xdr:rowOff>130175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64</xdr:row>
      <xdr:rowOff>152400</xdr:rowOff>
    </xdr:from>
    <xdr:to>
      <xdr:col>10</xdr:col>
      <xdr:colOff>484741</xdr:colOff>
      <xdr:row>98</xdr:row>
      <xdr:rowOff>102419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161823</xdr:colOff>
      <xdr:row>67</xdr:row>
      <xdr:rowOff>11062</xdr:rowOff>
    </xdr:from>
    <xdr:to>
      <xdr:col>43</xdr:col>
      <xdr:colOff>71693</xdr:colOff>
      <xdr:row>103</xdr:row>
      <xdr:rowOff>122903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62344</xdr:colOff>
      <xdr:row>152</xdr:row>
      <xdr:rowOff>0</xdr:rowOff>
    </xdr:from>
    <xdr:to>
      <xdr:col>20</xdr:col>
      <xdr:colOff>121226</xdr:colOff>
      <xdr:row>165</xdr:row>
      <xdr:rowOff>148070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188768</xdr:colOff>
      <xdr:row>157</xdr:row>
      <xdr:rowOff>865</xdr:rowOff>
    </xdr:from>
    <xdr:to>
      <xdr:col>10</xdr:col>
      <xdr:colOff>195223</xdr:colOff>
      <xdr:row>191</xdr:row>
      <xdr:rowOff>148070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19050</xdr:colOff>
      <xdr:row>150</xdr:row>
      <xdr:rowOff>66675</xdr:rowOff>
    </xdr:from>
    <xdr:to>
      <xdr:col>43</xdr:col>
      <xdr:colOff>66675</xdr:colOff>
      <xdr:row>183</xdr:row>
      <xdr:rowOff>155053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381000</xdr:colOff>
      <xdr:row>26</xdr:row>
      <xdr:rowOff>133350</xdr:rowOff>
    </xdr:from>
    <xdr:to>
      <xdr:col>24</xdr:col>
      <xdr:colOff>190500</xdr:colOff>
      <xdr:row>43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11</xdr:col>
      <xdr:colOff>248813</xdr:colOff>
      <xdr:row>63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133350</xdr:colOff>
      <xdr:row>32</xdr:row>
      <xdr:rowOff>76199</xdr:rowOff>
    </xdr:from>
    <xdr:to>
      <xdr:col>44</xdr:col>
      <xdr:colOff>19664</xdr:colOff>
      <xdr:row>71</xdr:row>
      <xdr:rowOff>114299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46</xdr:row>
      <xdr:rowOff>152400</xdr:rowOff>
    </xdr:from>
    <xdr:to>
      <xdr:col>23</xdr:col>
      <xdr:colOff>180975</xdr:colOff>
      <xdr:row>63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47</xdr:row>
      <xdr:rowOff>19049</xdr:rowOff>
    </xdr:from>
    <xdr:to>
      <xdr:col>11</xdr:col>
      <xdr:colOff>258338</xdr:colOff>
      <xdr:row>81</xdr:row>
      <xdr:rowOff>123824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0</xdr:colOff>
      <xdr:row>49</xdr:row>
      <xdr:rowOff>0</xdr:rowOff>
    </xdr:from>
    <xdr:to>
      <xdr:col>44</xdr:col>
      <xdr:colOff>629264</xdr:colOff>
      <xdr:row>90</xdr:row>
      <xdr:rowOff>85725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69</xdr:row>
      <xdr:rowOff>152400</xdr:rowOff>
    </xdr:from>
    <xdr:to>
      <xdr:col>24</xdr:col>
      <xdr:colOff>76200</xdr:colOff>
      <xdr:row>86</xdr:row>
      <xdr:rowOff>142875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12</xdr:col>
      <xdr:colOff>315488</xdr:colOff>
      <xdr:row>108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69</xdr:row>
      <xdr:rowOff>161924</xdr:rowOff>
    </xdr:from>
    <xdr:to>
      <xdr:col>44</xdr:col>
      <xdr:colOff>534014</xdr:colOff>
      <xdr:row>111</xdr:row>
      <xdr:rowOff>76199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101243</xdr:colOff>
      <xdr:row>33</xdr:row>
      <xdr:rowOff>127358</xdr:rowOff>
    </xdr:from>
    <xdr:to>
      <xdr:col>11</xdr:col>
      <xdr:colOff>353160</xdr:colOff>
      <xdr:row>72</xdr:row>
      <xdr:rowOff>42809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447675</xdr:colOff>
      <xdr:row>30</xdr:row>
      <xdr:rowOff>133350</xdr:rowOff>
    </xdr:from>
    <xdr:to>
      <xdr:col>24</xdr:col>
      <xdr:colOff>200025</xdr:colOff>
      <xdr:row>47</xdr:row>
      <xdr:rowOff>123825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23939</xdr:colOff>
      <xdr:row>55</xdr:row>
      <xdr:rowOff>158749</xdr:rowOff>
    </xdr:from>
    <xdr:to>
      <xdr:col>24</xdr:col>
      <xdr:colOff>26460</xdr:colOff>
      <xdr:row>75</xdr:row>
      <xdr:rowOff>116414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56</xdr:row>
      <xdr:rowOff>0</xdr:rowOff>
    </xdr:from>
    <xdr:to>
      <xdr:col>11</xdr:col>
      <xdr:colOff>306265</xdr:colOff>
      <xdr:row>99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338667</xdr:colOff>
      <xdr:row>56</xdr:row>
      <xdr:rowOff>0</xdr:rowOff>
    </xdr:from>
    <xdr:to>
      <xdr:col>43</xdr:col>
      <xdr:colOff>320231</xdr:colOff>
      <xdr:row>93</xdr:row>
      <xdr:rowOff>137446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352425</xdr:colOff>
      <xdr:row>24</xdr:row>
      <xdr:rowOff>38100</xdr:rowOff>
    </xdr:from>
    <xdr:to>
      <xdr:col>23</xdr:col>
      <xdr:colOff>131571</xdr:colOff>
      <xdr:row>41</xdr:row>
      <xdr:rowOff>58232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609600</xdr:colOff>
      <xdr:row>24</xdr:row>
      <xdr:rowOff>9525</xdr:rowOff>
    </xdr:from>
    <xdr:to>
      <xdr:col>12</xdr:col>
      <xdr:colOff>67838</xdr:colOff>
      <xdr:row>64</xdr:row>
      <xdr:rowOff>104775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275167</xdr:colOff>
      <xdr:row>24</xdr:row>
      <xdr:rowOff>21165</xdr:rowOff>
    </xdr:from>
    <xdr:to>
      <xdr:col>10</xdr:col>
      <xdr:colOff>662622</xdr:colOff>
      <xdr:row>53</xdr:row>
      <xdr:rowOff>31749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423334</xdr:colOff>
      <xdr:row>23</xdr:row>
      <xdr:rowOff>148167</xdr:rowOff>
    </xdr:from>
    <xdr:to>
      <xdr:col>20</xdr:col>
      <xdr:colOff>86063</xdr:colOff>
      <xdr:row>41</xdr:row>
      <xdr:rowOff>63524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247650</xdr:colOff>
      <xdr:row>12</xdr:row>
      <xdr:rowOff>95250</xdr:rowOff>
    </xdr:from>
    <xdr:to>
      <xdr:col>51</xdr:col>
      <xdr:colOff>371475</xdr:colOff>
      <xdr:row>13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444498</xdr:colOff>
      <xdr:row>88</xdr:row>
      <xdr:rowOff>148168</xdr:rowOff>
    </xdr:from>
    <xdr:to>
      <xdr:col>25</xdr:col>
      <xdr:colOff>349248</xdr:colOff>
      <xdr:row>106</xdr:row>
      <xdr:rowOff>10584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88</xdr:row>
      <xdr:rowOff>105833</xdr:rowOff>
    </xdr:from>
    <xdr:to>
      <xdr:col>14</xdr:col>
      <xdr:colOff>140863</xdr:colOff>
      <xdr:row>129</xdr:row>
      <xdr:rowOff>31750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417844" cy="697706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53220" cy="628811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Z9"/>
  <sheetViews>
    <sheetView workbookViewId="0">
      <pane xSplit="3" ySplit="5" topLeftCell="D9" activePane="bottomRight" state="frozen"/>
      <selection activeCell="C20" sqref="C20"/>
      <selection pane="topRight" activeCell="C20" sqref="C20"/>
      <selection pane="bottomLeft" activeCell="C20" sqref="C20"/>
      <selection pane="bottomRight" activeCell="AY6" sqref="AY6"/>
    </sheetView>
  </sheetViews>
  <sheetFormatPr baseColWidth="10" defaultRowHeight="12.75"/>
  <cols>
    <col min="1" max="1" width="23.5703125" customWidth="1"/>
    <col min="2" max="2" width="29.85546875" customWidth="1"/>
    <col min="3" max="3" width="10.85546875" style="147" customWidth="1"/>
    <col min="4" max="5" width="12.7109375" customWidth="1"/>
    <col min="6" max="6" width="8.140625" customWidth="1"/>
    <col min="7" max="7" width="6.5703125" customWidth="1"/>
    <col min="8" max="8" width="8.42578125" customWidth="1"/>
    <col min="9" max="9" width="5.5703125" customWidth="1"/>
    <col min="10" max="10" width="5.85546875" customWidth="1"/>
    <col min="11" max="11" width="8" customWidth="1"/>
    <col min="12" max="13" width="5.5703125" customWidth="1"/>
    <col min="14" max="14" width="8.7109375" customWidth="1"/>
    <col min="15" max="19" width="6.85546875" customWidth="1"/>
    <col min="20" max="22" width="5.5703125" customWidth="1"/>
    <col min="23" max="23" width="6.140625" customWidth="1"/>
    <col min="24" max="25" width="5.5703125" customWidth="1"/>
    <col min="26" max="26" width="6.140625" customWidth="1"/>
    <col min="27" max="29" width="5.5703125" customWidth="1"/>
    <col min="30" max="30" width="6.140625" customWidth="1"/>
    <col min="31" max="31" width="5.5703125" customWidth="1"/>
    <col min="32" max="32" width="6.28515625" customWidth="1"/>
    <col min="33" max="36" width="5.5703125" customWidth="1"/>
    <col min="37" max="40" width="8.42578125" customWidth="1"/>
    <col min="41" max="43" width="9.85546875" style="5" customWidth="1"/>
    <col min="44" max="45" width="9.7109375" style="46" customWidth="1"/>
    <col min="46" max="47" width="7.7109375" style="72" customWidth="1"/>
    <col min="48" max="48" width="8" style="72" customWidth="1"/>
    <col min="49" max="49" width="8.140625" style="72" customWidth="1"/>
    <col min="50" max="52" width="7.85546875" style="72" customWidth="1"/>
  </cols>
  <sheetData>
    <row r="1" spans="1:52" ht="44.25" customHeight="1">
      <c r="A1" s="326" t="s">
        <v>273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  <c r="AO1" s="326"/>
      <c r="AP1" s="326"/>
      <c r="AQ1" s="179"/>
      <c r="AR1" s="48"/>
      <c r="AS1" s="48"/>
    </row>
    <row r="2" spans="1:52">
      <c r="A2" s="132" t="s">
        <v>177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80"/>
      <c r="AP2" s="180"/>
      <c r="AQ2" s="180"/>
      <c r="AR2" s="49"/>
      <c r="AS2" s="49"/>
    </row>
    <row r="3" spans="1:52" s="11" customFormat="1" ht="51" customHeight="1">
      <c r="A3" s="327" t="s">
        <v>46</v>
      </c>
      <c r="B3" s="328" t="s">
        <v>47</v>
      </c>
      <c r="C3" s="329" t="s">
        <v>76</v>
      </c>
      <c r="D3" s="327" t="s">
        <v>0</v>
      </c>
      <c r="E3" s="327"/>
      <c r="F3" s="327" t="s">
        <v>4</v>
      </c>
      <c r="G3" s="327"/>
      <c r="H3" s="327"/>
      <c r="I3" s="327"/>
      <c r="J3" s="327"/>
      <c r="K3" s="332" t="s">
        <v>3</v>
      </c>
      <c r="L3" s="333" t="s">
        <v>8</v>
      </c>
      <c r="M3" s="333"/>
      <c r="N3" s="334" t="s">
        <v>71</v>
      </c>
      <c r="O3" s="334"/>
      <c r="P3" s="335" t="s">
        <v>60</v>
      </c>
      <c r="Q3" s="336"/>
      <c r="R3" s="336"/>
      <c r="S3" s="336"/>
      <c r="T3" s="336"/>
      <c r="U3" s="337"/>
      <c r="V3" s="335" t="s">
        <v>57</v>
      </c>
      <c r="W3" s="336"/>
      <c r="X3" s="337"/>
      <c r="Y3" s="335" t="s">
        <v>58</v>
      </c>
      <c r="Z3" s="336"/>
      <c r="AA3" s="337"/>
      <c r="AB3" s="348" t="s">
        <v>56</v>
      </c>
      <c r="AC3" s="349"/>
      <c r="AD3" s="349"/>
      <c r="AE3" s="349"/>
      <c r="AF3" s="349"/>
      <c r="AG3" s="350"/>
      <c r="AH3" s="335" t="s">
        <v>59</v>
      </c>
      <c r="AI3" s="336"/>
      <c r="AJ3" s="337"/>
      <c r="AK3" s="335" t="s">
        <v>2</v>
      </c>
      <c r="AL3" s="336"/>
      <c r="AM3" s="336"/>
      <c r="AN3" s="337"/>
      <c r="AO3" s="351" t="s">
        <v>90</v>
      </c>
      <c r="AP3" s="352"/>
      <c r="AQ3" s="352"/>
      <c r="AR3" s="352"/>
      <c r="AS3" s="353"/>
      <c r="AT3" s="344" t="s">
        <v>89</v>
      </c>
      <c r="AU3" s="344"/>
      <c r="AV3" s="344"/>
      <c r="AW3" s="344"/>
      <c r="AX3" s="344"/>
      <c r="AY3" s="344"/>
      <c r="AZ3" s="344"/>
    </row>
    <row r="4" spans="1:52" s="11" customFormat="1" ht="23.25" customHeight="1">
      <c r="A4" s="327"/>
      <c r="B4" s="328"/>
      <c r="C4" s="330"/>
      <c r="D4" s="327" t="s">
        <v>10</v>
      </c>
      <c r="E4" s="327" t="s">
        <v>9</v>
      </c>
      <c r="F4" s="345" t="s">
        <v>5</v>
      </c>
      <c r="G4" s="345"/>
      <c r="H4" s="346" t="s">
        <v>2</v>
      </c>
      <c r="I4" s="346" t="s">
        <v>13</v>
      </c>
      <c r="J4" s="346" t="s">
        <v>14</v>
      </c>
      <c r="K4" s="332"/>
      <c r="L4" s="347" t="s">
        <v>7</v>
      </c>
      <c r="M4" s="340" t="s">
        <v>6</v>
      </c>
      <c r="N4" s="347" t="s">
        <v>1</v>
      </c>
      <c r="O4" s="340" t="s">
        <v>6</v>
      </c>
      <c r="P4" s="335" t="s">
        <v>34</v>
      </c>
      <c r="Q4" s="336"/>
      <c r="R4" s="337"/>
      <c r="S4" s="341" t="s">
        <v>35</v>
      </c>
      <c r="T4" s="342"/>
      <c r="U4" s="343"/>
      <c r="V4" s="335" t="s">
        <v>31</v>
      </c>
      <c r="W4" s="336"/>
      <c r="X4" s="337"/>
      <c r="Y4" s="335" t="s">
        <v>32</v>
      </c>
      <c r="Z4" s="336"/>
      <c r="AA4" s="337"/>
      <c r="AB4" s="354" t="s">
        <v>36</v>
      </c>
      <c r="AC4" s="355"/>
      <c r="AD4" s="356"/>
      <c r="AE4" s="335" t="s">
        <v>37</v>
      </c>
      <c r="AF4" s="336"/>
      <c r="AG4" s="337"/>
      <c r="AH4" s="335" t="s">
        <v>33</v>
      </c>
      <c r="AI4" s="336"/>
      <c r="AJ4" s="337"/>
      <c r="AK4" s="357" t="s">
        <v>84</v>
      </c>
      <c r="AL4" s="357" t="s">
        <v>85</v>
      </c>
      <c r="AM4" s="357" t="s">
        <v>86</v>
      </c>
      <c r="AN4" s="338" t="s">
        <v>87</v>
      </c>
      <c r="AO4" s="360" t="s">
        <v>91</v>
      </c>
      <c r="AP4" s="361"/>
      <c r="AQ4" s="362"/>
      <c r="AR4" s="363" t="s">
        <v>92</v>
      </c>
      <c r="AS4" s="364"/>
      <c r="AT4" s="359" t="s">
        <v>97</v>
      </c>
      <c r="AU4" s="359" t="s">
        <v>88</v>
      </c>
      <c r="AV4" s="359" t="s">
        <v>80</v>
      </c>
      <c r="AW4" s="359" t="s">
        <v>81</v>
      </c>
      <c r="AX4" s="359" t="s">
        <v>294</v>
      </c>
      <c r="AY4" s="359" t="s">
        <v>82</v>
      </c>
      <c r="AZ4" s="359" t="s">
        <v>83</v>
      </c>
    </row>
    <row r="5" spans="1:52" s="11" customFormat="1" ht="57" customHeight="1">
      <c r="A5" s="327"/>
      <c r="B5" s="328"/>
      <c r="C5" s="331"/>
      <c r="D5" s="327"/>
      <c r="E5" s="327"/>
      <c r="F5" s="258" t="s">
        <v>11</v>
      </c>
      <c r="G5" s="258" t="s">
        <v>12</v>
      </c>
      <c r="H5" s="346"/>
      <c r="I5" s="346"/>
      <c r="J5" s="346"/>
      <c r="K5" s="332"/>
      <c r="L5" s="347"/>
      <c r="M5" s="340"/>
      <c r="N5" s="347"/>
      <c r="O5" s="340"/>
      <c r="P5" s="259" t="s">
        <v>77</v>
      </c>
      <c r="Q5" s="259" t="s">
        <v>78</v>
      </c>
      <c r="R5" s="260" t="s">
        <v>79</v>
      </c>
      <c r="S5" s="259" t="s">
        <v>77</v>
      </c>
      <c r="T5" s="259" t="s">
        <v>78</v>
      </c>
      <c r="U5" s="260" t="s">
        <v>79</v>
      </c>
      <c r="V5" s="259" t="s">
        <v>77</v>
      </c>
      <c r="W5" s="259" t="s">
        <v>78</v>
      </c>
      <c r="X5" s="260" t="s">
        <v>79</v>
      </c>
      <c r="Y5" s="259" t="s">
        <v>77</v>
      </c>
      <c r="Z5" s="259" t="s">
        <v>78</v>
      </c>
      <c r="AA5" s="260" t="s">
        <v>79</v>
      </c>
      <c r="AB5" s="259" t="s">
        <v>77</v>
      </c>
      <c r="AC5" s="259" t="s">
        <v>78</v>
      </c>
      <c r="AD5" s="260" t="s">
        <v>79</v>
      </c>
      <c r="AE5" s="259" t="s">
        <v>77</v>
      </c>
      <c r="AF5" s="259" t="s">
        <v>78</v>
      </c>
      <c r="AG5" s="260" t="s">
        <v>79</v>
      </c>
      <c r="AH5" s="259" t="s">
        <v>77</v>
      </c>
      <c r="AI5" s="259" t="s">
        <v>78</v>
      </c>
      <c r="AJ5" s="260" t="s">
        <v>79</v>
      </c>
      <c r="AK5" s="358"/>
      <c r="AL5" s="358"/>
      <c r="AM5" s="358"/>
      <c r="AN5" s="339"/>
      <c r="AO5" s="187" t="s">
        <v>93</v>
      </c>
      <c r="AP5" s="187" t="s">
        <v>94</v>
      </c>
      <c r="AQ5" s="187" t="s">
        <v>98</v>
      </c>
      <c r="AR5" s="50" t="s">
        <v>95</v>
      </c>
      <c r="AS5" s="50" t="s">
        <v>96</v>
      </c>
      <c r="AT5" s="359"/>
      <c r="AU5" s="359"/>
      <c r="AV5" s="359"/>
      <c r="AW5" s="359"/>
      <c r="AX5" s="359"/>
      <c r="AY5" s="359"/>
      <c r="AZ5" s="359"/>
    </row>
    <row r="6" spans="1:52" s="65" customFormat="1" ht="20.25" customHeight="1">
      <c r="A6" s="228" t="s">
        <v>278</v>
      </c>
      <c r="B6" s="198" t="s">
        <v>276</v>
      </c>
      <c r="C6" s="105">
        <v>381</v>
      </c>
      <c r="D6" s="229">
        <v>45757</v>
      </c>
      <c r="E6" s="229">
        <v>45776</v>
      </c>
      <c r="F6" s="105">
        <v>86</v>
      </c>
      <c r="G6" s="105">
        <v>0</v>
      </c>
      <c r="H6" s="105">
        <f>F6+G6</f>
        <v>86</v>
      </c>
      <c r="I6" s="105">
        <v>0</v>
      </c>
      <c r="J6" s="105">
        <v>0</v>
      </c>
      <c r="K6" s="105">
        <f>H6+I6+J6</f>
        <v>86</v>
      </c>
      <c r="L6" s="105">
        <v>0</v>
      </c>
      <c r="M6" s="105">
        <v>0</v>
      </c>
      <c r="N6" s="105">
        <v>86</v>
      </c>
      <c r="O6" s="105">
        <v>0</v>
      </c>
      <c r="P6" s="105">
        <v>0</v>
      </c>
      <c r="Q6" s="105">
        <v>54</v>
      </c>
      <c r="R6" s="105">
        <v>0</v>
      </c>
      <c r="S6" s="105">
        <v>31</v>
      </c>
      <c r="T6" s="105">
        <v>38</v>
      </c>
      <c r="U6" s="105">
        <v>0</v>
      </c>
      <c r="V6" s="105">
        <v>0</v>
      </c>
      <c r="W6" s="105">
        <v>0</v>
      </c>
      <c r="X6" s="105">
        <v>0</v>
      </c>
      <c r="Y6" s="105">
        <v>9</v>
      </c>
      <c r="Z6" s="105">
        <v>108</v>
      </c>
      <c r="AA6" s="105">
        <v>0</v>
      </c>
      <c r="AB6" s="105">
        <v>68</v>
      </c>
      <c r="AC6" s="105">
        <v>41</v>
      </c>
      <c r="AD6" s="105">
        <v>0</v>
      </c>
      <c r="AE6" s="105">
        <v>1334</v>
      </c>
      <c r="AF6" s="105">
        <v>271</v>
      </c>
      <c r="AG6" s="105">
        <v>0</v>
      </c>
      <c r="AH6" s="105">
        <v>0</v>
      </c>
      <c r="AI6" s="105">
        <v>0</v>
      </c>
      <c r="AJ6" s="105">
        <v>0</v>
      </c>
      <c r="AK6" s="105">
        <f t="shared" ref="AK6:AL6" si="0">P6+S6+V6+Y6+AB6+AE6+AH6</f>
        <v>1442</v>
      </c>
      <c r="AL6" s="105">
        <f t="shared" si="0"/>
        <v>512</v>
      </c>
      <c r="AM6" s="105">
        <f t="shared" ref="AM6:AM7" si="1">AK6+AL6</f>
        <v>1954</v>
      </c>
      <c r="AN6" s="105">
        <f t="shared" ref="AN6:AN7" si="2">R6+U6+X6+AA6+AD6+AG6+AJ6</f>
        <v>0</v>
      </c>
      <c r="AO6" s="184">
        <f t="shared" ref="AO6:AO7" si="3">O6/H6*100</f>
        <v>0</v>
      </c>
      <c r="AP6" s="184">
        <f t="shared" ref="AP6:AP8" si="4">AN6/H6*100</f>
        <v>0</v>
      </c>
      <c r="AQ6" s="184">
        <f t="shared" ref="AQ6:AQ8" si="5">AN6/AM6*100</f>
        <v>0</v>
      </c>
      <c r="AR6" s="106">
        <f t="shared" ref="AR6:AR8" si="6">AK6/AM6*100</f>
        <v>73.797338792221083</v>
      </c>
      <c r="AS6" s="106">
        <f t="shared" ref="AS6:AS8" si="7">AL6/AM6*100</f>
        <v>26.202661207778917</v>
      </c>
      <c r="AT6" s="230" t="e">
        <f t="shared" ref="AT6:AT8" si="8">R6/AN6*100</f>
        <v>#DIV/0!</v>
      </c>
      <c r="AU6" s="230" t="e">
        <f t="shared" ref="AU6:AU8" si="9">U6/AN6*100</f>
        <v>#DIV/0!</v>
      </c>
      <c r="AV6" s="230" t="e">
        <f t="shared" ref="AV6:AV8" si="10">X6/AN6*100</f>
        <v>#DIV/0!</v>
      </c>
      <c r="AW6" s="230" t="e">
        <f t="shared" ref="AW6:AW8" si="11">AA6/AN6*100</f>
        <v>#DIV/0!</v>
      </c>
      <c r="AX6" s="230" t="e">
        <f t="shared" ref="AX6:AX8" si="12">AD6/AN6*100</f>
        <v>#DIV/0!</v>
      </c>
      <c r="AY6" s="230" t="e">
        <f t="shared" ref="AY6:AY8" si="13">AG6/AN6*100</f>
        <v>#DIV/0!</v>
      </c>
      <c r="AZ6" s="230" t="e">
        <f t="shared" ref="AZ6:AZ8" si="14">AJ6/AN6*100</f>
        <v>#DIV/0!</v>
      </c>
    </row>
    <row r="7" spans="1:52" s="65" customFormat="1" ht="20.25" customHeight="1">
      <c r="A7" s="70" t="s">
        <v>254</v>
      </c>
      <c r="B7" s="70">
        <f>COUNTA(B6:B6)</f>
        <v>1</v>
      </c>
      <c r="C7" s="70">
        <f>SUM(C6:C6)</f>
        <v>381</v>
      </c>
      <c r="D7" s="68">
        <f>MIN(D6:D6)</f>
        <v>45757</v>
      </c>
      <c r="E7" s="68">
        <f>MAX(E6:E6)</f>
        <v>45776</v>
      </c>
      <c r="F7" s="70">
        <f>SUM(F6:F6)</f>
        <v>86</v>
      </c>
      <c r="G7" s="70">
        <f>SUM(G6:G6)</f>
        <v>0</v>
      </c>
      <c r="H7" s="62">
        <f>F7+G7</f>
        <v>86</v>
      </c>
      <c r="I7" s="70">
        <f>SUM(I6:I6)</f>
        <v>0</v>
      </c>
      <c r="J7" s="70">
        <f>SUM(J6:J6)</f>
        <v>0</v>
      </c>
      <c r="K7" s="83">
        <f>H7+I7+J7</f>
        <v>86</v>
      </c>
      <c r="L7" s="70">
        <f t="shared" ref="L7:AJ7" si="15">SUM(L6:L6)</f>
        <v>0</v>
      </c>
      <c r="M7" s="70">
        <f t="shared" si="15"/>
        <v>0</v>
      </c>
      <c r="N7" s="70">
        <f t="shared" si="15"/>
        <v>86</v>
      </c>
      <c r="O7" s="70">
        <f t="shared" si="15"/>
        <v>0</v>
      </c>
      <c r="P7" s="70">
        <f t="shared" si="15"/>
        <v>0</v>
      </c>
      <c r="Q7" s="70">
        <f t="shared" si="15"/>
        <v>54</v>
      </c>
      <c r="R7" s="70">
        <f t="shared" si="15"/>
        <v>0</v>
      </c>
      <c r="S7" s="70">
        <f t="shared" si="15"/>
        <v>31</v>
      </c>
      <c r="T7" s="70">
        <f t="shared" si="15"/>
        <v>38</v>
      </c>
      <c r="U7" s="70">
        <f t="shared" si="15"/>
        <v>0</v>
      </c>
      <c r="V7" s="70">
        <f t="shared" si="15"/>
        <v>0</v>
      </c>
      <c r="W7" s="70">
        <f t="shared" si="15"/>
        <v>0</v>
      </c>
      <c r="X7" s="70">
        <f t="shared" si="15"/>
        <v>0</v>
      </c>
      <c r="Y7" s="70">
        <f t="shared" si="15"/>
        <v>9</v>
      </c>
      <c r="Z7" s="70">
        <f t="shared" si="15"/>
        <v>108</v>
      </c>
      <c r="AA7" s="70">
        <f t="shared" si="15"/>
        <v>0</v>
      </c>
      <c r="AB7" s="70">
        <f t="shared" si="15"/>
        <v>68</v>
      </c>
      <c r="AC7" s="70">
        <f t="shared" si="15"/>
        <v>41</v>
      </c>
      <c r="AD7" s="70">
        <f t="shared" si="15"/>
        <v>0</v>
      </c>
      <c r="AE7" s="70">
        <f t="shared" si="15"/>
        <v>1334</v>
      </c>
      <c r="AF7" s="70">
        <f t="shared" si="15"/>
        <v>271</v>
      </c>
      <c r="AG7" s="70">
        <f t="shared" si="15"/>
        <v>0</v>
      </c>
      <c r="AH7" s="70">
        <f t="shared" si="15"/>
        <v>0</v>
      </c>
      <c r="AI7" s="70">
        <f t="shared" si="15"/>
        <v>0</v>
      </c>
      <c r="AJ7" s="70">
        <f t="shared" si="15"/>
        <v>0</v>
      </c>
      <c r="AK7" s="83">
        <f>P7+S7+V7+Y7+AB7+AE7+AH7</f>
        <v>1442</v>
      </c>
      <c r="AL7" s="83">
        <f>Q7+T7+W7+Z7+AC7+AF7+AI7</f>
        <v>512</v>
      </c>
      <c r="AM7" s="83">
        <f t="shared" si="1"/>
        <v>1954</v>
      </c>
      <c r="AN7" s="83">
        <f t="shared" si="2"/>
        <v>0</v>
      </c>
      <c r="AO7" s="190">
        <f t="shared" si="3"/>
        <v>0</v>
      </c>
      <c r="AP7" s="190">
        <f t="shared" si="4"/>
        <v>0</v>
      </c>
      <c r="AQ7" s="190">
        <f t="shared" si="5"/>
        <v>0</v>
      </c>
      <c r="AR7" s="85">
        <f t="shared" si="6"/>
        <v>73.797338792221083</v>
      </c>
      <c r="AS7" s="85">
        <f t="shared" si="7"/>
        <v>26.202661207778917</v>
      </c>
      <c r="AT7" s="85" t="e">
        <f t="shared" si="8"/>
        <v>#DIV/0!</v>
      </c>
      <c r="AU7" s="85" t="e">
        <f t="shared" si="9"/>
        <v>#DIV/0!</v>
      </c>
      <c r="AV7" s="85" t="e">
        <f t="shared" si="10"/>
        <v>#DIV/0!</v>
      </c>
      <c r="AW7" s="85" t="e">
        <f t="shared" si="11"/>
        <v>#DIV/0!</v>
      </c>
      <c r="AX7" s="85" t="e">
        <f t="shared" si="12"/>
        <v>#DIV/0!</v>
      </c>
      <c r="AY7" s="85" t="e">
        <f t="shared" si="13"/>
        <v>#DIV/0!</v>
      </c>
      <c r="AZ7" s="85" t="e">
        <f t="shared" si="14"/>
        <v>#DIV/0!</v>
      </c>
    </row>
    <row r="8" spans="1:52" s="65" customFormat="1" ht="20.25" customHeight="1">
      <c r="A8" s="70" t="s">
        <v>38</v>
      </c>
      <c r="B8" s="70">
        <f>+B7</f>
        <v>1</v>
      </c>
      <c r="C8" s="70">
        <f>+C7</f>
        <v>381</v>
      </c>
      <c r="D8" s="68">
        <f>MIN(D6:D7)</f>
        <v>45757</v>
      </c>
      <c r="E8" s="68">
        <f>MAX(E6:E7)</f>
        <v>45776</v>
      </c>
      <c r="F8" s="70">
        <f>+F7</f>
        <v>86</v>
      </c>
      <c r="G8" s="70">
        <f t="shared" ref="G8:AJ8" si="16">+G7</f>
        <v>0</v>
      </c>
      <c r="H8" s="70">
        <f t="shared" si="16"/>
        <v>86</v>
      </c>
      <c r="I8" s="70">
        <f t="shared" si="16"/>
        <v>0</v>
      </c>
      <c r="J8" s="70">
        <f t="shared" si="16"/>
        <v>0</v>
      </c>
      <c r="K8" s="70">
        <f t="shared" si="16"/>
        <v>86</v>
      </c>
      <c r="L8" s="70">
        <f t="shared" si="16"/>
        <v>0</v>
      </c>
      <c r="M8" s="70">
        <f t="shared" si="16"/>
        <v>0</v>
      </c>
      <c r="N8" s="70">
        <f t="shared" si="16"/>
        <v>86</v>
      </c>
      <c r="O8" s="70">
        <f t="shared" si="16"/>
        <v>0</v>
      </c>
      <c r="P8" s="70">
        <f t="shared" si="16"/>
        <v>0</v>
      </c>
      <c r="Q8" s="70">
        <f t="shared" si="16"/>
        <v>54</v>
      </c>
      <c r="R8" s="70">
        <f t="shared" si="16"/>
        <v>0</v>
      </c>
      <c r="S8" s="70">
        <f t="shared" si="16"/>
        <v>31</v>
      </c>
      <c r="T8" s="70">
        <f t="shared" si="16"/>
        <v>38</v>
      </c>
      <c r="U8" s="70">
        <f t="shared" si="16"/>
        <v>0</v>
      </c>
      <c r="V8" s="70">
        <f t="shared" si="16"/>
        <v>0</v>
      </c>
      <c r="W8" s="70">
        <f t="shared" si="16"/>
        <v>0</v>
      </c>
      <c r="X8" s="70">
        <f t="shared" si="16"/>
        <v>0</v>
      </c>
      <c r="Y8" s="70">
        <f t="shared" si="16"/>
        <v>9</v>
      </c>
      <c r="Z8" s="70">
        <f t="shared" si="16"/>
        <v>108</v>
      </c>
      <c r="AA8" s="70">
        <f t="shared" si="16"/>
        <v>0</v>
      </c>
      <c r="AB8" s="70">
        <f t="shared" si="16"/>
        <v>68</v>
      </c>
      <c r="AC8" s="70">
        <f t="shared" si="16"/>
        <v>41</v>
      </c>
      <c r="AD8" s="70">
        <f t="shared" si="16"/>
        <v>0</v>
      </c>
      <c r="AE8" s="70">
        <f t="shared" si="16"/>
        <v>1334</v>
      </c>
      <c r="AF8" s="70">
        <f t="shared" si="16"/>
        <v>271</v>
      </c>
      <c r="AG8" s="70">
        <f t="shared" si="16"/>
        <v>0</v>
      </c>
      <c r="AH8" s="70">
        <f t="shared" si="16"/>
        <v>0</v>
      </c>
      <c r="AI8" s="70">
        <f t="shared" si="16"/>
        <v>0</v>
      </c>
      <c r="AJ8" s="70">
        <f t="shared" si="16"/>
        <v>0</v>
      </c>
      <c r="AK8" s="70">
        <f>P8+S8+V8+Y8+AB8+AE8+AH8</f>
        <v>1442</v>
      </c>
      <c r="AL8" s="70">
        <f>Q8+T8+W8+Z8+AC8+AF8+AI8</f>
        <v>512</v>
      </c>
      <c r="AM8" s="70">
        <f>AK8+AL8</f>
        <v>1954</v>
      </c>
      <c r="AN8" s="70">
        <f>R8+U8+X8+AA8+AD8+AG8+AJ8</f>
        <v>0</v>
      </c>
      <c r="AO8" s="183">
        <f>O8/H8*100</f>
        <v>0</v>
      </c>
      <c r="AP8" s="183">
        <f t="shared" si="4"/>
        <v>0</v>
      </c>
      <c r="AQ8" s="183">
        <f t="shared" si="5"/>
        <v>0</v>
      </c>
      <c r="AR8" s="69">
        <f t="shared" si="6"/>
        <v>73.797338792221083</v>
      </c>
      <c r="AS8" s="69">
        <f t="shared" si="7"/>
        <v>26.202661207778917</v>
      </c>
      <c r="AT8" s="69" t="e">
        <f t="shared" si="8"/>
        <v>#DIV/0!</v>
      </c>
      <c r="AU8" s="69" t="e">
        <f t="shared" si="9"/>
        <v>#DIV/0!</v>
      </c>
      <c r="AV8" s="69" t="e">
        <f t="shared" si="10"/>
        <v>#DIV/0!</v>
      </c>
      <c r="AW8" s="85" t="e">
        <f t="shared" si="11"/>
        <v>#DIV/0!</v>
      </c>
      <c r="AX8" s="69" t="e">
        <f t="shared" si="12"/>
        <v>#DIV/0!</v>
      </c>
      <c r="AY8" s="69" t="e">
        <f t="shared" si="13"/>
        <v>#DIV/0!</v>
      </c>
      <c r="AZ8" s="69" t="e">
        <f t="shared" si="14"/>
        <v>#DIV/0!</v>
      </c>
    </row>
    <row r="9" spans="1:52" s="10" customFormat="1" ht="18">
      <c r="A9" s="9" t="s">
        <v>52</v>
      </c>
      <c r="C9" s="44"/>
      <c r="AO9" s="191"/>
      <c r="AP9" s="191"/>
      <c r="AQ9" s="191"/>
      <c r="AR9" s="47"/>
      <c r="AS9" s="47"/>
      <c r="AT9" s="73"/>
      <c r="AU9" s="73"/>
      <c r="AV9" s="73"/>
      <c r="AW9" s="73"/>
      <c r="AX9" s="73"/>
      <c r="AY9" s="73"/>
      <c r="AZ9" s="73"/>
    </row>
  </sheetData>
  <mergeCells count="47">
    <mergeCell ref="AM4:AM5"/>
    <mergeCell ref="AX4:AX5"/>
    <mergeCell ref="AY4:AY5"/>
    <mergeCell ref="AZ4:AZ5"/>
    <mergeCell ref="AO4:AQ4"/>
    <mergeCell ref="AR4:AS4"/>
    <mergeCell ref="AT4:AT5"/>
    <mergeCell ref="AU4:AU5"/>
    <mergeCell ref="AV4:AV5"/>
    <mergeCell ref="AW4:AW5"/>
    <mergeCell ref="AB4:AD4"/>
    <mergeCell ref="AE4:AG4"/>
    <mergeCell ref="AH4:AJ4"/>
    <mergeCell ref="AK4:AK5"/>
    <mergeCell ref="AL4:AL5"/>
    <mergeCell ref="AT3:AZ3"/>
    <mergeCell ref="D4:D5"/>
    <mergeCell ref="E4:E5"/>
    <mergeCell ref="F4:G4"/>
    <mergeCell ref="H4:H5"/>
    <mergeCell ref="I4:I5"/>
    <mergeCell ref="J4:J5"/>
    <mergeCell ref="L4:L5"/>
    <mergeCell ref="M4:M5"/>
    <mergeCell ref="N4:N5"/>
    <mergeCell ref="V3:X3"/>
    <mergeCell ref="Y3:AA3"/>
    <mergeCell ref="AB3:AG3"/>
    <mergeCell ref="AH3:AJ3"/>
    <mergeCell ref="AK3:AN3"/>
    <mergeCell ref="AO3:AS3"/>
    <mergeCell ref="A1:AP1"/>
    <mergeCell ref="A3:A5"/>
    <mergeCell ref="B3:B5"/>
    <mergeCell ref="C3:C5"/>
    <mergeCell ref="D3:E3"/>
    <mergeCell ref="F3:J3"/>
    <mergeCell ref="K3:K5"/>
    <mergeCell ref="L3:M3"/>
    <mergeCell ref="N3:O3"/>
    <mergeCell ref="P3:U3"/>
    <mergeCell ref="AN4:AN5"/>
    <mergeCell ref="O4:O5"/>
    <mergeCell ref="P4:R4"/>
    <mergeCell ref="S4:U4"/>
    <mergeCell ref="V4:X4"/>
    <mergeCell ref="Y4:AA4"/>
  </mergeCells>
  <pageMargins left="0.7" right="0.7" top="0.75" bottom="0.75" header="0.3" footer="0.3"/>
  <ignoredErrors>
    <ignoredError sqref="H7:K7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F66"/>
  <sheetViews>
    <sheetView zoomScale="93" zoomScaleNormal="93" workbookViewId="0">
      <pane xSplit="3" ySplit="5" topLeftCell="O6" activePane="bottomRight" state="frozen"/>
      <selection activeCell="B8" sqref="B8"/>
      <selection pane="topRight" activeCell="B8" sqref="B8"/>
      <selection pane="bottomLeft" activeCell="B8" sqref="B8"/>
      <selection pane="bottomRight" activeCell="AU60" sqref="AU60"/>
    </sheetView>
  </sheetViews>
  <sheetFormatPr baseColWidth="10" defaultRowHeight="12.75"/>
  <cols>
    <col min="1" max="1" width="22.5703125" customWidth="1"/>
    <col min="2" max="2" width="33.28515625" customWidth="1"/>
    <col min="3" max="3" width="14.140625" style="43" customWidth="1"/>
    <col min="4" max="5" width="12.7109375" customWidth="1"/>
    <col min="6" max="7" width="10.42578125" customWidth="1"/>
    <col min="8" max="8" width="8.42578125" customWidth="1"/>
    <col min="9" max="9" width="5.5703125" customWidth="1"/>
    <col min="10" max="10" width="5.85546875" customWidth="1"/>
    <col min="11" max="11" width="8" customWidth="1"/>
    <col min="12" max="13" width="5.7109375" customWidth="1"/>
    <col min="14" max="15" width="8.42578125" customWidth="1"/>
    <col min="16" max="36" width="7.42578125" customWidth="1"/>
    <col min="37" max="40" width="8.42578125" customWidth="1"/>
    <col min="41" max="43" width="9.85546875" style="5" customWidth="1"/>
    <col min="44" max="45" width="9.7109375" style="46" customWidth="1"/>
    <col min="46" max="47" width="10.28515625" style="72" customWidth="1"/>
    <col min="48" max="48" width="11" style="72" customWidth="1"/>
    <col min="49" max="49" width="13.5703125" style="72" customWidth="1"/>
    <col min="50" max="52" width="10.28515625" style="72" customWidth="1"/>
  </cols>
  <sheetData>
    <row r="1" spans="1:162" ht="44.25" customHeight="1">
      <c r="A1" s="326" t="s">
        <v>174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  <c r="AO1" s="326"/>
      <c r="AP1" s="326"/>
      <c r="AQ1" s="179"/>
      <c r="AR1" s="48"/>
      <c r="AS1" s="48"/>
    </row>
    <row r="2" spans="1:162" ht="13.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80"/>
      <c r="AP2" s="180"/>
      <c r="AQ2" s="180"/>
      <c r="AR2" s="49"/>
      <c r="AS2" s="49"/>
    </row>
    <row r="3" spans="1:162" s="11" customFormat="1" ht="42.75" customHeight="1">
      <c r="A3" s="327" t="s">
        <v>46</v>
      </c>
      <c r="B3" s="328" t="s">
        <v>47</v>
      </c>
      <c r="C3" s="328" t="s">
        <v>76</v>
      </c>
      <c r="D3" s="327" t="s">
        <v>0</v>
      </c>
      <c r="E3" s="327"/>
      <c r="F3" s="327" t="s">
        <v>4</v>
      </c>
      <c r="G3" s="327"/>
      <c r="H3" s="327"/>
      <c r="I3" s="327"/>
      <c r="J3" s="327"/>
      <c r="K3" s="332" t="s">
        <v>3</v>
      </c>
      <c r="L3" s="333" t="s">
        <v>8</v>
      </c>
      <c r="M3" s="333"/>
      <c r="N3" s="383" t="s">
        <v>71</v>
      </c>
      <c r="O3" s="383"/>
      <c r="P3" s="381" t="s">
        <v>60</v>
      </c>
      <c r="Q3" s="381"/>
      <c r="R3" s="381"/>
      <c r="S3" s="381"/>
      <c r="T3" s="381"/>
      <c r="U3" s="381"/>
      <c r="V3" s="381" t="s">
        <v>57</v>
      </c>
      <c r="W3" s="381"/>
      <c r="X3" s="381"/>
      <c r="Y3" s="381" t="s">
        <v>58</v>
      </c>
      <c r="Z3" s="381"/>
      <c r="AA3" s="381"/>
      <c r="AB3" s="381" t="s">
        <v>56</v>
      </c>
      <c r="AC3" s="381"/>
      <c r="AD3" s="381"/>
      <c r="AE3" s="381"/>
      <c r="AF3" s="381"/>
      <c r="AG3" s="381"/>
      <c r="AH3" s="381" t="s">
        <v>59</v>
      </c>
      <c r="AI3" s="381"/>
      <c r="AJ3" s="381"/>
      <c r="AK3" s="381" t="s">
        <v>2</v>
      </c>
      <c r="AL3" s="381"/>
      <c r="AM3" s="381"/>
      <c r="AN3" s="381"/>
      <c r="AO3" s="386" t="s">
        <v>108</v>
      </c>
      <c r="AP3" s="386"/>
      <c r="AQ3" s="386"/>
      <c r="AR3" s="386"/>
      <c r="AS3" s="386"/>
      <c r="AT3" s="344" t="s">
        <v>89</v>
      </c>
      <c r="AU3" s="344"/>
      <c r="AV3" s="344"/>
      <c r="AW3" s="344"/>
      <c r="AX3" s="344"/>
      <c r="AY3" s="344"/>
      <c r="AZ3" s="344"/>
    </row>
    <row r="4" spans="1:162" s="11" customFormat="1" ht="36" customHeight="1">
      <c r="A4" s="327"/>
      <c r="B4" s="328"/>
      <c r="C4" s="328"/>
      <c r="D4" s="327" t="s">
        <v>10</v>
      </c>
      <c r="E4" s="327" t="s">
        <v>9</v>
      </c>
      <c r="F4" s="381" t="s">
        <v>5</v>
      </c>
      <c r="G4" s="381"/>
      <c r="H4" s="346" t="s">
        <v>2</v>
      </c>
      <c r="I4" s="346" t="s">
        <v>13</v>
      </c>
      <c r="J4" s="346" t="s">
        <v>14</v>
      </c>
      <c r="K4" s="332"/>
      <c r="L4" s="347" t="s">
        <v>7</v>
      </c>
      <c r="M4" s="340" t="s">
        <v>6</v>
      </c>
      <c r="N4" s="347" t="s">
        <v>1</v>
      </c>
      <c r="O4" s="340" t="s">
        <v>6</v>
      </c>
      <c r="P4" s="381" t="s">
        <v>34</v>
      </c>
      <c r="Q4" s="381"/>
      <c r="R4" s="381"/>
      <c r="S4" s="382" t="s">
        <v>35</v>
      </c>
      <c r="T4" s="382"/>
      <c r="U4" s="382"/>
      <c r="V4" s="381" t="s">
        <v>31</v>
      </c>
      <c r="W4" s="381"/>
      <c r="X4" s="381"/>
      <c r="Y4" s="381" t="s">
        <v>32</v>
      </c>
      <c r="Z4" s="381"/>
      <c r="AA4" s="381"/>
      <c r="AB4" s="333" t="s">
        <v>36</v>
      </c>
      <c r="AC4" s="333"/>
      <c r="AD4" s="333"/>
      <c r="AE4" s="381" t="s">
        <v>37</v>
      </c>
      <c r="AF4" s="381"/>
      <c r="AG4" s="381"/>
      <c r="AH4" s="381" t="s">
        <v>33</v>
      </c>
      <c r="AI4" s="381"/>
      <c r="AJ4" s="381"/>
      <c r="AK4" s="332" t="s">
        <v>84</v>
      </c>
      <c r="AL4" s="332" t="s">
        <v>85</v>
      </c>
      <c r="AM4" s="332" t="s">
        <v>86</v>
      </c>
      <c r="AN4" s="389" t="s">
        <v>87</v>
      </c>
      <c r="AO4" s="384" t="s">
        <v>91</v>
      </c>
      <c r="AP4" s="384"/>
      <c r="AQ4" s="384"/>
      <c r="AR4" s="385" t="s">
        <v>92</v>
      </c>
      <c r="AS4" s="385"/>
      <c r="AT4" s="387" t="s">
        <v>60</v>
      </c>
      <c r="AU4" s="388"/>
      <c r="AV4" s="148" t="s">
        <v>57</v>
      </c>
      <c r="AW4" s="148" t="s">
        <v>58</v>
      </c>
      <c r="AX4" s="387" t="s">
        <v>56</v>
      </c>
      <c r="AY4" s="388"/>
      <c r="AZ4" s="148" t="s">
        <v>59</v>
      </c>
    </row>
    <row r="5" spans="1:162" s="11" customFormat="1" ht="46.5" customHeight="1">
      <c r="A5" s="327"/>
      <c r="B5" s="328"/>
      <c r="C5" s="328"/>
      <c r="D5" s="327"/>
      <c r="E5" s="327"/>
      <c r="F5" s="150" t="s">
        <v>11</v>
      </c>
      <c r="G5" s="150" t="s">
        <v>12</v>
      </c>
      <c r="H5" s="346"/>
      <c r="I5" s="346"/>
      <c r="J5" s="346"/>
      <c r="K5" s="332"/>
      <c r="L5" s="347"/>
      <c r="M5" s="340"/>
      <c r="N5" s="347"/>
      <c r="O5" s="340"/>
      <c r="P5" s="149" t="s">
        <v>77</v>
      </c>
      <c r="Q5" s="149" t="s">
        <v>78</v>
      </c>
      <c r="R5" s="153" t="s">
        <v>79</v>
      </c>
      <c r="S5" s="149" t="s">
        <v>77</v>
      </c>
      <c r="T5" s="149" t="s">
        <v>78</v>
      </c>
      <c r="U5" s="153" t="s">
        <v>79</v>
      </c>
      <c r="V5" s="149" t="s">
        <v>77</v>
      </c>
      <c r="W5" s="149" t="s">
        <v>78</v>
      </c>
      <c r="X5" s="153" t="s">
        <v>79</v>
      </c>
      <c r="Y5" s="149" t="s">
        <v>77</v>
      </c>
      <c r="Z5" s="149" t="s">
        <v>78</v>
      </c>
      <c r="AA5" s="153" t="s">
        <v>79</v>
      </c>
      <c r="AB5" s="149" t="s">
        <v>77</v>
      </c>
      <c r="AC5" s="149" t="s">
        <v>78</v>
      </c>
      <c r="AD5" s="153" t="s">
        <v>79</v>
      </c>
      <c r="AE5" s="149" t="s">
        <v>77</v>
      </c>
      <c r="AF5" s="149" t="s">
        <v>78</v>
      </c>
      <c r="AG5" s="153" t="s">
        <v>79</v>
      </c>
      <c r="AH5" s="149" t="s">
        <v>77</v>
      </c>
      <c r="AI5" s="149" t="s">
        <v>78</v>
      </c>
      <c r="AJ5" s="153" t="s">
        <v>79</v>
      </c>
      <c r="AK5" s="346"/>
      <c r="AL5" s="346"/>
      <c r="AM5" s="346"/>
      <c r="AN5" s="390"/>
      <c r="AO5" s="181" t="s">
        <v>280</v>
      </c>
      <c r="AP5" s="181" t="s">
        <v>281</v>
      </c>
      <c r="AQ5" s="181" t="s">
        <v>98</v>
      </c>
      <c r="AR5" s="167" t="s">
        <v>95</v>
      </c>
      <c r="AS5" s="167" t="s">
        <v>96</v>
      </c>
      <c r="AT5" s="295" t="s">
        <v>109</v>
      </c>
      <c r="AU5" s="295" t="s">
        <v>110</v>
      </c>
      <c r="AV5" s="295" t="s">
        <v>111</v>
      </c>
      <c r="AW5" s="295" t="s">
        <v>112</v>
      </c>
      <c r="AX5" s="295" t="s">
        <v>36</v>
      </c>
      <c r="AY5" s="295" t="s">
        <v>37</v>
      </c>
      <c r="AZ5" s="295" t="s">
        <v>33</v>
      </c>
    </row>
    <row r="6" spans="1:162" s="225" customFormat="1" ht="20.25" customHeight="1">
      <c r="A6" s="370" t="s">
        <v>248</v>
      </c>
      <c r="B6" s="220" t="s">
        <v>105</v>
      </c>
      <c r="C6" s="220">
        <f>SUM(C7:C8)</f>
        <v>967</v>
      </c>
      <c r="D6" s="221">
        <f>MIN(D7:D8)</f>
        <v>45659</v>
      </c>
      <c r="E6" s="221">
        <f>MAX(E7:E8)</f>
        <v>45674</v>
      </c>
      <c r="F6" s="219">
        <f>SUM(F7:F8)</f>
        <v>329</v>
      </c>
      <c r="G6" s="219">
        <f t="shared" ref="G6:AJ6" si="0">SUM(G7:G8)</f>
        <v>0</v>
      </c>
      <c r="H6" s="219">
        <f t="shared" si="0"/>
        <v>329</v>
      </c>
      <c r="I6" s="219">
        <f t="shared" si="0"/>
        <v>14</v>
      </c>
      <c r="J6" s="219">
        <f t="shared" si="0"/>
        <v>0</v>
      </c>
      <c r="K6" s="219">
        <f t="shared" si="0"/>
        <v>343</v>
      </c>
      <c r="L6" s="219">
        <f t="shared" si="0"/>
        <v>0</v>
      </c>
      <c r="M6" s="219">
        <f t="shared" si="0"/>
        <v>0</v>
      </c>
      <c r="N6" s="219">
        <f t="shared" si="0"/>
        <v>0</v>
      </c>
      <c r="O6" s="219">
        <f t="shared" si="0"/>
        <v>69</v>
      </c>
      <c r="P6" s="219">
        <f t="shared" si="0"/>
        <v>0</v>
      </c>
      <c r="Q6" s="219">
        <f t="shared" si="0"/>
        <v>0</v>
      </c>
      <c r="R6" s="219">
        <f t="shared" si="0"/>
        <v>0</v>
      </c>
      <c r="S6" s="219">
        <f t="shared" si="0"/>
        <v>0</v>
      </c>
      <c r="T6" s="219">
        <f t="shared" si="0"/>
        <v>680</v>
      </c>
      <c r="U6" s="219">
        <f t="shared" si="0"/>
        <v>52</v>
      </c>
      <c r="V6" s="219">
        <f t="shared" si="0"/>
        <v>11</v>
      </c>
      <c r="W6" s="219">
        <f t="shared" si="0"/>
        <v>275</v>
      </c>
      <c r="X6" s="219">
        <f t="shared" si="0"/>
        <v>35</v>
      </c>
      <c r="Y6" s="219">
        <f t="shared" si="0"/>
        <v>5</v>
      </c>
      <c r="Z6" s="219">
        <f t="shared" si="0"/>
        <v>72</v>
      </c>
      <c r="AA6" s="219">
        <f t="shared" si="0"/>
        <v>11</v>
      </c>
      <c r="AB6" s="219">
        <f t="shared" si="0"/>
        <v>34</v>
      </c>
      <c r="AC6" s="219">
        <f t="shared" si="0"/>
        <v>113</v>
      </c>
      <c r="AD6" s="219">
        <f t="shared" si="0"/>
        <v>12</v>
      </c>
      <c r="AE6" s="219">
        <f t="shared" si="0"/>
        <v>251</v>
      </c>
      <c r="AF6" s="219">
        <f t="shared" si="0"/>
        <v>49</v>
      </c>
      <c r="AG6" s="219">
        <f t="shared" si="0"/>
        <v>7</v>
      </c>
      <c r="AH6" s="219">
        <f t="shared" si="0"/>
        <v>0</v>
      </c>
      <c r="AI6" s="219">
        <f t="shared" si="0"/>
        <v>0</v>
      </c>
      <c r="AJ6" s="219">
        <f t="shared" si="0"/>
        <v>0</v>
      </c>
      <c r="AK6" s="222">
        <f>P6+S6+V6+Y6+AB6+AE6+AH6</f>
        <v>301</v>
      </c>
      <c r="AL6" s="222">
        <f>Q6+T6+W6+Z6+AC6+AF6+AI6</f>
        <v>1189</v>
      </c>
      <c r="AM6" s="222">
        <f>AK6+AL6</f>
        <v>1490</v>
      </c>
      <c r="AN6" s="222">
        <f>R6+U6+X6+AA6+AD6+AG6+AJ6</f>
        <v>117</v>
      </c>
      <c r="AO6" s="223">
        <f>O6/H6*100</f>
        <v>20.972644376899694</v>
      </c>
      <c r="AP6" s="223">
        <f>AN6/H6*100</f>
        <v>35.562310030395139</v>
      </c>
      <c r="AQ6" s="223">
        <f>AN6/AM6*100</f>
        <v>7.852348993288591</v>
      </c>
      <c r="AR6" s="224">
        <f t="shared" ref="AR6" si="1">AK6/AM6*100</f>
        <v>20.201342281879196</v>
      </c>
      <c r="AS6" s="224">
        <f t="shared" ref="AS6" si="2">AL6/AM6*100</f>
        <v>79.798657718120808</v>
      </c>
      <c r="AT6" s="224">
        <f t="shared" ref="AT6" si="3">R6/AN6*100</f>
        <v>0</v>
      </c>
      <c r="AU6" s="224">
        <f t="shared" ref="AU6" si="4">U6/AN6*100</f>
        <v>44.444444444444443</v>
      </c>
      <c r="AV6" s="224">
        <f t="shared" ref="AV6" si="5">X6/AN6*100</f>
        <v>29.914529914529915</v>
      </c>
      <c r="AW6" s="224">
        <f t="shared" ref="AW6" si="6">AA6/AN6*100</f>
        <v>9.4017094017094021</v>
      </c>
      <c r="AX6" s="224">
        <f t="shared" ref="AX6" si="7">AD6/AN6*100</f>
        <v>10.256410256410255</v>
      </c>
      <c r="AY6" s="224">
        <f t="shared" ref="AY6" si="8">AG6/AN6*100</f>
        <v>5.982905982905983</v>
      </c>
      <c r="AZ6" s="224">
        <f t="shared" ref="AZ6" si="9">AJ6/AN6*100</f>
        <v>0</v>
      </c>
    </row>
    <row r="7" spans="1:162" s="158" customFormat="1" ht="20.25" customHeight="1">
      <c r="A7" s="371"/>
      <c r="B7" s="154" t="s">
        <v>132</v>
      </c>
      <c r="C7" s="155">
        <v>468</v>
      </c>
      <c r="D7" s="156">
        <v>45659</v>
      </c>
      <c r="E7" s="156">
        <v>45670</v>
      </c>
      <c r="F7" s="155">
        <v>158</v>
      </c>
      <c r="G7" s="155">
        <v>0</v>
      </c>
      <c r="H7" s="155">
        <f>F7+G7</f>
        <v>158</v>
      </c>
      <c r="I7" s="155">
        <v>8</v>
      </c>
      <c r="J7" s="155">
        <v>0</v>
      </c>
      <c r="K7" s="155">
        <f>H7+I7+J7</f>
        <v>166</v>
      </c>
      <c r="L7" s="155">
        <v>0</v>
      </c>
      <c r="M7" s="155">
        <v>0</v>
      </c>
      <c r="N7" s="155">
        <v>0</v>
      </c>
      <c r="O7" s="155">
        <v>42</v>
      </c>
      <c r="P7" s="155">
        <v>0</v>
      </c>
      <c r="Q7" s="155">
        <v>0</v>
      </c>
      <c r="R7" s="155">
        <v>0</v>
      </c>
      <c r="S7" s="155">
        <v>0</v>
      </c>
      <c r="T7" s="155">
        <v>358</v>
      </c>
      <c r="U7" s="155">
        <v>31</v>
      </c>
      <c r="V7" s="155">
        <v>7</v>
      </c>
      <c r="W7" s="155">
        <v>175</v>
      </c>
      <c r="X7" s="155">
        <v>26</v>
      </c>
      <c r="Y7" s="155">
        <v>1</v>
      </c>
      <c r="Z7" s="155">
        <v>56</v>
      </c>
      <c r="AA7" s="155">
        <v>10</v>
      </c>
      <c r="AB7" s="155">
        <v>6</v>
      </c>
      <c r="AC7" s="155">
        <v>98</v>
      </c>
      <c r="AD7" s="155">
        <v>10</v>
      </c>
      <c r="AE7" s="155">
        <v>54</v>
      </c>
      <c r="AF7" s="155">
        <v>30</v>
      </c>
      <c r="AG7" s="155">
        <v>2</v>
      </c>
      <c r="AH7" s="155">
        <v>0</v>
      </c>
      <c r="AI7" s="155">
        <v>0</v>
      </c>
      <c r="AJ7" s="155">
        <v>0</v>
      </c>
      <c r="AK7" s="155">
        <f t="shared" ref="AK7:AL7" si="10">P7+S7+V7+Y7+AB7+AE7+AH7</f>
        <v>68</v>
      </c>
      <c r="AL7" s="155">
        <f t="shared" si="10"/>
        <v>717</v>
      </c>
      <c r="AM7" s="155">
        <f>AK7+AL7</f>
        <v>785</v>
      </c>
      <c r="AN7" s="155">
        <f>R7+U7+X7+AA7+AD7+AG7+AJ7</f>
        <v>79</v>
      </c>
      <c r="AO7" s="182">
        <f t="shared" ref="AO7:AO17" si="11">O7/H7*100</f>
        <v>26.582278481012654</v>
      </c>
      <c r="AP7" s="182">
        <f t="shared" ref="AP7:AP17" si="12">AN7/H7*100</f>
        <v>50</v>
      </c>
      <c r="AQ7" s="182">
        <f>AN7/AM7*100</f>
        <v>10.063694267515924</v>
      </c>
      <c r="AR7" s="157">
        <f>AK7/AM7*100</f>
        <v>8.6624203821656049</v>
      </c>
      <c r="AS7" s="157">
        <f>AL7/AM7*100</f>
        <v>91.337579617834393</v>
      </c>
      <c r="AT7" s="157">
        <f t="shared" ref="AT7:AT17" si="13">R7/AN7*100</f>
        <v>0</v>
      </c>
      <c r="AU7" s="157">
        <f>U7/AN7*100</f>
        <v>39.24050632911392</v>
      </c>
      <c r="AV7" s="157">
        <f>X7/AN7*100</f>
        <v>32.911392405063289</v>
      </c>
      <c r="AW7" s="157">
        <f t="shared" ref="AW7:AW64" si="14">AA7/AN7*100</f>
        <v>12.658227848101266</v>
      </c>
      <c r="AX7" s="157">
        <f>AD7/AN7*100</f>
        <v>12.658227848101266</v>
      </c>
      <c r="AY7" s="157">
        <f>AG7/AN7*100</f>
        <v>2.5316455696202533</v>
      </c>
      <c r="AZ7" s="157">
        <f>AJ7/AN7*100</f>
        <v>0</v>
      </c>
    </row>
    <row r="8" spans="1:162" s="158" customFormat="1" ht="20.25" customHeight="1">
      <c r="A8" s="371"/>
      <c r="B8" s="154" t="s">
        <v>168</v>
      </c>
      <c r="C8" s="155">
        <v>499</v>
      </c>
      <c r="D8" s="156">
        <v>45670</v>
      </c>
      <c r="E8" s="156">
        <v>45674</v>
      </c>
      <c r="F8" s="155">
        <v>171</v>
      </c>
      <c r="G8" s="155">
        <v>0</v>
      </c>
      <c r="H8" s="155">
        <f t="shared" ref="H8:H12" si="15">F8+G8</f>
        <v>171</v>
      </c>
      <c r="I8" s="155">
        <v>6</v>
      </c>
      <c r="J8" s="155">
        <v>0</v>
      </c>
      <c r="K8" s="155">
        <f t="shared" ref="K8:K12" si="16">H8+I8+J8</f>
        <v>177</v>
      </c>
      <c r="L8" s="155">
        <v>0</v>
      </c>
      <c r="M8" s="155">
        <v>0</v>
      </c>
      <c r="N8" s="155">
        <v>0</v>
      </c>
      <c r="O8" s="155">
        <v>27</v>
      </c>
      <c r="P8" s="155">
        <v>0</v>
      </c>
      <c r="Q8" s="155">
        <v>0</v>
      </c>
      <c r="R8" s="155">
        <v>0</v>
      </c>
      <c r="S8" s="155">
        <v>0</v>
      </c>
      <c r="T8" s="155">
        <v>322</v>
      </c>
      <c r="U8" s="155">
        <v>21</v>
      </c>
      <c r="V8" s="155">
        <v>4</v>
      </c>
      <c r="W8" s="155">
        <v>100</v>
      </c>
      <c r="X8" s="155">
        <v>9</v>
      </c>
      <c r="Y8" s="155">
        <v>4</v>
      </c>
      <c r="Z8" s="155">
        <v>16</v>
      </c>
      <c r="AA8" s="155">
        <v>1</v>
      </c>
      <c r="AB8" s="155">
        <v>28</v>
      </c>
      <c r="AC8" s="155">
        <v>15</v>
      </c>
      <c r="AD8" s="155">
        <v>2</v>
      </c>
      <c r="AE8" s="155">
        <v>197</v>
      </c>
      <c r="AF8" s="155">
        <v>19</v>
      </c>
      <c r="AG8" s="155">
        <v>5</v>
      </c>
      <c r="AH8" s="155">
        <v>0</v>
      </c>
      <c r="AI8" s="155">
        <v>0</v>
      </c>
      <c r="AJ8" s="155">
        <v>0</v>
      </c>
      <c r="AK8" s="155">
        <f t="shared" ref="AK8:AK12" si="17">P8+S8+V8+Y8+AB8+AE8+AH8</f>
        <v>233</v>
      </c>
      <c r="AL8" s="155">
        <f t="shared" ref="AL8:AL12" si="18">Q8+T8+W8+Z8+AC8+AF8+AI8</f>
        <v>472</v>
      </c>
      <c r="AM8" s="155">
        <f t="shared" ref="AM8:AM12" si="19">AK8+AL8</f>
        <v>705</v>
      </c>
      <c r="AN8" s="155">
        <f t="shared" ref="AN8:AN12" si="20">R8+U8+X8+AA8+AD8+AG8+AJ8</f>
        <v>38</v>
      </c>
      <c r="AO8" s="182">
        <f t="shared" ref="AO8:AO12" si="21">O8/H8*100</f>
        <v>15.789473684210526</v>
      </c>
      <c r="AP8" s="182">
        <f t="shared" ref="AP8:AP12" si="22">AN8/H8*100</f>
        <v>22.222222222222221</v>
      </c>
      <c r="AQ8" s="182">
        <f t="shared" ref="AQ8:AQ12" si="23">AN8/AM8*100</f>
        <v>5.3900709219858154</v>
      </c>
      <c r="AR8" s="157">
        <f t="shared" ref="AR8:AR12" si="24">AK8/AM8*100</f>
        <v>33.049645390070921</v>
      </c>
      <c r="AS8" s="157">
        <f t="shared" ref="AS8:AS12" si="25">AL8/AM8*100</f>
        <v>66.950354609929079</v>
      </c>
      <c r="AT8" s="157">
        <f t="shared" ref="AT8:AT12" si="26">R8/AN8*100</f>
        <v>0</v>
      </c>
      <c r="AU8" s="157">
        <f t="shared" ref="AU8:AU12" si="27">U8/AN8*100</f>
        <v>55.26315789473685</v>
      </c>
      <c r="AV8" s="157">
        <f t="shared" ref="AV8:AV12" si="28">X8/AN8*100</f>
        <v>23.684210526315788</v>
      </c>
      <c r="AW8" s="157">
        <f t="shared" ref="AW8:AW12" si="29">AA8/AN8*100</f>
        <v>2.6315789473684208</v>
      </c>
      <c r="AX8" s="157">
        <f t="shared" ref="AX8:AX12" si="30">AD8/AN8*100</f>
        <v>5.2631578947368416</v>
      </c>
      <c r="AY8" s="157">
        <f t="shared" ref="AY8:AY12" si="31">AG8/AN8*100</f>
        <v>13.157894736842104</v>
      </c>
      <c r="AZ8" s="157">
        <f t="shared" ref="AZ8:AZ12" si="32">AJ8/AN8*100</f>
        <v>0</v>
      </c>
    </row>
    <row r="9" spans="1:162" s="158" customFormat="1" ht="20.25" customHeight="1">
      <c r="A9" s="372"/>
      <c r="B9" s="154" t="s">
        <v>142</v>
      </c>
      <c r="C9" s="155">
        <v>141</v>
      </c>
      <c r="D9" s="156">
        <v>45677</v>
      </c>
      <c r="E9" s="156">
        <v>45677</v>
      </c>
      <c r="F9" s="155">
        <v>44</v>
      </c>
      <c r="G9" s="155">
        <v>0</v>
      </c>
      <c r="H9" s="155">
        <f t="shared" si="15"/>
        <v>44</v>
      </c>
      <c r="I9" s="155">
        <v>1</v>
      </c>
      <c r="J9" s="155">
        <v>0</v>
      </c>
      <c r="K9" s="155">
        <f t="shared" si="16"/>
        <v>45</v>
      </c>
      <c r="L9" s="155">
        <v>0</v>
      </c>
      <c r="M9" s="155">
        <v>0</v>
      </c>
      <c r="N9" s="155">
        <v>0</v>
      </c>
      <c r="O9" s="155">
        <v>4</v>
      </c>
      <c r="P9" s="155">
        <v>0</v>
      </c>
      <c r="Q9" s="155">
        <v>0</v>
      </c>
      <c r="R9" s="155">
        <v>0</v>
      </c>
      <c r="S9" s="155">
        <v>1</v>
      </c>
      <c r="T9" s="155">
        <v>65</v>
      </c>
      <c r="U9" s="155">
        <v>4</v>
      </c>
      <c r="V9" s="155">
        <v>0</v>
      </c>
      <c r="W9" s="155">
        <v>19</v>
      </c>
      <c r="X9" s="155">
        <v>0</v>
      </c>
      <c r="Y9" s="155">
        <v>0</v>
      </c>
      <c r="Z9" s="155">
        <v>7</v>
      </c>
      <c r="AA9" s="155">
        <v>0</v>
      </c>
      <c r="AB9" s="155">
        <v>0</v>
      </c>
      <c r="AC9" s="155">
        <v>3</v>
      </c>
      <c r="AD9" s="155">
        <v>0</v>
      </c>
      <c r="AE9" s="155">
        <v>5</v>
      </c>
      <c r="AF9" s="155">
        <v>25</v>
      </c>
      <c r="AG9" s="155">
        <v>0</v>
      </c>
      <c r="AH9" s="155">
        <v>0</v>
      </c>
      <c r="AI9" s="155">
        <v>0</v>
      </c>
      <c r="AJ9" s="155">
        <v>0</v>
      </c>
      <c r="AK9" s="155">
        <f t="shared" si="17"/>
        <v>6</v>
      </c>
      <c r="AL9" s="155">
        <f t="shared" si="18"/>
        <v>119</v>
      </c>
      <c r="AM9" s="155">
        <f t="shared" si="19"/>
        <v>125</v>
      </c>
      <c r="AN9" s="155">
        <f t="shared" si="20"/>
        <v>4</v>
      </c>
      <c r="AO9" s="182">
        <f t="shared" si="21"/>
        <v>9.0909090909090917</v>
      </c>
      <c r="AP9" s="182">
        <f t="shared" si="22"/>
        <v>9.0909090909090917</v>
      </c>
      <c r="AQ9" s="182">
        <f t="shared" si="23"/>
        <v>3.2</v>
      </c>
      <c r="AR9" s="157">
        <f t="shared" si="24"/>
        <v>4.8</v>
      </c>
      <c r="AS9" s="157">
        <f t="shared" si="25"/>
        <v>95.199999999999989</v>
      </c>
      <c r="AT9" s="157">
        <f t="shared" si="26"/>
        <v>0</v>
      </c>
      <c r="AU9" s="157">
        <f t="shared" si="27"/>
        <v>100</v>
      </c>
      <c r="AV9" s="157">
        <f t="shared" si="28"/>
        <v>0</v>
      </c>
      <c r="AW9" s="157">
        <f t="shared" si="29"/>
        <v>0</v>
      </c>
      <c r="AX9" s="157">
        <f t="shared" si="30"/>
        <v>0</v>
      </c>
      <c r="AY9" s="157">
        <f t="shared" si="31"/>
        <v>0</v>
      </c>
      <c r="AZ9" s="157">
        <f t="shared" si="32"/>
        <v>0</v>
      </c>
    </row>
    <row r="10" spans="1:162" s="158" customFormat="1" ht="20.25" customHeight="1">
      <c r="A10" s="154" t="s">
        <v>158</v>
      </c>
      <c r="B10" s="154" t="s">
        <v>157</v>
      </c>
      <c r="C10" s="155">
        <v>32</v>
      </c>
      <c r="D10" s="156">
        <v>45674</v>
      </c>
      <c r="E10" s="156">
        <v>45674</v>
      </c>
      <c r="F10" s="155">
        <v>11</v>
      </c>
      <c r="G10" s="155">
        <v>0</v>
      </c>
      <c r="H10" s="155">
        <f t="shared" si="15"/>
        <v>11</v>
      </c>
      <c r="I10" s="155">
        <v>0</v>
      </c>
      <c r="J10" s="155">
        <v>0</v>
      </c>
      <c r="K10" s="155">
        <f t="shared" si="16"/>
        <v>11</v>
      </c>
      <c r="L10" s="155">
        <v>0</v>
      </c>
      <c r="M10" s="155">
        <v>0</v>
      </c>
      <c r="N10" s="155">
        <v>0</v>
      </c>
      <c r="O10" s="155">
        <v>3</v>
      </c>
      <c r="P10" s="155">
        <v>0</v>
      </c>
      <c r="Q10" s="155">
        <v>0</v>
      </c>
      <c r="R10" s="155">
        <v>0</v>
      </c>
      <c r="S10" s="155">
        <v>0</v>
      </c>
      <c r="T10" s="155">
        <v>9</v>
      </c>
      <c r="U10" s="155">
        <v>4</v>
      </c>
      <c r="V10" s="155">
        <v>0</v>
      </c>
      <c r="W10" s="155">
        <v>23</v>
      </c>
      <c r="X10" s="155">
        <v>2</v>
      </c>
      <c r="Y10" s="155">
        <v>0</v>
      </c>
      <c r="Z10" s="155">
        <v>5</v>
      </c>
      <c r="AA10" s="155">
        <v>0</v>
      </c>
      <c r="AB10" s="155">
        <v>0</v>
      </c>
      <c r="AC10" s="155">
        <v>3</v>
      </c>
      <c r="AD10" s="155">
        <v>0</v>
      </c>
      <c r="AE10" s="155">
        <v>4</v>
      </c>
      <c r="AF10" s="155">
        <v>3</v>
      </c>
      <c r="AG10" s="155">
        <v>0</v>
      </c>
      <c r="AH10" s="155">
        <v>0</v>
      </c>
      <c r="AI10" s="155">
        <v>0</v>
      </c>
      <c r="AJ10" s="155">
        <v>0</v>
      </c>
      <c r="AK10" s="155">
        <f t="shared" si="17"/>
        <v>4</v>
      </c>
      <c r="AL10" s="155">
        <f t="shared" si="18"/>
        <v>43</v>
      </c>
      <c r="AM10" s="155">
        <f t="shared" si="19"/>
        <v>47</v>
      </c>
      <c r="AN10" s="155">
        <f t="shared" si="20"/>
        <v>6</v>
      </c>
      <c r="AO10" s="182">
        <f t="shared" si="21"/>
        <v>27.27272727272727</v>
      </c>
      <c r="AP10" s="182">
        <f t="shared" si="22"/>
        <v>54.54545454545454</v>
      </c>
      <c r="AQ10" s="182">
        <f t="shared" si="23"/>
        <v>12.76595744680851</v>
      </c>
      <c r="AR10" s="157">
        <f t="shared" si="24"/>
        <v>8.5106382978723403</v>
      </c>
      <c r="AS10" s="157">
        <f t="shared" si="25"/>
        <v>91.489361702127653</v>
      </c>
      <c r="AT10" s="157">
        <f t="shared" si="26"/>
        <v>0</v>
      </c>
      <c r="AU10" s="157">
        <f t="shared" si="27"/>
        <v>66.666666666666657</v>
      </c>
      <c r="AV10" s="157">
        <f t="shared" si="28"/>
        <v>33.333333333333329</v>
      </c>
      <c r="AW10" s="157">
        <f t="shared" si="29"/>
        <v>0</v>
      </c>
      <c r="AX10" s="157">
        <f t="shared" si="30"/>
        <v>0</v>
      </c>
      <c r="AY10" s="157">
        <f t="shared" si="31"/>
        <v>0</v>
      </c>
      <c r="AZ10" s="157">
        <f t="shared" si="32"/>
        <v>0</v>
      </c>
    </row>
    <row r="11" spans="1:162" s="158" customFormat="1" ht="20.25" customHeight="1">
      <c r="A11" s="154" t="s">
        <v>124</v>
      </c>
      <c r="B11" s="154" t="s">
        <v>125</v>
      </c>
      <c r="C11" s="155">
        <v>337</v>
      </c>
      <c r="D11" s="156">
        <v>45684</v>
      </c>
      <c r="E11" s="156">
        <v>45688</v>
      </c>
      <c r="F11" s="155">
        <v>150</v>
      </c>
      <c r="G11" s="155">
        <v>0</v>
      </c>
      <c r="H11" s="155">
        <f t="shared" si="15"/>
        <v>150</v>
      </c>
      <c r="I11" s="155">
        <v>5</v>
      </c>
      <c r="J11" s="155">
        <v>0</v>
      </c>
      <c r="K11" s="155">
        <f t="shared" si="16"/>
        <v>155</v>
      </c>
      <c r="L11" s="155">
        <v>0</v>
      </c>
      <c r="M11" s="155">
        <v>0</v>
      </c>
      <c r="N11" s="155">
        <v>0</v>
      </c>
      <c r="O11" s="155">
        <v>25</v>
      </c>
      <c r="P11" s="155">
        <v>0</v>
      </c>
      <c r="Q11" s="155">
        <v>0</v>
      </c>
      <c r="R11" s="155">
        <v>0</v>
      </c>
      <c r="S11" s="155">
        <v>1</v>
      </c>
      <c r="T11" s="155">
        <v>209</v>
      </c>
      <c r="U11" s="155">
        <v>18</v>
      </c>
      <c r="V11" s="155">
        <v>0</v>
      </c>
      <c r="W11" s="155">
        <v>46</v>
      </c>
      <c r="X11" s="155">
        <v>9</v>
      </c>
      <c r="Y11" s="155">
        <v>2</v>
      </c>
      <c r="Z11" s="155">
        <v>38</v>
      </c>
      <c r="AA11" s="155">
        <v>5</v>
      </c>
      <c r="AB11" s="155">
        <v>10</v>
      </c>
      <c r="AC11" s="155">
        <v>41</v>
      </c>
      <c r="AD11" s="155">
        <v>10</v>
      </c>
      <c r="AE11" s="155">
        <v>112</v>
      </c>
      <c r="AF11" s="155">
        <v>48</v>
      </c>
      <c r="AG11" s="155">
        <v>0</v>
      </c>
      <c r="AH11" s="155">
        <v>0</v>
      </c>
      <c r="AI11" s="155">
        <v>0</v>
      </c>
      <c r="AJ11" s="155">
        <v>0</v>
      </c>
      <c r="AK11" s="155">
        <f t="shared" si="17"/>
        <v>125</v>
      </c>
      <c r="AL11" s="155">
        <f t="shared" si="18"/>
        <v>382</v>
      </c>
      <c r="AM11" s="155">
        <f t="shared" si="19"/>
        <v>507</v>
      </c>
      <c r="AN11" s="155">
        <f t="shared" si="20"/>
        <v>42</v>
      </c>
      <c r="AO11" s="182">
        <f t="shared" si="21"/>
        <v>16.666666666666664</v>
      </c>
      <c r="AP11" s="182">
        <f t="shared" si="22"/>
        <v>28.000000000000004</v>
      </c>
      <c r="AQ11" s="182">
        <f t="shared" si="23"/>
        <v>8.2840236686390547</v>
      </c>
      <c r="AR11" s="157">
        <f t="shared" si="24"/>
        <v>24.65483234714004</v>
      </c>
      <c r="AS11" s="157">
        <f t="shared" si="25"/>
        <v>75.345167652859956</v>
      </c>
      <c r="AT11" s="157">
        <f t="shared" si="26"/>
        <v>0</v>
      </c>
      <c r="AU11" s="157">
        <f t="shared" si="27"/>
        <v>42.857142857142854</v>
      </c>
      <c r="AV11" s="157">
        <f t="shared" si="28"/>
        <v>21.428571428571427</v>
      </c>
      <c r="AW11" s="157">
        <f t="shared" si="29"/>
        <v>11.904761904761903</v>
      </c>
      <c r="AX11" s="157">
        <f t="shared" si="30"/>
        <v>23.809523809523807</v>
      </c>
      <c r="AY11" s="157">
        <f t="shared" si="31"/>
        <v>0</v>
      </c>
      <c r="AZ11" s="157">
        <f t="shared" si="32"/>
        <v>0</v>
      </c>
    </row>
    <row r="12" spans="1:162" s="158" customFormat="1" ht="20.25" customHeight="1">
      <c r="A12" s="154" t="s">
        <v>155</v>
      </c>
      <c r="B12" s="154" t="s">
        <v>153</v>
      </c>
      <c r="C12" s="155">
        <v>214</v>
      </c>
      <c r="D12" s="156">
        <v>45680</v>
      </c>
      <c r="E12" s="156">
        <v>45681</v>
      </c>
      <c r="F12" s="155">
        <v>87</v>
      </c>
      <c r="G12" s="155">
        <v>0</v>
      </c>
      <c r="H12" s="155">
        <f t="shared" si="15"/>
        <v>87</v>
      </c>
      <c r="I12" s="155">
        <v>1</v>
      </c>
      <c r="J12" s="155">
        <v>0</v>
      </c>
      <c r="K12" s="155">
        <f t="shared" si="16"/>
        <v>88</v>
      </c>
      <c r="L12" s="155">
        <v>0</v>
      </c>
      <c r="M12" s="155">
        <v>0</v>
      </c>
      <c r="N12" s="155">
        <v>0</v>
      </c>
      <c r="O12" s="155">
        <v>17</v>
      </c>
      <c r="P12" s="155">
        <v>0</v>
      </c>
      <c r="Q12" s="155">
        <v>0</v>
      </c>
      <c r="R12" s="155">
        <v>0</v>
      </c>
      <c r="S12" s="155">
        <v>0</v>
      </c>
      <c r="T12" s="155">
        <v>124</v>
      </c>
      <c r="U12" s="155">
        <v>19</v>
      </c>
      <c r="V12" s="155">
        <v>0</v>
      </c>
      <c r="W12" s="155">
        <v>45</v>
      </c>
      <c r="X12" s="155">
        <v>4</v>
      </c>
      <c r="Y12" s="155">
        <v>0</v>
      </c>
      <c r="Z12" s="155">
        <v>8</v>
      </c>
      <c r="AA12" s="155">
        <v>2</v>
      </c>
      <c r="AB12" s="155">
        <v>5</v>
      </c>
      <c r="AC12" s="155">
        <v>16</v>
      </c>
      <c r="AD12" s="155">
        <v>6</v>
      </c>
      <c r="AE12" s="155">
        <v>81</v>
      </c>
      <c r="AF12" s="155">
        <v>34</v>
      </c>
      <c r="AG12" s="155">
        <v>1</v>
      </c>
      <c r="AH12" s="155">
        <v>0</v>
      </c>
      <c r="AI12" s="155">
        <v>0</v>
      </c>
      <c r="AJ12" s="155">
        <v>0</v>
      </c>
      <c r="AK12" s="155">
        <f t="shared" si="17"/>
        <v>86</v>
      </c>
      <c r="AL12" s="155">
        <f t="shared" si="18"/>
        <v>227</v>
      </c>
      <c r="AM12" s="155">
        <f t="shared" si="19"/>
        <v>313</v>
      </c>
      <c r="AN12" s="155">
        <f t="shared" si="20"/>
        <v>32</v>
      </c>
      <c r="AO12" s="182">
        <f t="shared" si="21"/>
        <v>19.540229885057471</v>
      </c>
      <c r="AP12" s="182">
        <f t="shared" si="22"/>
        <v>36.781609195402297</v>
      </c>
      <c r="AQ12" s="182">
        <f t="shared" si="23"/>
        <v>10.223642172523961</v>
      </c>
      <c r="AR12" s="157">
        <f t="shared" si="24"/>
        <v>27.476038338658149</v>
      </c>
      <c r="AS12" s="157">
        <f t="shared" si="25"/>
        <v>72.523961661341858</v>
      </c>
      <c r="AT12" s="157">
        <f t="shared" si="26"/>
        <v>0</v>
      </c>
      <c r="AU12" s="157">
        <f t="shared" si="27"/>
        <v>59.375</v>
      </c>
      <c r="AV12" s="157">
        <f t="shared" si="28"/>
        <v>12.5</v>
      </c>
      <c r="AW12" s="157">
        <f t="shared" si="29"/>
        <v>6.25</v>
      </c>
      <c r="AX12" s="157">
        <f t="shared" si="30"/>
        <v>18.75</v>
      </c>
      <c r="AY12" s="157">
        <f t="shared" si="31"/>
        <v>3.125</v>
      </c>
      <c r="AZ12" s="157">
        <f t="shared" si="32"/>
        <v>0</v>
      </c>
    </row>
    <row r="13" spans="1:162" s="158" customFormat="1" ht="20.25" customHeight="1">
      <c r="A13" s="154" t="s">
        <v>169</v>
      </c>
      <c r="B13" s="154" t="s">
        <v>170</v>
      </c>
      <c r="C13" s="155">
        <v>129</v>
      </c>
      <c r="D13" s="156">
        <v>45678</v>
      </c>
      <c r="E13" s="156">
        <v>45678</v>
      </c>
      <c r="F13" s="155">
        <v>41</v>
      </c>
      <c r="G13" s="155">
        <v>0</v>
      </c>
      <c r="H13" s="155">
        <f t="shared" ref="H13" si="33">F13+G13</f>
        <v>41</v>
      </c>
      <c r="I13" s="155">
        <v>0</v>
      </c>
      <c r="J13" s="155">
        <v>0</v>
      </c>
      <c r="K13" s="155">
        <f t="shared" ref="K13" si="34">H13+I13+J13</f>
        <v>41</v>
      </c>
      <c r="L13" s="155">
        <v>0</v>
      </c>
      <c r="M13" s="155">
        <v>0</v>
      </c>
      <c r="N13" s="155">
        <v>0</v>
      </c>
      <c r="O13" s="155">
        <v>3</v>
      </c>
      <c r="P13" s="155">
        <v>0</v>
      </c>
      <c r="Q13" s="155">
        <v>0</v>
      </c>
      <c r="R13" s="155">
        <v>0</v>
      </c>
      <c r="S13" s="155">
        <v>1</v>
      </c>
      <c r="T13" s="155">
        <v>48</v>
      </c>
      <c r="U13" s="155">
        <v>3</v>
      </c>
      <c r="V13" s="155">
        <v>8</v>
      </c>
      <c r="W13" s="155">
        <v>4</v>
      </c>
      <c r="X13" s="155">
        <v>0</v>
      </c>
      <c r="Y13" s="155">
        <v>0</v>
      </c>
      <c r="Z13" s="155">
        <v>4</v>
      </c>
      <c r="AA13" s="155">
        <v>0</v>
      </c>
      <c r="AB13" s="155">
        <v>0</v>
      </c>
      <c r="AC13" s="155">
        <v>4</v>
      </c>
      <c r="AD13" s="155">
        <v>0</v>
      </c>
      <c r="AE13" s="155">
        <v>1</v>
      </c>
      <c r="AF13" s="155">
        <v>11</v>
      </c>
      <c r="AG13" s="155">
        <v>0</v>
      </c>
      <c r="AH13" s="155">
        <v>0</v>
      </c>
      <c r="AI13" s="155">
        <v>0</v>
      </c>
      <c r="AJ13" s="155">
        <v>0</v>
      </c>
      <c r="AK13" s="155">
        <f t="shared" ref="AK13" si="35">P13+S13+V13+Y13+AB13+AE13+AH13</f>
        <v>10</v>
      </c>
      <c r="AL13" s="155">
        <f t="shared" ref="AL13" si="36">Q13+T13+W13+Z13+AC13+AF13+AI13</f>
        <v>71</v>
      </c>
      <c r="AM13" s="155">
        <f t="shared" ref="AM13" si="37">AK13+AL13</f>
        <v>81</v>
      </c>
      <c r="AN13" s="155">
        <f t="shared" ref="AN13" si="38">R13+U13+X13+AA13+AD13+AG13+AJ13</f>
        <v>3</v>
      </c>
      <c r="AO13" s="182">
        <f t="shared" ref="AO13" si="39">O13/H13*100</f>
        <v>7.3170731707317067</v>
      </c>
      <c r="AP13" s="182">
        <f t="shared" ref="AP13" si="40">AN13/H13*100</f>
        <v>7.3170731707317067</v>
      </c>
      <c r="AQ13" s="182">
        <f t="shared" ref="AQ13" si="41">AN13/AM13*100</f>
        <v>3.7037037037037033</v>
      </c>
      <c r="AR13" s="157">
        <f t="shared" ref="AR13" si="42">AK13/AM13*100</f>
        <v>12.345679012345679</v>
      </c>
      <c r="AS13" s="157">
        <f t="shared" ref="AS13" si="43">AL13/AM13*100</f>
        <v>87.654320987654316</v>
      </c>
      <c r="AT13" s="157">
        <f t="shared" ref="AT13" si="44">R13/AN13*100</f>
        <v>0</v>
      </c>
      <c r="AU13" s="157">
        <f t="shared" ref="AU13" si="45">U13/AN13*100</f>
        <v>100</v>
      </c>
      <c r="AV13" s="157">
        <f t="shared" ref="AV13" si="46">X13/AN13*100</f>
        <v>0</v>
      </c>
      <c r="AW13" s="157">
        <f t="shared" ref="AW13" si="47">AA13/AN13*100</f>
        <v>0</v>
      </c>
      <c r="AX13" s="157">
        <f t="shared" ref="AX13" si="48">AD13/AN13*100</f>
        <v>0</v>
      </c>
      <c r="AY13" s="157">
        <f t="shared" ref="AY13" si="49">AG13/AN13*100</f>
        <v>0</v>
      </c>
      <c r="AZ13" s="157">
        <f t="shared" ref="AZ13" si="50">AJ13/AN13*100</f>
        <v>0</v>
      </c>
    </row>
    <row r="14" spans="1:162" s="67" customFormat="1" ht="20.25" customHeight="1">
      <c r="A14" s="70" t="s">
        <v>62</v>
      </c>
      <c r="B14" s="70">
        <f>COUNTA(B7:B13)</f>
        <v>7</v>
      </c>
      <c r="C14" s="70">
        <f>SUM(C9:C13)+C6</f>
        <v>1820</v>
      </c>
      <c r="D14" s="68">
        <f>MIN(D7:D13)</f>
        <v>45659</v>
      </c>
      <c r="E14" s="68">
        <f>MAX(E7:E13)</f>
        <v>45688</v>
      </c>
      <c r="F14" s="70">
        <f>SUM(F9:F13)+F6</f>
        <v>662</v>
      </c>
      <c r="G14" s="70">
        <f t="shared" ref="G14:J14" si="51">SUM(G9:G13)+G6</f>
        <v>0</v>
      </c>
      <c r="H14" s="70">
        <f t="shared" si="51"/>
        <v>662</v>
      </c>
      <c r="I14" s="70">
        <f t="shared" si="51"/>
        <v>21</v>
      </c>
      <c r="J14" s="70">
        <f t="shared" si="51"/>
        <v>0</v>
      </c>
      <c r="K14" s="70">
        <f t="shared" ref="K14" si="52">SUM(K9:K13)+K6</f>
        <v>683</v>
      </c>
      <c r="L14" s="70">
        <f t="shared" ref="L14" si="53">SUM(L9:L13)+L6</f>
        <v>0</v>
      </c>
      <c r="M14" s="70">
        <f t="shared" ref="M14:N14" si="54">SUM(M9:M13)+M6</f>
        <v>0</v>
      </c>
      <c r="N14" s="70">
        <f t="shared" si="54"/>
        <v>0</v>
      </c>
      <c r="O14" s="70">
        <f t="shared" ref="O14" si="55">SUM(O9:O13)+O6</f>
        <v>121</v>
      </c>
      <c r="P14" s="70">
        <f t="shared" ref="P14" si="56">SUM(P9:P13)+P6</f>
        <v>0</v>
      </c>
      <c r="Q14" s="70">
        <f t="shared" ref="Q14:R14" si="57">SUM(Q9:Q13)+Q6</f>
        <v>0</v>
      </c>
      <c r="R14" s="70">
        <f t="shared" si="57"/>
        <v>0</v>
      </c>
      <c r="S14" s="70">
        <f t="shared" ref="S14" si="58">SUM(S9:S13)+S6</f>
        <v>3</v>
      </c>
      <c r="T14" s="70">
        <f t="shared" ref="T14" si="59">SUM(T9:T13)+T6</f>
        <v>1135</v>
      </c>
      <c r="U14" s="70">
        <f t="shared" ref="U14:V14" si="60">SUM(U9:U13)+U6</f>
        <v>100</v>
      </c>
      <c r="V14" s="70">
        <f t="shared" si="60"/>
        <v>19</v>
      </c>
      <c r="W14" s="70">
        <f t="shared" ref="W14" si="61">SUM(W9:W13)+W6</f>
        <v>412</v>
      </c>
      <c r="X14" s="70">
        <f t="shared" ref="X14" si="62">SUM(X9:X13)+X6</f>
        <v>50</v>
      </c>
      <c r="Y14" s="70">
        <f t="shared" ref="Y14:Z14" si="63">SUM(Y9:Y13)+Y6</f>
        <v>7</v>
      </c>
      <c r="Z14" s="70">
        <f t="shared" si="63"/>
        <v>134</v>
      </c>
      <c r="AA14" s="70">
        <f t="shared" ref="AA14" si="64">SUM(AA9:AA13)+AA6</f>
        <v>18</v>
      </c>
      <c r="AB14" s="70">
        <f t="shared" ref="AB14" si="65">SUM(AB9:AB13)+AB6</f>
        <v>49</v>
      </c>
      <c r="AC14" s="70">
        <f t="shared" ref="AC14:AD14" si="66">SUM(AC9:AC13)+AC6</f>
        <v>180</v>
      </c>
      <c r="AD14" s="70">
        <f t="shared" si="66"/>
        <v>28</v>
      </c>
      <c r="AE14" s="70">
        <f t="shared" ref="AE14" si="67">SUM(AE9:AE13)+AE6</f>
        <v>454</v>
      </c>
      <c r="AF14" s="70">
        <f t="shared" ref="AF14" si="68">SUM(AF9:AF13)+AF6</f>
        <v>170</v>
      </c>
      <c r="AG14" s="70">
        <f t="shared" ref="AG14:AH14" si="69">SUM(AG9:AG13)+AG6</f>
        <v>8</v>
      </c>
      <c r="AH14" s="70">
        <f t="shared" si="69"/>
        <v>0</v>
      </c>
      <c r="AI14" s="70">
        <f t="shared" ref="AI14" si="70">SUM(AI9:AI13)+AI6</f>
        <v>0</v>
      </c>
      <c r="AJ14" s="70">
        <f t="shared" ref="AJ14" si="71">SUM(AJ9:AJ13)+AJ6</f>
        <v>0</v>
      </c>
      <c r="AK14" s="70">
        <f>P14+S14+V14+Y14+AB14+AE14+AH14</f>
        <v>532</v>
      </c>
      <c r="AL14" s="70">
        <f t="shared" ref="AL14:AL17" si="72">Q14+T14+W14+Z14+AC14+AF14+AI14</f>
        <v>2031</v>
      </c>
      <c r="AM14" s="70">
        <f t="shared" ref="AM14:AM17" si="73">AK14+AL14</f>
        <v>2563</v>
      </c>
      <c r="AN14" s="70">
        <f t="shared" ref="AN14:AN17" si="74">R14+U14+X14+AA14+AD14+AG14+AJ14</f>
        <v>204</v>
      </c>
      <c r="AO14" s="183">
        <f t="shared" si="11"/>
        <v>18.277945619335348</v>
      </c>
      <c r="AP14" s="183">
        <f t="shared" si="12"/>
        <v>30.815709969788518</v>
      </c>
      <c r="AQ14" s="183">
        <f t="shared" ref="AQ14:AQ64" si="75">AN14/AM14*100</f>
        <v>7.9594225516972301</v>
      </c>
      <c r="AR14" s="69">
        <f t="shared" ref="AR14:AR17" si="76">AK14/AM14*100</f>
        <v>20.756925477955519</v>
      </c>
      <c r="AS14" s="69">
        <f t="shared" ref="AS14:AS17" si="77">AL14/AM14*100</f>
        <v>79.243074522044481</v>
      </c>
      <c r="AT14" s="69">
        <f t="shared" si="13"/>
        <v>0</v>
      </c>
      <c r="AU14" s="69">
        <f t="shared" ref="AU14:AU64" si="78">U14/AN14*100</f>
        <v>49.019607843137251</v>
      </c>
      <c r="AV14" s="69">
        <f t="shared" ref="AV14:AV64" si="79">X14/AN14*100</f>
        <v>24.509803921568626</v>
      </c>
      <c r="AW14" s="69">
        <f t="shared" si="14"/>
        <v>8.8235294117647065</v>
      </c>
      <c r="AX14" s="69">
        <f t="shared" ref="AX14:AX64" si="80">AD14/AN14*100</f>
        <v>13.725490196078432</v>
      </c>
      <c r="AY14" s="69">
        <f t="shared" ref="AY14:AY64" si="81">AG14/AN14*100</f>
        <v>3.9215686274509802</v>
      </c>
      <c r="AZ14" s="69">
        <f t="shared" ref="AZ14:AZ64" si="82">AJ14/AN14*100</f>
        <v>0</v>
      </c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66"/>
      <c r="DM14" s="66"/>
      <c r="DN14" s="66"/>
      <c r="DO14" s="66"/>
      <c r="DP14" s="66"/>
      <c r="DQ14" s="66"/>
      <c r="DR14" s="66"/>
      <c r="DS14" s="66"/>
      <c r="DT14" s="66"/>
      <c r="DU14" s="66"/>
      <c r="DV14" s="66"/>
      <c r="DW14" s="66"/>
      <c r="DX14" s="66"/>
      <c r="DY14" s="66"/>
      <c r="DZ14" s="66"/>
      <c r="EA14" s="66"/>
      <c r="EB14" s="66"/>
      <c r="EC14" s="66"/>
      <c r="ED14" s="66"/>
      <c r="EE14" s="66"/>
      <c r="EF14" s="66"/>
      <c r="EG14" s="66"/>
      <c r="EH14" s="66"/>
      <c r="EI14" s="66"/>
      <c r="EJ14" s="66"/>
      <c r="EK14" s="66"/>
      <c r="EL14" s="66"/>
      <c r="EM14" s="66"/>
      <c r="EN14" s="66"/>
      <c r="EO14" s="66"/>
      <c r="EP14" s="66"/>
      <c r="EQ14" s="66"/>
      <c r="ER14" s="66"/>
      <c r="ES14" s="66"/>
      <c r="ET14" s="66"/>
      <c r="EU14" s="66"/>
      <c r="EV14" s="66"/>
      <c r="EW14" s="66"/>
      <c r="EX14" s="66"/>
      <c r="EY14" s="66"/>
      <c r="EZ14" s="66"/>
      <c r="FA14" s="66"/>
      <c r="FB14" s="66"/>
      <c r="FC14" s="66"/>
      <c r="FD14" s="66"/>
      <c r="FE14" s="66"/>
      <c r="FF14" s="66"/>
    </row>
    <row r="15" spans="1:162" s="226" customFormat="1" ht="20.25" customHeight="1">
      <c r="A15" s="376" t="s">
        <v>107</v>
      </c>
      <c r="B15" s="222" t="s">
        <v>105</v>
      </c>
      <c r="C15" s="222">
        <f>C16</f>
        <v>100</v>
      </c>
      <c r="D15" s="221">
        <v>45715</v>
      </c>
      <c r="E15" s="221">
        <v>45715</v>
      </c>
      <c r="F15" s="222">
        <f t="shared" ref="F15:AJ15" si="83">F16</f>
        <v>41</v>
      </c>
      <c r="G15" s="222">
        <f t="shared" si="83"/>
        <v>0</v>
      </c>
      <c r="H15" s="222">
        <f t="shared" si="83"/>
        <v>41</v>
      </c>
      <c r="I15" s="222">
        <f t="shared" si="83"/>
        <v>0</v>
      </c>
      <c r="J15" s="222">
        <f t="shared" si="83"/>
        <v>0</v>
      </c>
      <c r="K15" s="222">
        <f t="shared" si="83"/>
        <v>41</v>
      </c>
      <c r="L15" s="222">
        <f t="shared" si="83"/>
        <v>0</v>
      </c>
      <c r="M15" s="222">
        <f t="shared" si="83"/>
        <v>0</v>
      </c>
      <c r="N15" s="222">
        <f t="shared" si="83"/>
        <v>41</v>
      </c>
      <c r="O15" s="222">
        <f t="shared" si="83"/>
        <v>11</v>
      </c>
      <c r="P15" s="222">
        <f t="shared" si="83"/>
        <v>0</v>
      </c>
      <c r="Q15" s="222">
        <f t="shared" si="83"/>
        <v>3</v>
      </c>
      <c r="R15" s="222">
        <f t="shared" si="83"/>
        <v>0</v>
      </c>
      <c r="S15" s="222">
        <f t="shared" si="83"/>
        <v>1</v>
      </c>
      <c r="T15" s="222">
        <f t="shared" si="83"/>
        <v>60</v>
      </c>
      <c r="U15" s="222">
        <f t="shared" si="83"/>
        <v>6</v>
      </c>
      <c r="V15" s="222">
        <f t="shared" si="83"/>
        <v>0</v>
      </c>
      <c r="W15" s="222">
        <f t="shared" si="83"/>
        <v>18</v>
      </c>
      <c r="X15" s="222">
        <f t="shared" si="83"/>
        <v>2</v>
      </c>
      <c r="Y15" s="222">
        <f t="shared" si="83"/>
        <v>0</v>
      </c>
      <c r="Z15" s="222">
        <f t="shared" si="83"/>
        <v>17</v>
      </c>
      <c r="AA15" s="222">
        <f t="shared" si="83"/>
        <v>5</v>
      </c>
      <c r="AB15" s="222">
        <f t="shared" si="83"/>
        <v>4</v>
      </c>
      <c r="AC15" s="222">
        <f t="shared" si="83"/>
        <v>11</v>
      </c>
      <c r="AD15" s="222">
        <f t="shared" si="83"/>
        <v>5</v>
      </c>
      <c r="AE15" s="222">
        <f t="shared" si="83"/>
        <v>89</v>
      </c>
      <c r="AF15" s="222">
        <f t="shared" si="83"/>
        <v>27</v>
      </c>
      <c r="AG15" s="222">
        <f t="shared" si="83"/>
        <v>1</v>
      </c>
      <c r="AH15" s="222">
        <f t="shared" si="83"/>
        <v>0</v>
      </c>
      <c r="AI15" s="222">
        <f t="shared" si="83"/>
        <v>0</v>
      </c>
      <c r="AJ15" s="222">
        <f t="shared" si="83"/>
        <v>0</v>
      </c>
      <c r="AK15" s="222">
        <f>P15+S15+V15+Y15+AB15+AE15+AH15</f>
        <v>94</v>
      </c>
      <c r="AL15" s="222">
        <f>Q15+T15+W15+Z15+AC15+AF15+AI15</f>
        <v>136</v>
      </c>
      <c r="AM15" s="222">
        <f>AK15+AL15</f>
        <v>230</v>
      </c>
      <c r="AN15" s="222">
        <f>R15+U15+X15+AA15+AD15+AG15+AJ15</f>
        <v>19</v>
      </c>
      <c r="AO15" s="223">
        <f>O15/H15*100</f>
        <v>26.829268292682929</v>
      </c>
      <c r="AP15" s="223">
        <f>AN15/H15*100</f>
        <v>46.341463414634148</v>
      </c>
      <c r="AQ15" s="223">
        <f>AN15/AM15*100</f>
        <v>8.2608695652173907</v>
      </c>
      <c r="AR15" s="224">
        <f t="shared" si="76"/>
        <v>40.869565217391305</v>
      </c>
      <c r="AS15" s="224">
        <f t="shared" si="77"/>
        <v>59.130434782608695</v>
      </c>
      <c r="AT15" s="224">
        <f t="shared" si="13"/>
        <v>0</v>
      </c>
      <c r="AU15" s="224">
        <f t="shared" si="78"/>
        <v>31.578947368421051</v>
      </c>
      <c r="AV15" s="224">
        <f t="shared" si="79"/>
        <v>10.526315789473683</v>
      </c>
      <c r="AW15" s="224">
        <f t="shared" si="14"/>
        <v>26.315789473684209</v>
      </c>
      <c r="AX15" s="224">
        <f t="shared" si="80"/>
        <v>26.315789473684209</v>
      </c>
      <c r="AY15" s="224">
        <f t="shared" si="81"/>
        <v>5.2631578947368416</v>
      </c>
      <c r="AZ15" s="224">
        <f t="shared" si="82"/>
        <v>0</v>
      </c>
    </row>
    <row r="16" spans="1:162" s="162" customFormat="1" ht="20.25" customHeight="1">
      <c r="A16" s="377"/>
      <c r="B16" s="163" t="s">
        <v>210</v>
      </c>
      <c r="C16" s="159">
        <v>100</v>
      </c>
      <c r="D16" s="160">
        <v>45715</v>
      </c>
      <c r="E16" s="160">
        <v>45715</v>
      </c>
      <c r="F16" s="159">
        <v>41</v>
      </c>
      <c r="G16" s="159">
        <v>0</v>
      </c>
      <c r="H16" s="105">
        <f t="shared" ref="H16" si="84">F16+G16</f>
        <v>41</v>
      </c>
      <c r="I16" s="159">
        <v>0</v>
      </c>
      <c r="J16" s="159">
        <v>0</v>
      </c>
      <c r="K16" s="105">
        <f t="shared" ref="K16" si="85">H16+I16+J16</f>
        <v>41</v>
      </c>
      <c r="L16" s="159">
        <v>0</v>
      </c>
      <c r="M16" s="159">
        <v>0</v>
      </c>
      <c r="N16" s="159">
        <v>41</v>
      </c>
      <c r="O16" s="159">
        <v>11</v>
      </c>
      <c r="P16" s="159">
        <v>0</v>
      </c>
      <c r="Q16" s="159">
        <v>3</v>
      </c>
      <c r="R16" s="159">
        <v>0</v>
      </c>
      <c r="S16" s="159">
        <v>1</v>
      </c>
      <c r="T16" s="159">
        <v>60</v>
      </c>
      <c r="U16" s="159">
        <v>6</v>
      </c>
      <c r="V16" s="159">
        <v>0</v>
      </c>
      <c r="W16" s="159">
        <v>18</v>
      </c>
      <c r="X16" s="159">
        <v>2</v>
      </c>
      <c r="Y16" s="159">
        <v>0</v>
      </c>
      <c r="Z16" s="159">
        <v>17</v>
      </c>
      <c r="AA16" s="159">
        <v>5</v>
      </c>
      <c r="AB16" s="159">
        <v>4</v>
      </c>
      <c r="AC16" s="159">
        <v>11</v>
      </c>
      <c r="AD16" s="159">
        <v>5</v>
      </c>
      <c r="AE16" s="159">
        <v>89</v>
      </c>
      <c r="AF16" s="159">
        <v>27</v>
      </c>
      <c r="AG16" s="159">
        <v>1</v>
      </c>
      <c r="AH16" s="159">
        <v>0</v>
      </c>
      <c r="AI16" s="159">
        <v>0</v>
      </c>
      <c r="AJ16" s="159">
        <v>0</v>
      </c>
      <c r="AK16" s="105">
        <f t="shared" ref="AK16" si="86">P16+S16+V16+Y16+AB16+AE16+AH16</f>
        <v>94</v>
      </c>
      <c r="AL16" s="105">
        <f t="shared" si="72"/>
        <v>136</v>
      </c>
      <c r="AM16" s="105">
        <f t="shared" si="73"/>
        <v>230</v>
      </c>
      <c r="AN16" s="105">
        <f t="shared" si="74"/>
        <v>19</v>
      </c>
      <c r="AO16" s="184">
        <f t="shared" si="11"/>
        <v>26.829268292682929</v>
      </c>
      <c r="AP16" s="184">
        <f t="shared" si="12"/>
        <v>46.341463414634148</v>
      </c>
      <c r="AQ16" s="184">
        <f t="shared" si="75"/>
        <v>8.2608695652173907</v>
      </c>
      <c r="AR16" s="106">
        <f t="shared" si="76"/>
        <v>40.869565217391305</v>
      </c>
      <c r="AS16" s="106">
        <f t="shared" si="77"/>
        <v>59.130434782608695</v>
      </c>
      <c r="AT16" s="106">
        <f t="shared" si="13"/>
        <v>0</v>
      </c>
      <c r="AU16" s="106">
        <f t="shared" si="78"/>
        <v>31.578947368421051</v>
      </c>
      <c r="AV16" s="106">
        <f t="shared" si="79"/>
        <v>10.526315789473683</v>
      </c>
      <c r="AW16" s="106">
        <f t="shared" si="14"/>
        <v>26.315789473684209</v>
      </c>
      <c r="AX16" s="106">
        <f t="shared" si="80"/>
        <v>26.315789473684209</v>
      </c>
      <c r="AY16" s="106">
        <f t="shared" si="81"/>
        <v>5.2631578947368416</v>
      </c>
      <c r="AZ16" s="106">
        <f t="shared" si="82"/>
        <v>0</v>
      </c>
      <c r="BA16" s="161"/>
      <c r="BB16" s="161"/>
      <c r="BC16" s="161"/>
      <c r="BD16" s="161"/>
      <c r="BE16" s="161"/>
      <c r="BF16" s="161"/>
      <c r="BG16" s="161"/>
      <c r="BH16" s="161"/>
      <c r="BI16" s="161"/>
      <c r="BJ16" s="161"/>
      <c r="BK16" s="161"/>
      <c r="BL16" s="161"/>
      <c r="BM16" s="161"/>
      <c r="BN16" s="161"/>
      <c r="BO16" s="161"/>
      <c r="BP16" s="161"/>
      <c r="BQ16" s="161"/>
      <c r="BR16" s="161"/>
      <c r="BS16" s="161"/>
      <c r="BT16" s="161"/>
      <c r="BU16" s="161"/>
      <c r="BV16" s="161"/>
      <c r="BW16" s="161"/>
      <c r="BX16" s="161"/>
      <c r="BY16" s="161"/>
      <c r="BZ16" s="161"/>
      <c r="CA16" s="161"/>
      <c r="CB16" s="161"/>
      <c r="CC16" s="161"/>
      <c r="CD16" s="161"/>
      <c r="CE16" s="161"/>
      <c r="CF16" s="161"/>
      <c r="CG16" s="161"/>
      <c r="CH16" s="161"/>
      <c r="CI16" s="161"/>
      <c r="CJ16" s="161"/>
      <c r="CK16" s="161"/>
      <c r="CL16" s="161"/>
      <c r="CM16" s="161"/>
      <c r="CN16" s="161"/>
      <c r="CO16" s="161"/>
      <c r="CP16" s="161"/>
      <c r="CQ16" s="161"/>
      <c r="CR16" s="161"/>
      <c r="CS16" s="161"/>
      <c r="CT16" s="161"/>
      <c r="CU16" s="161"/>
      <c r="CV16" s="161"/>
      <c r="CW16" s="161"/>
      <c r="CX16" s="161"/>
      <c r="CY16" s="161"/>
      <c r="CZ16" s="161"/>
      <c r="DA16" s="161"/>
      <c r="DB16" s="161"/>
      <c r="DC16" s="161"/>
      <c r="DD16" s="161"/>
      <c r="DE16" s="161"/>
      <c r="DF16" s="161"/>
      <c r="DG16" s="161"/>
      <c r="DH16" s="161"/>
      <c r="DI16" s="161"/>
      <c r="DJ16" s="161"/>
      <c r="DK16" s="161"/>
      <c r="DL16" s="161"/>
      <c r="DM16" s="161"/>
      <c r="DN16" s="161"/>
      <c r="DO16" s="161"/>
      <c r="DP16" s="161"/>
      <c r="DQ16" s="161"/>
      <c r="DR16" s="161"/>
      <c r="DS16" s="161"/>
      <c r="DT16" s="161"/>
      <c r="DU16" s="161"/>
      <c r="DV16" s="161"/>
      <c r="DW16" s="161"/>
      <c r="DX16" s="161"/>
      <c r="DY16" s="161"/>
      <c r="DZ16" s="161"/>
      <c r="EA16" s="161"/>
      <c r="EB16" s="161"/>
      <c r="EC16" s="161"/>
      <c r="ED16" s="161"/>
      <c r="EE16" s="161"/>
      <c r="EF16" s="161"/>
      <c r="EG16" s="161"/>
      <c r="EH16" s="161"/>
      <c r="EI16" s="161"/>
      <c r="EJ16" s="161"/>
      <c r="EK16" s="161"/>
      <c r="EL16" s="161"/>
      <c r="EM16" s="161"/>
      <c r="EN16" s="161"/>
      <c r="EO16" s="161"/>
      <c r="EP16" s="161"/>
      <c r="EQ16" s="161"/>
      <c r="ER16" s="161"/>
      <c r="ES16" s="161"/>
      <c r="ET16" s="161"/>
      <c r="EU16" s="161"/>
      <c r="EV16" s="161"/>
      <c r="EW16" s="161"/>
      <c r="EX16" s="161"/>
      <c r="EY16" s="161"/>
      <c r="EZ16" s="161"/>
      <c r="FA16" s="161"/>
      <c r="FB16" s="161"/>
      <c r="FC16" s="161"/>
      <c r="FD16" s="161"/>
      <c r="FE16" s="161"/>
      <c r="FF16" s="161"/>
    </row>
    <row r="17" spans="1:162" s="162" customFormat="1" ht="20.25" customHeight="1">
      <c r="A17" s="163" t="s">
        <v>196</v>
      </c>
      <c r="B17" s="163" t="s">
        <v>197</v>
      </c>
      <c r="C17" s="159">
        <v>273</v>
      </c>
      <c r="D17" s="160">
        <v>45702</v>
      </c>
      <c r="E17" s="160">
        <v>45706</v>
      </c>
      <c r="F17" s="159">
        <v>95</v>
      </c>
      <c r="G17" s="159">
        <v>0</v>
      </c>
      <c r="H17" s="105">
        <f>F17+G17</f>
        <v>95</v>
      </c>
      <c r="I17" s="159">
        <v>0</v>
      </c>
      <c r="J17" s="159">
        <v>0</v>
      </c>
      <c r="K17" s="105">
        <f>H17+I17+J17</f>
        <v>95</v>
      </c>
      <c r="L17" s="159">
        <v>0</v>
      </c>
      <c r="M17" s="159">
        <v>0</v>
      </c>
      <c r="N17" s="159">
        <v>95</v>
      </c>
      <c r="O17" s="159">
        <v>35</v>
      </c>
      <c r="P17" s="159">
        <v>3</v>
      </c>
      <c r="Q17" s="159">
        <v>6</v>
      </c>
      <c r="R17" s="159">
        <v>0</v>
      </c>
      <c r="S17" s="159">
        <v>19</v>
      </c>
      <c r="T17" s="159">
        <v>173</v>
      </c>
      <c r="U17" s="159">
        <v>41</v>
      </c>
      <c r="V17" s="159">
        <v>8</v>
      </c>
      <c r="W17" s="159">
        <v>17</v>
      </c>
      <c r="X17" s="159">
        <v>7</v>
      </c>
      <c r="Y17" s="159">
        <v>1</v>
      </c>
      <c r="Z17" s="159">
        <v>9</v>
      </c>
      <c r="AA17" s="159">
        <v>2</v>
      </c>
      <c r="AB17" s="159">
        <v>59</v>
      </c>
      <c r="AC17" s="159">
        <v>12</v>
      </c>
      <c r="AD17" s="159">
        <v>7</v>
      </c>
      <c r="AE17" s="159">
        <v>254</v>
      </c>
      <c r="AF17" s="159">
        <v>4</v>
      </c>
      <c r="AG17" s="159">
        <v>2</v>
      </c>
      <c r="AH17" s="159">
        <v>0</v>
      </c>
      <c r="AI17" s="159">
        <v>0</v>
      </c>
      <c r="AJ17" s="159">
        <v>0</v>
      </c>
      <c r="AK17" s="105">
        <f t="shared" ref="AK17" si="87">P17+S17+V17+Y17+AB17+AE17+AH17</f>
        <v>344</v>
      </c>
      <c r="AL17" s="105">
        <f t="shared" si="72"/>
        <v>221</v>
      </c>
      <c r="AM17" s="105">
        <f t="shared" si="73"/>
        <v>565</v>
      </c>
      <c r="AN17" s="105">
        <f t="shared" si="74"/>
        <v>59</v>
      </c>
      <c r="AO17" s="184">
        <f t="shared" si="11"/>
        <v>36.84210526315789</v>
      </c>
      <c r="AP17" s="184">
        <f t="shared" si="12"/>
        <v>62.10526315789474</v>
      </c>
      <c r="AQ17" s="184">
        <f t="shared" si="75"/>
        <v>10.442477876106194</v>
      </c>
      <c r="AR17" s="106">
        <f t="shared" si="76"/>
        <v>60.884955752212392</v>
      </c>
      <c r="AS17" s="106">
        <f t="shared" si="77"/>
        <v>39.115044247787608</v>
      </c>
      <c r="AT17" s="106">
        <f t="shared" si="13"/>
        <v>0</v>
      </c>
      <c r="AU17" s="106">
        <f t="shared" si="78"/>
        <v>69.491525423728817</v>
      </c>
      <c r="AV17" s="106">
        <f t="shared" si="79"/>
        <v>11.864406779661017</v>
      </c>
      <c r="AW17" s="106">
        <f t="shared" si="14"/>
        <v>3.3898305084745761</v>
      </c>
      <c r="AX17" s="106">
        <f t="shared" si="80"/>
        <v>11.864406779661017</v>
      </c>
      <c r="AY17" s="106">
        <f t="shared" si="81"/>
        <v>3.3898305084745761</v>
      </c>
      <c r="AZ17" s="106">
        <f t="shared" si="82"/>
        <v>0</v>
      </c>
      <c r="BA17" s="161"/>
      <c r="BB17" s="161"/>
      <c r="BC17" s="161"/>
      <c r="BD17" s="161"/>
      <c r="BE17" s="161"/>
      <c r="BF17" s="161"/>
      <c r="BG17" s="161"/>
      <c r="BH17" s="161"/>
      <c r="BI17" s="161"/>
      <c r="BJ17" s="161"/>
      <c r="BK17" s="161"/>
      <c r="BL17" s="161"/>
      <c r="BM17" s="161"/>
      <c r="BN17" s="161"/>
      <c r="BO17" s="161"/>
      <c r="BP17" s="161"/>
      <c r="BQ17" s="161"/>
      <c r="BR17" s="161"/>
      <c r="BS17" s="161"/>
      <c r="BT17" s="161"/>
      <c r="BU17" s="161"/>
      <c r="BV17" s="161"/>
      <c r="BW17" s="161"/>
      <c r="BX17" s="161"/>
      <c r="BY17" s="161"/>
      <c r="BZ17" s="161"/>
      <c r="CA17" s="161"/>
      <c r="CB17" s="161"/>
      <c r="CC17" s="161"/>
      <c r="CD17" s="161"/>
      <c r="CE17" s="161"/>
      <c r="CF17" s="161"/>
      <c r="CG17" s="161"/>
      <c r="CH17" s="161"/>
      <c r="CI17" s="161"/>
      <c r="CJ17" s="161"/>
      <c r="CK17" s="161"/>
      <c r="CL17" s="161"/>
      <c r="CM17" s="161"/>
      <c r="CN17" s="161"/>
      <c r="CO17" s="161"/>
      <c r="CP17" s="161"/>
      <c r="CQ17" s="161"/>
      <c r="CR17" s="161"/>
      <c r="CS17" s="161"/>
      <c r="CT17" s="161"/>
      <c r="CU17" s="161"/>
      <c r="CV17" s="161"/>
      <c r="CW17" s="161"/>
      <c r="CX17" s="161"/>
      <c r="CY17" s="161"/>
      <c r="CZ17" s="161"/>
      <c r="DA17" s="161"/>
      <c r="DB17" s="161"/>
      <c r="DC17" s="161"/>
      <c r="DD17" s="161"/>
      <c r="DE17" s="161"/>
      <c r="DF17" s="161"/>
      <c r="DG17" s="161"/>
      <c r="DH17" s="161"/>
      <c r="DI17" s="161"/>
      <c r="DJ17" s="161"/>
      <c r="DK17" s="161"/>
      <c r="DL17" s="161"/>
      <c r="DM17" s="161"/>
      <c r="DN17" s="161"/>
      <c r="DO17" s="161"/>
      <c r="DP17" s="161"/>
      <c r="DQ17" s="161"/>
      <c r="DR17" s="161"/>
      <c r="DS17" s="161"/>
      <c r="DT17" s="161"/>
      <c r="DU17" s="161"/>
      <c r="DV17" s="161"/>
      <c r="DW17" s="161"/>
      <c r="DX17" s="161"/>
      <c r="DY17" s="161"/>
      <c r="DZ17" s="161"/>
      <c r="EA17" s="161"/>
      <c r="EB17" s="161"/>
      <c r="EC17" s="161"/>
      <c r="ED17" s="161"/>
      <c r="EE17" s="161"/>
      <c r="EF17" s="161"/>
      <c r="EG17" s="161"/>
      <c r="EH17" s="161"/>
      <c r="EI17" s="161"/>
      <c r="EJ17" s="161"/>
      <c r="EK17" s="161"/>
      <c r="EL17" s="161"/>
      <c r="EM17" s="161"/>
      <c r="EN17" s="161"/>
      <c r="EO17" s="161"/>
      <c r="EP17" s="161"/>
      <c r="EQ17" s="161"/>
      <c r="ER17" s="161"/>
      <c r="ES17" s="161"/>
      <c r="ET17" s="161"/>
      <c r="EU17" s="161"/>
      <c r="EV17" s="161"/>
      <c r="EW17" s="161"/>
      <c r="EX17" s="161"/>
      <c r="EY17" s="161"/>
      <c r="EZ17" s="161"/>
      <c r="FA17" s="161"/>
      <c r="FB17" s="161"/>
      <c r="FC17" s="161"/>
      <c r="FD17" s="161"/>
      <c r="FE17" s="161"/>
      <c r="FF17" s="161"/>
    </row>
    <row r="18" spans="1:162" s="162" customFormat="1" ht="20.25" customHeight="1">
      <c r="A18" s="163" t="s">
        <v>124</v>
      </c>
      <c r="B18" s="163" t="s">
        <v>125</v>
      </c>
      <c r="C18" s="159">
        <v>143</v>
      </c>
      <c r="D18" s="160">
        <v>45693</v>
      </c>
      <c r="E18" s="160">
        <v>45695</v>
      </c>
      <c r="F18" s="159">
        <v>57</v>
      </c>
      <c r="G18" s="159">
        <v>0</v>
      </c>
      <c r="H18" s="105">
        <f t="shared" ref="H18:H19" si="88">F18+G18</f>
        <v>57</v>
      </c>
      <c r="I18" s="159">
        <v>5</v>
      </c>
      <c r="J18" s="159">
        <v>0</v>
      </c>
      <c r="K18" s="105">
        <f t="shared" ref="K18:K19" si="89">H18+I18+J18</f>
        <v>62</v>
      </c>
      <c r="L18" s="159">
        <v>0</v>
      </c>
      <c r="M18" s="159">
        <v>0</v>
      </c>
      <c r="N18" s="159">
        <v>57</v>
      </c>
      <c r="O18" s="159">
        <v>15</v>
      </c>
      <c r="P18" s="159">
        <v>0</v>
      </c>
      <c r="Q18" s="159">
        <v>1</v>
      </c>
      <c r="R18" s="159">
        <v>0</v>
      </c>
      <c r="S18" s="159">
        <v>2</v>
      </c>
      <c r="T18" s="159">
        <v>76</v>
      </c>
      <c r="U18" s="159">
        <v>8</v>
      </c>
      <c r="V18" s="159">
        <v>5</v>
      </c>
      <c r="W18" s="159">
        <v>28</v>
      </c>
      <c r="X18" s="159">
        <v>8</v>
      </c>
      <c r="Y18" s="159">
        <v>7</v>
      </c>
      <c r="Z18" s="159">
        <v>12</v>
      </c>
      <c r="AA18" s="159">
        <v>4</v>
      </c>
      <c r="AB18" s="159">
        <v>12</v>
      </c>
      <c r="AC18" s="159">
        <v>18</v>
      </c>
      <c r="AD18" s="159">
        <v>10</v>
      </c>
      <c r="AE18" s="159">
        <v>28</v>
      </c>
      <c r="AF18" s="159">
        <v>123</v>
      </c>
      <c r="AG18" s="159">
        <v>0</v>
      </c>
      <c r="AH18" s="159">
        <v>0</v>
      </c>
      <c r="AI18" s="159">
        <v>0</v>
      </c>
      <c r="AJ18" s="159">
        <v>0</v>
      </c>
      <c r="AK18" s="105">
        <f t="shared" ref="AK18:AK19" si="90">P18+S18+V18+Y18+AB18+AE18+AH18</f>
        <v>54</v>
      </c>
      <c r="AL18" s="105">
        <f t="shared" ref="AL18:AL19" si="91">Q18+T18+W18+Z18+AC18+AF18+AI18</f>
        <v>258</v>
      </c>
      <c r="AM18" s="105">
        <f t="shared" ref="AM18:AM19" si="92">AK18+AL18</f>
        <v>312</v>
      </c>
      <c r="AN18" s="105">
        <f t="shared" ref="AN18:AN19" si="93">R18+U18+X18+AA18+AD18+AG18+AJ18</f>
        <v>30</v>
      </c>
      <c r="AO18" s="184">
        <f t="shared" ref="AO18:AO19" si="94">O18/H18*100</f>
        <v>26.315789473684209</v>
      </c>
      <c r="AP18" s="184">
        <f t="shared" ref="AP18:AP25" si="95">AN18/H18*100</f>
        <v>52.631578947368418</v>
      </c>
      <c r="AQ18" s="184">
        <f t="shared" ref="AQ18:AQ25" si="96">AN18/AM18*100</f>
        <v>9.6153846153846168</v>
      </c>
      <c r="AR18" s="106">
        <f t="shared" ref="AR18:AR25" si="97">AK18/AM18*100</f>
        <v>17.307692307692307</v>
      </c>
      <c r="AS18" s="106">
        <f t="shared" ref="AS18:AS25" si="98">AL18/AM18*100</f>
        <v>82.692307692307693</v>
      </c>
      <c r="AT18" s="106">
        <f t="shared" ref="AT18:AT25" si="99">R18/AN18*100</f>
        <v>0</v>
      </c>
      <c r="AU18" s="106">
        <f t="shared" ref="AU18:AU25" si="100">U18/AN18*100</f>
        <v>26.666666666666668</v>
      </c>
      <c r="AV18" s="106">
        <f t="shared" ref="AV18:AV25" si="101">X18/AN18*100</f>
        <v>26.666666666666668</v>
      </c>
      <c r="AW18" s="106">
        <f t="shared" ref="AW18:AW25" si="102">AA18/AN18*100</f>
        <v>13.333333333333334</v>
      </c>
      <c r="AX18" s="106">
        <f t="shared" ref="AX18:AX25" si="103">AD18/AN18*100</f>
        <v>33.333333333333329</v>
      </c>
      <c r="AY18" s="106">
        <f t="shared" ref="AY18:AY25" si="104">AG18/AN18*100</f>
        <v>0</v>
      </c>
      <c r="AZ18" s="106">
        <f t="shared" ref="AZ18:AZ25" si="105">AJ18/AN18*100</f>
        <v>0</v>
      </c>
      <c r="BA18" s="161"/>
      <c r="BB18" s="161"/>
      <c r="BC18" s="161"/>
      <c r="BD18" s="161"/>
      <c r="BE18" s="161"/>
      <c r="BF18" s="161"/>
      <c r="BG18" s="161"/>
      <c r="BH18" s="161"/>
      <c r="BI18" s="161"/>
      <c r="BJ18" s="161"/>
      <c r="BK18" s="161"/>
      <c r="BL18" s="161"/>
      <c r="BM18" s="161"/>
      <c r="BN18" s="161"/>
      <c r="BO18" s="161"/>
      <c r="BP18" s="161"/>
      <c r="BQ18" s="161"/>
      <c r="BR18" s="161"/>
      <c r="BS18" s="161"/>
      <c r="BT18" s="161"/>
      <c r="BU18" s="161"/>
      <c r="BV18" s="161"/>
      <c r="BW18" s="161"/>
      <c r="BX18" s="161"/>
      <c r="BY18" s="161"/>
      <c r="BZ18" s="161"/>
      <c r="CA18" s="161"/>
      <c r="CB18" s="161"/>
      <c r="CC18" s="161"/>
      <c r="CD18" s="161"/>
      <c r="CE18" s="161"/>
      <c r="CF18" s="161"/>
      <c r="CG18" s="161"/>
      <c r="CH18" s="161"/>
      <c r="CI18" s="161"/>
      <c r="CJ18" s="161"/>
      <c r="CK18" s="161"/>
      <c r="CL18" s="161"/>
      <c r="CM18" s="161"/>
      <c r="CN18" s="161"/>
      <c r="CO18" s="161"/>
      <c r="CP18" s="161"/>
      <c r="CQ18" s="161"/>
      <c r="CR18" s="161"/>
      <c r="CS18" s="161"/>
      <c r="CT18" s="161"/>
      <c r="CU18" s="161"/>
      <c r="CV18" s="161"/>
      <c r="CW18" s="161"/>
      <c r="CX18" s="161"/>
      <c r="CY18" s="161"/>
      <c r="CZ18" s="161"/>
      <c r="DA18" s="161"/>
      <c r="DB18" s="161"/>
      <c r="DC18" s="161"/>
      <c r="DD18" s="161"/>
      <c r="DE18" s="161"/>
      <c r="DF18" s="161"/>
      <c r="DG18" s="161"/>
      <c r="DH18" s="161"/>
      <c r="DI18" s="161"/>
      <c r="DJ18" s="161"/>
      <c r="DK18" s="161"/>
      <c r="DL18" s="161"/>
      <c r="DM18" s="161"/>
      <c r="DN18" s="161"/>
      <c r="DO18" s="161"/>
      <c r="DP18" s="161"/>
      <c r="DQ18" s="161"/>
      <c r="DR18" s="161"/>
      <c r="DS18" s="161"/>
      <c r="DT18" s="161"/>
      <c r="DU18" s="161"/>
      <c r="DV18" s="161"/>
      <c r="DW18" s="161"/>
      <c r="DX18" s="161"/>
      <c r="DY18" s="161"/>
      <c r="DZ18" s="161"/>
      <c r="EA18" s="161"/>
      <c r="EB18" s="161"/>
      <c r="EC18" s="161"/>
      <c r="ED18" s="161"/>
      <c r="EE18" s="161"/>
      <c r="EF18" s="161"/>
      <c r="EG18" s="161"/>
      <c r="EH18" s="161"/>
      <c r="EI18" s="161"/>
      <c r="EJ18" s="161"/>
      <c r="EK18" s="161"/>
      <c r="EL18" s="161"/>
      <c r="EM18" s="161"/>
      <c r="EN18" s="161"/>
      <c r="EO18" s="161"/>
      <c r="EP18" s="161"/>
      <c r="EQ18" s="161"/>
      <c r="ER18" s="161"/>
      <c r="ES18" s="161"/>
      <c r="ET18" s="161"/>
      <c r="EU18" s="161"/>
      <c r="EV18" s="161"/>
      <c r="EW18" s="161"/>
      <c r="EX18" s="161"/>
      <c r="EY18" s="161"/>
      <c r="EZ18" s="161"/>
      <c r="FA18" s="161"/>
      <c r="FB18" s="161"/>
      <c r="FC18" s="161"/>
      <c r="FD18" s="161"/>
      <c r="FE18" s="161"/>
      <c r="FF18" s="161"/>
    </row>
    <row r="19" spans="1:162" s="162" customFormat="1" ht="20.25" customHeight="1">
      <c r="A19" s="163" t="s">
        <v>198</v>
      </c>
      <c r="B19" s="163" t="s">
        <v>199</v>
      </c>
      <c r="C19" s="159">
        <v>305</v>
      </c>
      <c r="D19" s="160">
        <v>45698</v>
      </c>
      <c r="E19" s="160">
        <v>45701</v>
      </c>
      <c r="F19" s="159">
        <v>157</v>
      </c>
      <c r="G19" s="159">
        <v>0</v>
      </c>
      <c r="H19" s="105">
        <f t="shared" si="88"/>
        <v>157</v>
      </c>
      <c r="I19" s="159">
        <v>0</v>
      </c>
      <c r="J19" s="159">
        <v>0</v>
      </c>
      <c r="K19" s="105">
        <f t="shared" si="89"/>
        <v>157</v>
      </c>
      <c r="L19" s="159">
        <v>0</v>
      </c>
      <c r="M19" s="159">
        <v>0</v>
      </c>
      <c r="N19" s="159">
        <v>157</v>
      </c>
      <c r="O19" s="159">
        <v>33</v>
      </c>
      <c r="P19" s="159">
        <v>0</v>
      </c>
      <c r="Q19" s="159">
        <v>3</v>
      </c>
      <c r="R19" s="159">
        <v>1</v>
      </c>
      <c r="S19" s="159">
        <v>9</v>
      </c>
      <c r="T19" s="159">
        <v>53</v>
      </c>
      <c r="U19" s="159">
        <v>12</v>
      </c>
      <c r="V19" s="159">
        <v>28</v>
      </c>
      <c r="W19" s="159">
        <v>21</v>
      </c>
      <c r="X19" s="159">
        <v>10</v>
      </c>
      <c r="Y19" s="159">
        <v>1</v>
      </c>
      <c r="Z19" s="159">
        <v>64</v>
      </c>
      <c r="AA19" s="159">
        <v>13</v>
      </c>
      <c r="AB19" s="159">
        <v>44</v>
      </c>
      <c r="AC19" s="159">
        <v>15</v>
      </c>
      <c r="AD19" s="159">
        <v>9</v>
      </c>
      <c r="AE19" s="159">
        <v>111</v>
      </c>
      <c r="AF19" s="159">
        <v>77</v>
      </c>
      <c r="AG19" s="159">
        <v>5</v>
      </c>
      <c r="AH19" s="159">
        <v>0</v>
      </c>
      <c r="AI19" s="159">
        <v>1</v>
      </c>
      <c r="AJ19" s="159">
        <v>1</v>
      </c>
      <c r="AK19" s="105">
        <f t="shared" si="90"/>
        <v>193</v>
      </c>
      <c r="AL19" s="105">
        <f t="shared" si="91"/>
        <v>234</v>
      </c>
      <c r="AM19" s="105">
        <f t="shared" si="92"/>
        <v>427</v>
      </c>
      <c r="AN19" s="105">
        <f t="shared" si="93"/>
        <v>51</v>
      </c>
      <c r="AO19" s="184">
        <f t="shared" si="94"/>
        <v>21.019108280254777</v>
      </c>
      <c r="AP19" s="184">
        <f t="shared" si="95"/>
        <v>32.484076433121018</v>
      </c>
      <c r="AQ19" s="184">
        <f t="shared" si="96"/>
        <v>11.943793911007026</v>
      </c>
      <c r="AR19" s="106">
        <f t="shared" si="97"/>
        <v>45.199063231850118</v>
      </c>
      <c r="AS19" s="106">
        <f t="shared" si="98"/>
        <v>54.800936768149889</v>
      </c>
      <c r="AT19" s="106">
        <f t="shared" si="99"/>
        <v>1.9607843137254901</v>
      </c>
      <c r="AU19" s="106">
        <f t="shared" si="100"/>
        <v>23.52941176470588</v>
      </c>
      <c r="AV19" s="106">
        <f t="shared" si="101"/>
        <v>19.607843137254903</v>
      </c>
      <c r="AW19" s="106">
        <f t="shared" si="102"/>
        <v>25.490196078431371</v>
      </c>
      <c r="AX19" s="106">
        <f t="shared" si="103"/>
        <v>17.647058823529413</v>
      </c>
      <c r="AY19" s="106">
        <f t="shared" si="104"/>
        <v>9.8039215686274517</v>
      </c>
      <c r="AZ19" s="106">
        <f t="shared" si="105"/>
        <v>1.9607843137254901</v>
      </c>
      <c r="BA19" s="161"/>
      <c r="BB19" s="161"/>
      <c r="BC19" s="161"/>
      <c r="BD19" s="161"/>
      <c r="BE19" s="161"/>
      <c r="BF19" s="161"/>
      <c r="BG19" s="161"/>
      <c r="BH19" s="161"/>
      <c r="BI19" s="161"/>
      <c r="BJ19" s="161"/>
      <c r="BK19" s="161"/>
      <c r="BL19" s="161"/>
      <c r="BM19" s="161"/>
      <c r="BN19" s="161"/>
      <c r="BO19" s="161"/>
      <c r="BP19" s="161"/>
      <c r="BQ19" s="161"/>
      <c r="BR19" s="161"/>
      <c r="BS19" s="161"/>
      <c r="BT19" s="161"/>
      <c r="BU19" s="161"/>
      <c r="BV19" s="161"/>
      <c r="BW19" s="161"/>
      <c r="BX19" s="161"/>
      <c r="BY19" s="161"/>
      <c r="BZ19" s="161"/>
      <c r="CA19" s="161"/>
      <c r="CB19" s="161"/>
      <c r="CC19" s="161"/>
      <c r="CD19" s="161"/>
      <c r="CE19" s="161"/>
      <c r="CF19" s="161"/>
      <c r="CG19" s="161"/>
      <c r="CH19" s="161"/>
      <c r="CI19" s="161"/>
      <c r="CJ19" s="161"/>
      <c r="CK19" s="161"/>
      <c r="CL19" s="161"/>
      <c r="CM19" s="161"/>
      <c r="CN19" s="161"/>
      <c r="CO19" s="161"/>
      <c r="CP19" s="161"/>
      <c r="CQ19" s="161"/>
      <c r="CR19" s="161"/>
      <c r="CS19" s="161"/>
      <c r="CT19" s="161"/>
      <c r="CU19" s="161"/>
      <c r="CV19" s="161"/>
      <c r="CW19" s="161"/>
      <c r="CX19" s="161"/>
      <c r="CY19" s="161"/>
      <c r="CZ19" s="161"/>
      <c r="DA19" s="161"/>
      <c r="DB19" s="161"/>
      <c r="DC19" s="161"/>
      <c r="DD19" s="161"/>
      <c r="DE19" s="161"/>
      <c r="DF19" s="161"/>
      <c r="DG19" s="161"/>
      <c r="DH19" s="161"/>
      <c r="DI19" s="161"/>
      <c r="DJ19" s="161"/>
      <c r="DK19" s="161"/>
      <c r="DL19" s="161"/>
      <c r="DM19" s="161"/>
      <c r="DN19" s="161"/>
      <c r="DO19" s="161"/>
      <c r="DP19" s="161"/>
      <c r="DQ19" s="161"/>
      <c r="DR19" s="161"/>
      <c r="DS19" s="161"/>
      <c r="DT19" s="161"/>
      <c r="DU19" s="161"/>
      <c r="DV19" s="161"/>
      <c r="DW19" s="161"/>
      <c r="DX19" s="161"/>
      <c r="DY19" s="161"/>
      <c r="DZ19" s="161"/>
      <c r="EA19" s="161"/>
      <c r="EB19" s="161"/>
      <c r="EC19" s="161"/>
      <c r="ED19" s="161"/>
      <c r="EE19" s="161"/>
      <c r="EF19" s="161"/>
      <c r="EG19" s="161"/>
      <c r="EH19" s="161"/>
      <c r="EI19" s="161"/>
      <c r="EJ19" s="161"/>
      <c r="EK19" s="161"/>
      <c r="EL19" s="161"/>
      <c r="EM19" s="161"/>
      <c r="EN19" s="161"/>
      <c r="EO19" s="161"/>
      <c r="EP19" s="161"/>
      <c r="EQ19" s="161"/>
      <c r="ER19" s="161"/>
      <c r="ES19" s="161"/>
      <c r="ET19" s="161"/>
      <c r="EU19" s="161"/>
      <c r="EV19" s="161"/>
      <c r="EW19" s="161"/>
      <c r="EX19" s="161"/>
      <c r="EY19" s="161"/>
      <c r="EZ19" s="161"/>
      <c r="FA19" s="161"/>
      <c r="FB19" s="161"/>
      <c r="FC19" s="161"/>
      <c r="FD19" s="161"/>
      <c r="FE19" s="161"/>
      <c r="FF19" s="161"/>
    </row>
    <row r="20" spans="1:162" s="67" customFormat="1" ht="20.25" customHeight="1">
      <c r="A20" s="151" t="s">
        <v>99</v>
      </c>
      <c r="B20" s="151">
        <f>COUNTA(B16:B19)</f>
        <v>4</v>
      </c>
      <c r="C20" s="151">
        <f>SUM(C17:C19)+C15</f>
        <v>821</v>
      </c>
      <c r="D20" s="172">
        <f>MIN(D16:D19)</f>
        <v>45693</v>
      </c>
      <c r="E20" s="172">
        <f>MAX(E16:E19)</f>
        <v>45715</v>
      </c>
      <c r="F20" s="151">
        <f>SUM(F17:F19)+F15</f>
        <v>350</v>
      </c>
      <c r="G20" s="151">
        <f t="shared" ref="G20:AJ20" si="106">SUM(G17:G19)+G15</f>
        <v>0</v>
      </c>
      <c r="H20" s="151">
        <f t="shared" si="106"/>
        <v>350</v>
      </c>
      <c r="I20" s="151">
        <f t="shared" si="106"/>
        <v>5</v>
      </c>
      <c r="J20" s="151">
        <f t="shared" si="106"/>
        <v>0</v>
      </c>
      <c r="K20" s="151">
        <f t="shared" si="106"/>
        <v>355</v>
      </c>
      <c r="L20" s="151">
        <f t="shared" si="106"/>
        <v>0</v>
      </c>
      <c r="M20" s="151">
        <f t="shared" si="106"/>
        <v>0</v>
      </c>
      <c r="N20" s="151">
        <f t="shared" si="106"/>
        <v>350</v>
      </c>
      <c r="O20" s="151">
        <f t="shared" si="106"/>
        <v>94</v>
      </c>
      <c r="P20" s="151">
        <f t="shared" si="106"/>
        <v>3</v>
      </c>
      <c r="Q20" s="151">
        <f t="shared" si="106"/>
        <v>13</v>
      </c>
      <c r="R20" s="151">
        <f t="shared" si="106"/>
        <v>1</v>
      </c>
      <c r="S20" s="151">
        <f t="shared" si="106"/>
        <v>31</v>
      </c>
      <c r="T20" s="151">
        <f t="shared" si="106"/>
        <v>362</v>
      </c>
      <c r="U20" s="151">
        <f t="shared" si="106"/>
        <v>67</v>
      </c>
      <c r="V20" s="151">
        <f t="shared" si="106"/>
        <v>41</v>
      </c>
      <c r="W20" s="151">
        <f t="shared" si="106"/>
        <v>84</v>
      </c>
      <c r="X20" s="151">
        <f t="shared" si="106"/>
        <v>27</v>
      </c>
      <c r="Y20" s="151">
        <f t="shared" si="106"/>
        <v>9</v>
      </c>
      <c r="Z20" s="151">
        <f t="shared" si="106"/>
        <v>102</v>
      </c>
      <c r="AA20" s="151">
        <f t="shared" si="106"/>
        <v>24</v>
      </c>
      <c r="AB20" s="151">
        <f t="shared" si="106"/>
        <v>119</v>
      </c>
      <c r="AC20" s="151">
        <f t="shared" si="106"/>
        <v>56</v>
      </c>
      <c r="AD20" s="151">
        <f t="shared" si="106"/>
        <v>31</v>
      </c>
      <c r="AE20" s="151">
        <f t="shared" si="106"/>
        <v>482</v>
      </c>
      <c r="AF20" s="151">
        <f t="shared" si="106"/>
        <v>231</v>
      </c>
      <c r="AG20" s="151">
        <f t="shared" si="106"/>
        <v>8</v>
      </c>
      <c r="AH20" s="151">
        <f t="shared" si="106"/>
        <v>0</v>
      </c>
      <c r="AI20" s="151">
        <f t="shared" si="106"/>
        <v>1</v>
      </c>
      <c r="AJ20" s="151">
        <f t="shared" si="106"/>
        <v>1</v>
      </c>
      <c r="AK20" s="173">
        <f>P20+S20+V20+Y20+AB20+AE20+AH20</f>
        <v>685</v>
      </c>
      <c r="AL20" s="173">
        <f>Q20+T20+W20+Z20+AC20+AF20+AI20</f>
        <v>849</v>
      </c>
      <c r="AM20" s="173">
        <f>AK20+AL20</f>
        <v>1534</v>
      </c>
      <c r="AN20" s="173">
        <f>R20+U20+X20+AA20+AD20+AG20+AJ20</f>
        <v>159</v>
      </c>
      <c r="AO20" s="185">
        <f>O20/H20*100</f>
        <v>26.857142857142858</v>
      </c>
      <c r="AP20" s="185">
        <f t="shared" si="95"/>
        <v>45.428571428571431</v>
      </c>
      <c r="AQ20" s="185">
        <f t="shared" si="96"/>
        <v>10.365058670143416</v>
      </c>
      <c r="AR20" s="174">
        <f t="shared" si="97"/>
        <v>44.654498044328555</v>
      </c>
      <c r="AS20" s="174">
        <f t="shared" si="98"/>
        <v>55.345501955671452</v>
      </c>
      <c r="AT20" s="174">
        <f t="shared" si="99"/>
        <v>0.62893081761006298</v>
      </c>
      <c r="AU20" s="174">
        <f t="shared" si="100"/>
        <v>42.138364779874216</v>
      </c>
      <c r="AV20" s="174">
        <f t="shared" si="101"/>
        <v>16.981132075471699</v>
      </c>
      <c r="AW20" s="174">
        <f t="shared" si="102"/>
        <v>15.09433962264151</v>
      </c>
      <c r="AX20" s="174">
        <f t="shared" si="103"/>
        <v>19.49685534591195</v>
      </c>
      <c r="AY20" s="174">
        <f t="shared" si="104"/>
        <v>5.0314465408805038</v>
      </c>
      <c r="AZ20" s="174">
        <f t="shared" si="105"/>
        <v>0.62893081761006298</v>
      </c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66"/>
      <c r="EN20" s="66"/>
      <c r="EO20" s="66"/>
      <c r="EP20" s="66"/>
      <c r="EQ20" s="66"/>
      <c r="ER20" s="66"/>
      <c r="ES20" s="66"/>
      <c r="ET20" s="66"/>
      <c r="EU20" s="66"/>
      <c r="EV20" s="66"/>
      <c r="EW20" s="66"/>
      <c r="EX20" s="66"/>
      <c r="EY20" s="66"/>
      <c r="EZ20" s="66"/>
      <c r="FA20" s="66"/>
      <c r="FB20" s="66"/>
      <c r="FC20" s="66"/>
      <c r="FD20" s="66"/>
      <c r="FE20" s="66"/>
      <c r="FF20" s="66"/>
    </row>
    <row r="21" spans="1:162" s="226" customFormat="1" ht="20.25" customHeight="1">
      <c r="A21" s="378" t="s">
        <v>107</v>
      </c>
      <c r="B21" s="222" t="s">
        <v>105</v>
      </c>
      <c r="C21" s="222">
        <f>SUM(C22:C23)</f>
        <v>790</v>
      </c>
      <c r="D21" s="221">
        <f>MIN(D22:D23)</f>
        <v>45733</v>
      </c>
      <c r="E21" s="221">
        <f>MAX(E22:E23)</f>
        <v>45747</v>
      </c>
      <c r="F21" s="227">
        <f>SUM(F22:F23)</f>
        <v>251</v>
      </c>
      <c r="G21" s="227">
        <f t="shared" ref="G21:AJ21" si="107">SUM(G22:G23)</f>
        <v>0</v>
      </c>
      <c r="H21" s="227">
        <f t="shared" si="107"/>
        <v>251</v>
      </c>
      <c r="I21" s="227">
        <f t="shared" si="107"/>
        <v>0</v>
      </c>
      <c r="J21" s="227">
        <f t="shared" si="107"/>
        <v>0</v>
      </c>
      <c r="K21" s="227">
        <f t="shared" si="107"/>
        <v>251</v>
      </c>
      <c r="L21" s="227">
        <f t="shared" si="107"/>
        <v>0</v>
      </c>
      <c r="M21" s="227">
        <f t="shared" si="107"/>
        <v>0</v>
      </c>
      <c r="N21" s="227">
        <f t="shared" si="107"/>
        <v>251</v>
      </c>
      <c r="O21" s="227">
        <f t="shared" si="107"/>
        <v>91</v>
      </c>
      <c r="P21" s="227">
        <f t="shared" si="107"/>
        <v>0</v>
      </c>
      <c r="Q21" s="227">
        <f t="shared" si="107"/>
        <v>1</v>
      </c>
      <c r="R21" s="227">
        <f t="shared" si="107"/>
        <v>0</v>
      </c>
      <c r="S21" s="227">
        <f t="shared" si="107"/>
        <v>4</v>
      </c>
      <c r="T21" s="227">
        <f t="shared" si="107"/>
        <v>493</v>
      </c>
      <c r="U21" s="227">
        <f t="shared" si="107"/>
        <v>60</v>
      </c>
      <c r="V21" s="227">
        <f t="shared" si="107"/>
        <v>0</v>
      </c>
      <c r="W21" s="227">
        <f t="shared" si="107"/>
        <v>164</v>
      </c>
      <c r="X21" s="227">
        <f t="shared" si="107"/>
        <v>21</v>
      </c>
      <c r="Y21" s="227">
        <f t="shared" si="107"/>
        <v>0</v>
      </c>
      <c r="Z21" s="227">
        <f t="shared" si="107"/>
        <v>104</v>
      </c>
      <c r="AA21" s="227">
        <f t="shared" si="107"/>
        <v>30</v>
      </c>
      <c r="AB21" s="227">
        <f t="shared" si="107"/>
        <v>6</v>
      </c>
      <c r="AC21" s="227">
        <f t="shared" si="107"/>
        <v>85</v>
      </c>
      <c r="AD21" s="227">
        <f t="shared" si="107"/>
        <v>34</v>
      </c>
      <c r="AE21" s="227">
        <f t="shared" si="107"/>
        <v>264</v>
      </c>
      <c r="AF21" s="227">
        <f t="shared" si="107"/>
        <v>81</v>
      </c>
      <c r="AG21" s="227">
        <f t="shared" si="107"/>
        <v>21</v>
      </c>
      <c r="AH21" s="227">
        <f t="shared" si="107"/>
        <v>0</v>
      </c>
      <c r="AI21" s="227">
        <f t="shared" si="107"/>
        <v>0</v>
      </c>
      <c r="AJ21" s="227">
        <f t="shared" si="107"/>
        <v>0</v>
      </c>
      <c r="AK21" s="222">
        <f>P21+S21+V21+Y21+AB21+AE21+AH21</f>
        <v>274</v>
      </c>
      <c r="AL21" s="222">
        <f>Q21+T21+W21+Z21+AC21+AF21+AI21</f>
        <v>928</v>
      </c>
      <c r="AM21" s="222">
        <f>AK21+AL21</f>
        <v>1202</v>
      </c>
      <c r="AN21" s="222">
        <f>R21+U21+X21+AA21+AD21+AG21+AJ21</f>
        <v>166</v>
      </c>
      <c r="AO21" s="223">
        <f>O21/H21*100</f>
        <v>36.254980079681275</v>
      </c>
      <c r="AP21" s="223">
        <f>AN21/H21*100</f>
        <v>66.135458167330668</v>
      </c>
      <c r="AQ21" s="223">
        <f>AN21/AM21*100</f>
        <v>13.810316139767053</v>
      </c>
      <c r="AR21" s="224">
        <f t="shared" si="97"/>
        <v>22.795341098169715</v>
      </c>
      <c r="AS21" s="224">
        <f t="shared" si="98"/>
        <v>77.204658901830285</v>
      </c>
      <c r="AT21" s="224">
        <f t="shared" si="99"/>
        <v>0</v>
      </c>
      <c r="AU21" s="224">
        <f t="shared" si="100"/>
        <v>36.144578313253014</v>
      </c>
      <c r="AV21" s="224">
        <f t="shared" si="101"/>
        <v>12.650602409638553</v>
      </c>
      <c r="AW21" s="224">
        <f t="shared" si="102"/>
        <v>18.072289156626507</v>
      </c>
      <c r="AX21" s="224">
        <f t="shared" si="103"/>
        <v>20.481927710843372</v>
      </c>
      <c r="AY21" s="224">
        <f t="shared" si="104"/>
        <v>12.650602409638553</v>
      </c>
      <c r="AZ21" s="224">
        <f t="shared" si="105"/>
        <v>0</v>
      </c>
    </row>
    <row r="22" spans="1:162" s="162" customFormat="1" ht="20.25" customHeight="1">
      <c r="A22" s="379"/>
      <c r="B22" s="163" t="s">
        <v>218</v>
      </c>
      <c r="C22" s="159">
        <v>470</v>
      </c>
      <c r="D22" s="160">
        <v>45733</v>
      </c>
      <c r="E22" s="160">
        <v>45737</v>
      </c>
      <c r="F22" s="208">
        <v>141</v>
      </c>
      <c r="G22" s="208">
        <v>0</v>
      </c>
      <c r="H22" s="105">
        <f t="shared" ref="H22:H32" si="108">F22+G22</f>
        <v>141</v>
      </c>
      <c r="I22" s="208">
        <v>0</v>
      </c>
      <c r="J22" s="208">
        <v>0</v>
      </c>
      <c r="K22" s="105">
        <f t="shared" ref="K22:K32" si="109">H22+I22+J22</f>
        <v>141</v>
      </c>
      <c r="L22" s="208">
        <v>0</v>
      </c>
      <c r="M22" s="208">
        <v>0</v>
      </c>
      <c r="N22" s="208">
        <v>141</v>
      </c>
      <c r="O22" s="208">
        <v>38</v>
      </c>
      <c r="P22" s="208">
        <v>0</v>
      </c>
      <c r="Q22" s="208">
        <v>1</v>
      </c>
      <c r="R22" s="208">
        <v>0</v>
      </c>
      <c r="S22" s="208">
        <v>0</v>
      </c>
      <c r="T22" s="208">
        <v>279</v>
      </c>
      <c r="U22" s="208">
        <v>23</v>
      </c>
      <c r="V22" s="208">
        <v>0</v>
      </c>
      <c r="W22" s="208">
        <v>75</v>
      </c>
      <c r="X22" s="208">
        <v>5</v>
      </c>
      <c r="Y22" s="208">
        <v>0</v>
      </c>
      <c r="Z22" s="208">
        <v>59</v>
      </c>
      <c r="AA22" s="208">
        <v>15</v>
      </c>
      <c r="AB22" s="208">
        <v>6</v>
      </c>
      <c r="AC22" s="208">
        <v>46</v>
      </c>
      <c r="AD22" s="208">
        <v>14</v>
      </c>
      <c r="AE22" s="208">
        <v>198</v>
      </c>
      <c r="AF22" s="208">
        <v>36</v>
      </c>
      <c r="AG22" s="208">
        <v>6</v>
      </c>
      <c r="AH22" s="208">
        <v>0</v>
      </c>
      <c r="AI22" s="208">
        <v>0</v>
      </c>
      <c r="AJ22" s="208">
        <v>0</v>
      </c>
      <c r="AK22" s="105">
        <f t="shared" ref="AK22:AL25" si="110">P22+S22+V22+Y22+AB22+AE22+AH22</f>
        <v>204</v>
      </c>
      <c r="AL22" s="105">
        <f t="shared" si="110"/>
        <v>496</v>
      </c>
      <c r="AM22" s="105">
        <f t="shared" ref="AM22:AM25" si="111">AK22+AL22</f>
        <v>700</v>
      </c>
      <c r="AN22" s="105">
        <f t="shared" ref="AN22:AN25" si="112">R22+U22+X22+AA22+AD22+AG22+AJ22</f>
        <v>63</v>
      </c>
      <c r="AO22" s="106">
        <f t="shared" ref="AO22:AO25" si="113">O22/H22*100</f>
        <v>26.950354609929079</v>
      </c>
      <c r="AP22" s="106">
        <f t="shared" si="95"/>
        <v>44.680851063829785</v>
      </c>
      <c r="AQ22" s="106">
        <f t="shared" si="96"/>
        <v>9</v>
      </c>
      <c r="AR22" s="106">
        <f t="shared" si="97"/>
        <v>29.142857142857142</v>
      </c>
      <c r="AS22" s="106">
        <f t="shared" si="98"/>
        <v>70.857142857142847</v>
      </c>
      <c r="AT22" s="106">
        <f t="shared" si="99"/>
        <v>0</v>
      </c>
      <c r="AU22" s="106">
        <f t="shared" si="100"/>
        <v>36.507936507936506</v>
      </c>
      <c r="AV22" s="106">
        <f t="shared" si="101"/>
        <v>7.9365079365079358</v>
      </c>
      <c r="AW22" s="106">
        <f t="shared" si="102"/>
        <v>23.809523809523807</v>
      </c>
      <c r="AX22" s="106">
        <f t="shared" si="103"/>
        <v>22.222222222222221</v>
      </c>
      <c r="AY22" s="106">
        <f t="shared" si="104"/>
        <v>9.5238095238095237</v>
      </c>
      <c r="AZ22" s="106">
        <f t="shared" si="105"/>
        <v>0</v>
      </c>
      <c r="BA22" s="161"/>
      <c r="BB22" s="161"/>
      <c r="BC22" s="161"/>
      <c r="BD22" s="161"/>
      <c r="BE22" s="161"/>
      <c r="BF22" s="161"/>
      <c r="BG22" s="161"/>
      <c r="BH22" s="161"/>
      <c r="BI22" s="161"/>
      <c r="BJ22" s="161"/>
      <c r="BK22" s="161"/>
      <c r="BL22" s="161"/>
      <c r="BM22" s="161"/>
      <c r="BN22" s="161"/>
      <c r="BO22" s="161"/>
      <c r="BP22" s="161"/>
      <c r="BQ22" s="161"/>
      <c r="BR22" s="161"/>
      <c r="BS22" s="161"/>
      <c r="BT22" s="161"/>
      <c r="BU22" s="161"/>
      <c r="BV22" s="161"/>
      <c r="BW22" s="161"/>
      <c r="BX22" s="161"/>
      <c r="BY22" s="161"/>
      <c r="BZ22" s="161"/>
      <c r="CA22" s="161"/>
      <c r="CB22" s="161"/>
      <c r="CC22" s="161"/>
      <c r="CD22" s="161"/>
      <c r="CE22" s="161"/>
      <c r="CF22" s="161"/>
      <c r="CG22" s="161"/>
      <c r="CH22" s="161"/>
      <c r="CI22" s="161"/>
      <c r="CJ22" s="161"/>
      <c r="CK22" s="161"/>
      <c r="CL22" s="161"/>
      <c r="CM22" s="161"/>
      <c r="CN22" s="161"/>
      <c r="CO22" s="161"/>
      <c r="CP22" s="161"/>
      <c r="CQ22" s="161"/>
      <c r="CR22" s="161"/>
      <c r="CS22" s="161"/>
      <c r="CT22" s="161"/>
      <c r="CU22" s="161"/>
      <c r="CV22" s="161"/>
      <c r="CW22" s="161"/>
      <c r="CX22" s="161"/>
      <c r="CY22" s="161"/>
      <c r="CZ22" s="161"/>
      <c r="DA22" s="161"/>
      <c r="DB22" s="161"/>
      <c r="DC22" s="161"/>
      <c r="DD22" s="161"/>
      <c r="DE22" s="161"/>
      <c r="DF22" s="161"/>
      <c r="DG22" s="161"/>
      <c r="DH22" s="161"/>
      <c r="DI22" s="161"/>
      <c r="DJ22" s="161"/>
      <c r="DK22" s="161"/>
      <c r="DL22" s="161"/>
      <c r="DM22" s="161"/>
      <c r="DN22" s="161"/>
      <c r="DO22" s="161"/>
      <c r="DP22" s="161"/>
      <c r="DQ22" s="161"/>
      <c r="DR22" s="161"/>
      <c r="DS22" s="161"/>
      <c r="DT22" s="161"/>
      <c r="DU22" s="161"/>
      <c r="DV22" s="161"/>
      <c r="DW22" s="161"/>
      <c r="DX22" s="161"/>
      <c r="DY22" s="161"/>
      <c r="DZ22" s="161"/>
      <c r="EA22" s="161"/>
      <c r="EB22" s="161"/>
      <c r="EC22" s="161"/>
      <c r="ED22" s="161"/>
      <c r="EE22" s="161"/>
      <c r="EF22" s="161"/>
      <c r="EG22" s="161"/>
      <c r="EH22" s="161"/>
      <c r="EI22" s="161"/>
      <c r="EJ22" s="161"/>
      <c r="EK22" s="161"/>
      <c r="EL22" s="161"/>
      <c r="EM22" s="161"/>
      <c r="EN22" s="161"/>
      <c r="EO22" s="161"/>
      <c r="EP22" s="161"/>
      <c r="EQ22" s="161"/>
      <c r="ER22" s="161"/>
      <c r="ES22" s="161"/>
      <c r="ET22" s="161"/>
      <c r="EU22" s="161"/>
      <c r="EV22" s="161"/>
      <c r="EW22" s="161"/>
      <c r="EX22" s="161"/>
      <c r="EY22" s="161"/>
      <c r="EZ22" s="161"/>
      <c r="FA22" s="161"/>
      <c r="FB22" s="161"/>
      <c r="FC22" s="161"/>
      <c r="FD22" s="161"/>
      <c r="FE22" s="161"/>
      <c r="FF22" s="161"/>
    </row>
    <row r="23" spans="1:162" s="162" customFormat="1" ht="20.25" customHeight="1">
      <c r="A23" s="380"/>
      <c r="B23" s="198" t="s">
        <v>132</v>
      </c>
      <c r="C23" s="159">
        <v>320</v>
      </c>
      <c r="D23" s="160">
        <v>45740</v>
      </c>
      <c r="E23" s="160">
        <v>45747</v>
      </c>
      <c r="F23" s="208">
        <v>110</v>
      </c>
      <c r="G23" s="208">
        <v>0</v>
      </c>
      <c r="H23" s="105">
        <f t="shared" si="108"/>
        <v>110</v>
      </c>
      <c r="I23" s="208">
        <v>0</v>
      </c>
      <c r="J23" s="208">
        <v>0</v>
      </c>
      <c r="K23" s="105">
        <f t="shared" si="109"/>
        <v>110</v>
      </c>
      <c r="L23" s="208">
        <v>0</v>
      </c>
      <c r="M23" s="208">
        <v>0</v>
      </c>
      <c r="N23" s="208">
        <v>110</v>
      </c>
      <c r="O23" s="208">
        <v>53</v>
      </c>
      <c r="P23" s="208">
        <v>0</v>
      </c>
      <c r="Q23" s="208">
        <v>0</v>
      </c>
      <c r="R23" s="208">
        <v>0</v>
      </c>
      <c r="S23" s="208">
        <v>4</v>
      </c>
      <c r="T23" s="208">
        <v>214</v>
      </c>
      <c r="U23" s="208">
        <v>37</v>
      </c>
      <c r="V23" s="208">
        <v>0</v>
      </c>
      <c r="W23" s="208">
        <v>89</v>
      </c>
      <c r="X23" s="208">
        <v>16</v>
      </c>
      <c r="Y23" s="208">
        <v>0</v>
      </c>
      <c r="Z23" s="208">
        <v>45</v>
      </c>
      <c r="AA23" s="208">
        <v>15</v>
      </c>
      <c r="AB23" s="208">
        <v>0</v>
      </c>
      <c r="AC23" s="208">
        <v>39</v>
      </c>
      <c r="AD23" s="208">
        <v>20</v>
      </c>
      <c r="AE23" s="208">
        <v>66</v>
      </c>
      <c r="AF23" s="208">
        <v>45</v>
      </c>
      <c r="AG23" s="208">
        <v>15</v>
      </c>
      <c r="AH23" s="208">
        <v>0</v>
      </c>
      <c r="AI23" s="208">
        <v>0</v>
      </c>
      <c r="AJ23" s="208">
        <v>0</v>
      </c>
      <c r="AK23" s="105">
        <f t="shared" si="110"/>
        <v>70</v>
      </c>
      <c r="AL23" s="105">
        <f t="shared" si="110"/>
        <v>432</v>
      </c>
      <c r="AM23" s="105">
        <f t="shared" si="111"/>
        <v>502</v>
      </c>
      <c r="AN23" s="105">
        <f t="shared" si="112"/>
        <v>103</v>
      </c>
      <c r="AO23" s="106">
        <f t="shared" si="113"/>
        <v>48.18181818181818</v>
      </c>
      <c r="AP23" s="106">
        <f t="shared" si="95"/>
        <v>93.63636363636364</v>
      </c>
      <c r="AQ23" s="106">
        <f t="shared" si="96"/>
        <v>20.517928286852591</v>
      </c>
      <c r="AR23" s="106">
        <f t="shared" si="97"/>
        <v>13.944223107569719</v>
      </c>
      <c r="AS23" s="106">
        <f t="shared" si="98"/>
        <v>86.055776892430274</v>
      </c>
      <c r="AT23" s="106">
        <f t="shared" si="99"/>
        <v>0</v>
      </c>
      <c r="AU23" s="106">
        <f t="shared" si="100"/>
        <v>35.922330097087382</v>
      </c>
      <c r="AV23" s="106">
        <f t="shared" si="101"/>
        <v>15.53398058252427</v>
      </c>
      <c r="AW23" s="106">
        <f t="shared" si="102"/>
        <v>14.563106796116504</v>
      </c>
      <c r="AX23" s="106">
        <f t="shared" si="103"/>
        <v>19.417475728155338</v>
      </c>
      <c r="AY23" s="106">
        <f t="shared" si="104"/>
        <v>14.563106796116504</v>
      </c>
      <c r="AZ23" s="106">
        <f t="shared" si="105"/>
        <v>0</v>
      </c>
      <c r="BA23" s="161"/>
      <c r="BB23" s="161"/>
      <c r="BC23" s="161"/>
      <c r="BD23" s="161"/>
      <c r="BE23" s="161"/>
      <c r="BF23" s="161"/>
      <c r="BG23" s="161"/>
      <c r="BH23" s="161"/>
      <c r="BI23" s="161"/>
      <c r="BJ23" s="161"/>
      <c r="BK23" s="161"/>
      <c r="BL23" s="161"/>
      <c r="BM23" s="161"/>
      <c r="BN23" s="161"/>
      <c r="BO23" s="161"/>
      <c r="BP23" s="161"/>
      <c r="BQ23" s="161"/>
      <c r="BR23" s="161"/>
      <c r="BS23" s="161"/>
      <c r="BT23" s="161"/>
      <c r="BU23" s="161"/>
      <c r="BV23" s="161"/>
      <c r="BW23" s="161"/>
      <c r="BX23" s="161"/>
      <c r="BY23" s="161"/>
      <c r="BZ23" s="161"/>
      <c r="CA23" s="161"/>
      <c r="CB23" s="161"/>
      <c r="CC23" s="161"/>
      <c r="CD23" s="161"/>
      <c r="CE23" s="161"/>
      <c r="CF23" s="161"/>
      <c r="CG23" s="161"/>
      <c r="CH23" s="161"/>
      <c r="CI23" s="161"/>
      <c r="CJ23" s="161"/>
      <c r="CK23" s="161"/>
      <c r="CL23" s="161"/>
      <c r="CM23" s="161"/>
      <c r="CN23" s="161"/>
      <c r="CO23" s="161"/>
      <c r="CP23" s="161"/>
      <c r="CQ23" s="161"/>
      <c r="CR23" s="161"/>
      <c r="CS23" s="161"/>
      <c r="CT23" s="161"/>
      <c r="CU23" s="161"/>
      <c r="CV23" s="161"/>
      <c r="CW23" s="161"/>
      <c r="CX23" s="161"/>
      <c r="CY23" s="161"/>
      <c r="CZ23" s="161"/>
      <c r="DA23" s="161"/>
      <c r="DB23" s="161"/>
      <c r="DC23" s="161"/>
      <c r="DD23" s="161"/>
      <c r="DE23" s="161"/>
      <c r="DF23" s="161"/>
      <c r="DG23" s="161"/>
      <c r="DH23" s="161"/>
      <c r="DI23" s="161"/>
      <c r="DJ23" s="161"/>
      <c r="DK23" s="161"/>
      <c r="DL23" s="161"/>
      <c r="DM23" s="161"/>
      <c r="DN23" s="161"/>
      <c r="DO23" s="161"/>
      <c r="DP23" s="161"/>
      <c r="DQ23" s="161"/>
      <c r="DR23" s="161"/>
      <c r="DS23" s="161"/>
      <c r="DT23" s="161"/>
      <c r="DU23" s="161"/>
      <c r="DV23" s="161"/>
      <c r="DW23" s="161"/>
      <c r="DX23" s="161"/>
      <c r="DY23" s="161"/>
      <c r="DZ23" s="161"/>
      <c r="EA23" s="161"/>
      <c r="EB23" s="161"/>
      <c r="EC23" s="161"/>
      <c r="ED23" s="161"/>
      <c r="EE23" s="161"/>
      <c r="EF23" s="161"/>
      <c r="EG23" s="161"/>
      <c r="EH23" s="161"/>
      <c r="EI23" s="161"/>
      <c r="EJ23" s="161"/>
      <c r="EK23" s="161"/>
      <c r="EL23" s="161"/>
      <c r="EM23" s="161"/>
      <c r="EN23" s="161"/>
      <c r="EO23" s="161"/>
      <c r="EP23" s="161"/>
      <c r="EQ23" s="161"/>
      <c r="ER23" s="161"/>
      <c r="ES23" s="161"/>
      <c r="ET23" s="161"/>
      <c r="EU23" s="161"/>
      <c r="EV23" s="161"/>
      <c r="EW23" s="161"/>
      <c r="EX23" s="161"/>
      <c r="EY23" s="161"/>
      <c r="EZ23" s="161"/>
      <c r="FA23" s="161"/>
      <c r="FB23" s="161"/>
      <c r="FC23" s="161"/>
      <c r="FD23" s="161"/>
      <c r="FE23" s="161"/>
      <c r="FF23" s="161"/>
    </row>
    <row r="24" spans="1:162" s="162" customFormat="1" ht="20.25" customHeight="1">
      <c r="A24" s="163" t="s">
        <v>196</v>
      </c>
      <c r="B24" s="163" t="s">
        <v>197</v>
      </c>
      <c r="C24" s="208">
        <v>265</v>
      </c>
      <c r="D24" s="160">
        <v>45724</v>
      </c>
      <c r="E24" s="160">
        <v>45728</v>
      </c>
      <c r="F24" s="208">
        <v>116</v>
      </c>
      <c r="G24" s="208">
        <v>0</v>
      </c>
      <c r="H24" s="105">
        <f t="shared" si="108"/>
        <v>116</v>
      </c>
      <c r="I24" s="208">
        <v>5</v>
      </c>
      <c r="J24" s="208">
        <v>0</v>
      </c>
      <c r="K24" s="105">
        <f t="shared" si="109"/>
        <v>121</v>
      </c>
      <c r="L24" s="208">
        <v>0</v>
      </c>
      <c r="M24" s="208">
        <v>0</v>
      </c>
      <c r="N24" s="208">
        <v>116</v>
      </c>
      <c r="O24" s="208">
        <v>12</v>
      </c>
      <c r="P24" s="208">
        <v>0</v>
      </c>
      <c r="Q24" s="208">
        <v>0</v>
      </c>
      <c r="R24" s="208">
        <v>0</v>
      </c>
      <c r="S24" s="208">
        <v>7</v>
      </c>
      <c r="T24" s="208">
        <v>213</v>
      </c>
      <c r="U24" s="208">
        <v>7</v>
      </c>
      <c r="V24" s="208">
        <v>0</v>
      </c>
      <c r="W24" s="208">
        <v>68</v>
      </c>
      <c r="X24" s="208">
        <v>5</v>
      </c>
      <c r="Y24" s="208">
        <v>1</v>
      </c>
      <c r="Z24" s="208">
        <v>36</v>
      </c>
      <c r="AA24" s="208">
        <v>1</v>
      </c>
      <c r="AB24" s="208">
        <v>85</v>
      </c>
      <c r="AC24" s="208">
        <v>33</v>
      </c>
      <c r="AD24" s="208">
        <v>0</v>
      </c>
      <c r="AE24" s="208">
        <v>345</v>
      </c>
      <c r="AF24" s="208">
        <v>246</v>
      </c>
      <c r="AG24" s="208">
        <v>1</v>
      </c>
      <c r="AH24" s="208">
        <v>0</v>
      </c>
      <c r="AI24" s="208">
        <v>0</v>
      </c>
      <c r="AJ24" s="208">
        <v>0</v>
      </c>
      <c r="AK24" s="105">
        <f t="shared" si="110"/>
        <v>438</v>
      </c>
      <c r="AL24" s="105">
        <f t="shared" si="110"/>
        <v>596</v>
      </c>
      <c r="AM24" s="105">
        <f t="shared" si="111"/>
        <v>1034</v>
      </c>
      <c r="AN24" s="105">
        <f t="shared" si="112"/>
        <v>14</v>
      </c>
      <c r="AO24" s="106">
        <f t="shared" si="113"/>
        <v>10.344827586206897</v>
      </c>
      <c r="AP24" s="106">
        <f t="shared" si="95"/>
        <v>12.068965517241379</v>
      </c>
      <c r="AQ24" s="106">
        <f t="shared" si="96"/>
        <v>1.3539651837524178</v>
      </c>
      <c r="AR24" s="106">
        <f t="shared" si="97"/>
        <v>42.359767891682786</v>
      </c>
      <c r="AS24" s="106">
        <f t="shared" si="98"/>
        <v>57.640232108317214</v>
      </c>
      <c r="AT24" s="106">
        <f t="shared" si="99"/>
        <v>0</v>
      </c>
      <c r="AU24" s="106">
        <f t="shared" si="100"/>
        <v>50</v>
      </c>
      <c r="AV24" s="106">
        <f t="shared" si="101"/>
        <v>35.714285714285715</v>
      </c>
      <c r="AW24" s="106">
        <f t="shared" si="102"/>
        <v>7.1428571428571423</v>
      </c>
      <c r="AX24" s="106">
        <f t="shared" si="103"/>
        <v>0</v>
      </c>
      <c r="AY24" s="106">
        <f t="shared" si="104"/>
        <v>7.1428571428571423</v>
      </c>
      <c r="AZ24" s="106">
        <f t="shared" si="105"/>
        <v>0</v>
      </c>
      <c r="BA24" s="161"/>
      <c r="BB24" s="161"/>
      <c r="BC24" s="161"/>
      <c r="BD24" s="161"/>
      <c r="BE24" s="161"/>
      <c r="BF24" s="161"/>
      <c r="BG24" s="161"/>
      <c r="BH24" s="161"/>
      <c r="BI24" s="161"/>
      <c r="BJ24" s="161"/>
      <c r="BK24" s="161"/>
      <c r="BL24" s="161"/>
      <c r="BM24" s="161"/>
      <c r="BN24" s="161"/>
      <c r="BO24" s="161"/>
      <c r="BP24" s="161"/>
      <c r="BQ24" s="161"/>
      <c r="BR24" s="161"/>
      <c r="BS24" s="161"/>
      <c r="BT24" s="161"/>
      <c r="BU24" s="161"/>
      <c r="BV24" s="161"/>
      <c r="BW24" s="161"/>
      <c r="BX24" s="161"/>
      <c r="BY24" s="161"/>
      <c r="BZ24" s="161"/>
      <c r="CA24" s="161"/>
      <c r="CB24" s="161"/>
      <c r="CC24" s="161"/>
      <c r="CD24" s="161"/>
      <c r="CE24" s="161"/>
      <c r="CF24" s="161"/>
      <c r="CG24" s="161"/>
      <c r="CH24" s="161"/>
      <c r="CI24" s="161"/>
      <c r="CJ24" s="161"/>
      <c r="CK24" s="161"/>
      <c r="CL24" s="161"/>
      <c r="CM24" s="161"/>
      <c r="CN24" s="161"/>
      <c r="CO24" s="161"/>
      <c r="CP24" s="161"/>
      <c r="CQ24" s="161"/>
      <c r="CR24" s="161"/>
      <c r="CS24" s="161"/>
      <c r="CT24" s="161"/>
      <c r="CU24" s="161"/>
      <c r="CV24" s="161"/>
      <c r="CW24" s="161"/>
      <c r="CX24" s="161"/>
      <c r="CY24" s="161"/>
      <c r="CZ24" s="161"/>
      <c r="DA24" s="161"/>
      <c r="DB24" s="161"/>
      <c r="DC24" s="161"/>
      <c r="DD24" s="161"/>
      <c r="DE24" s="161"/>
      <c r="DF24" s="161"/>
      <c r="DG24" s="161"/>
      <c r="DH24" s="161"/>
      <c r="DI24" s="161"/>
      <c r="DJ24" s="161"/>
      <c r="DK24" s="161"/>
      <c r="DL24" s="161"/>
      <c r="DM24" s="161"/>
      <c r="DN24" s="161"/>
      <c r="DO24" s="161"/>
      <c r="DP24" s="161"/>
      <c r="DQ24" s="161"/>
      <c r="DR24" s="161"/>
      <c r="DS24" s="161"/>
      <c r="DT24" s="161"/>
      <c r="DU24" s="161"/>
      <c r="DV24" s="161"/>
      <c r="DW24" s="161"/>
      <c r="DX24" s="161"/>
      <c r="DY24" s="161"/>
      <c r="DZ24" s="161"/>
      <c r="EA24" s="161"/>
      <c r="EB24" s="161"/>
      <c r="EC24" s="161"/>
      <c r="ED24" s="161"/>
      <c r="EE24" s="161"/>
      <c r="EF24" s="161"/>
      <c r="EG24" s="161"/>
      <c r="EH24" s="161"/>
      <c r="EI24" s="161"/>
      <c r="EJ24" s="161"/>
      <c r="EK24" s="161"/>
      <c r="EL24" s="161"/>
      <c r="EM24" s="161"/>
      <c r="EN24" s="161"/>
      <c r="EO24" s="161"/>
      <c r="EP24" s="161"/>
      <c r="EQ24" s="161"/>
      <c r="ER24" s="161"/>
      <c r="ES24" s="161"/>
      <c r="ET24" s="161"/>
      <c r="EU24" s="161"/>
      <c r="EV24" s="161"/>
      <c r="EW24" s="161"/>
      <c r="EX24" s="161"/>
      <c r="EY24" s="161"/>
      <c r="EZ24" s="161"/>
      <c r="FA24" s="161"/>
      <c r="FB24" s="161"/>
      <c r="FC24" s="161"/>
      <c r="FD24" s="161"/>
      <c r="FE24" s="161"/>
      <c r="FF24" s="161"/>
    </row>
    <row r="25" spans="1:162" s="162" customFormat="1" ht="20.25" customHeight="1">
      <c r="A25" s="198" t="s">
        <v>158</v>
      </c>
      <c r="B25" s="198" t="s">
        <v>157</v>
      </c>
      <c r="C25" s="159">
        <v>103</v>
      </c>
      <c r="D25" s="160">
        <v>45743</v>
      </c>
      <c r="E25" s="160">
        <v>45743</v>
      </c>
      <c r="F25" s="208">
        <v>38</v>
      </c>
      <c r="G25" s="208">
        <v>0</v>
      </c>
      <c r="H25" s="105">
        <f t="shared" si="108"/>
        <v>38</v>
      </c>
      <c r="I25" s="208">
        <v>0</v>
      </c>
      <c r="J25" s="208">
        <v>0</v>
      </c>
      <c r="K25" s="105">
        <f t="shared" si="109"/>
        <v>38</v>
      </c>
      <c r="L25" s="208">
        <v>0</v>
      </c>
      <c r="M25" s="208">
        <v>0</v>
      </c>
      <c r="N25" s="208">
        <v>38</v>
      </c>
      <c r="O25" s="208">
        <v>15</v>
      </c>
      <c r="P25" s="208">
        <v>0</v>
      </c>
      <c r="Q25" s="208">
        <v>0</v>
      </c>
      <c r="R25" s="208">
        <v>0</v>
      </c>
      <c r="S25" s="208">
        <v>0</v>
      </c>
      <c r="T25" s="208">
        <v>65</v>
      </c>
      <c r="U25" s="208">
        <v>22</v>
      </c>
      <c r="V25" s="208">
        <v>0</v>
      </c>
      <c r="W25" s="208">
        <v>1</v>
      </c>
      <c r="X25" s="208">
        <v>0</v>
      </c>
      <c r="Y25" s="208">
        <v>0</v>
      </c>
      <c r="Z25" s="208">
        <v>2</v>
      </c>
      <c r="AA25" s="208">
        <v>1</v>
      </c>
      <c r="AB25" s="208">
        <v>0</v>
      </c>
      <c r="AC25" s="208">
        <v>6</v>
      </c>
      <c r="AD25" s="208">
        <v>0</v>
      </c>
      <c r="AE25" s="208">
        <v>10</v>
      </c>
      <c r="AF25" s="208">
        <v>1</v>
      </c>
      <c r="AG25" s="208">
        <v>0</v>
      </c>
      <c r="AH25" s="208">
        <v>0</v>
      </c>
      <c r="AI25" s="208">
        <v>0</v>
      </c>
      <c r="AJ25" s="208">
        <v>0</v>
      </c>
      <c r="AK25" s="105">
        <f t="shared" si="110"/>
        <v>10</v>
      </c>
      <c r="AL25" s="105">
        <f t="shared" si="110"/>
        <v>75</v>
      </c>
      <c r="AM25" s="105">
        <f t="shared" si="111"/>
        <v>85</v>
      </c>
      <c r="AN25" s="105">
        <f t="shared" si="112"/>
        <v>23</v>
      </c>
      <c r="AO25" s="106">
        <f t="shared" si="113"/>
        <v>39.473684210526315</v>
      </c>
      <c r="AP25" s="106">
        <f t="shared" si="95"/>
        <v>60.526315789473685</v>
      </c>
      <c r="AQ25" s="106">
        <f t="shared" si="96"/>
        <v>27.058823529411764</v>
      </c>
      <c r="AR25" s="106">
        <f t="shared" si="97"/>
        <v>11.76470588235294</v>
      </c>
      <c r="AS25" s="106">
        <f t="shared" si="98"/>
        <v>88.235294117647058</v>
      </c>
      <c r="AT25" s="106">
        <f t="shared" si="99"/>
        <v>0</v>
      </c>
      <c r="AU25" s="106">
        <f t="shared" si="100"/>
        <v>95.652173913043484</v>
      </c>
      <c r="AV25" s="106">
        <f t="shared" si="101"/>
        <v>0</v>
      </c>
      <c r="AW25" s="106">
        <f t="shared" si="102"/>
        <v>4.3478260869565215</v>
      </c>
      <c r="AX25" s="106">
        <f t="shared" si="103"/>
        <v>0</v>
      </c>
      <c r="AY25" s="106">
        <f t="shared" si="104"/>
        <v>0</v>
      </c>
      <c r="AZ25" s="106">
        <f t="shared" si="105"/>
        <v>0</v>
      </c>
      <c r="BA25" s="161"/>
      <c r="BB25" s="161"/>
      <c r="BC25" s="161"/>
      <c r="BD25" s="161"/>
      <c r="BE25" s="161"/>
      <c r="BF25" s="161"/>
      <c r="BG25" s="161"/>
      <c r="BH25" s="161"/>
      <c r="BI25" s="161"/>
      <c r="BJ25" s="161"/>
      <c r="BK25" s="161"/>
      <c r="BL25" s="161"/>
      <c r="BM25" s="161"/>
      <c r="BN25" s="161"/>
      <c r="BO25" s="161"/>
      <c r="BP25" s="161"/>
      <c r="BQ25" s="161"/>
      <c r="BR25" s="161"/>
      <c r="BS25" s="161"/>
      <c r="BT25" s="161"/>
      <c r="BU25" s="161"/>
      <c r="BV25" s="161"/>
      <c r="BW25" s="161"/>
      <c r="BX25" s="161"/>
      <c r="BY25" s="161"/>
      <c r="BZ25" s="161"/>
      <c r="CA25" s="161"/>
      <c r="CB25" s="161"/>
      <c r="CC25" s="161"/>
      <c r="CD25" s="161"/>
      <c r="CE25" s="161"/>
      <c r="CF25" s="161"/>
      <c r="CG25" s="161"/>
      <c r="CH25" s="161"/>
      <c r="CI25" s="161"/>
      <c r="CJ25" s="161"/>
      <c r="CK25" s="161"/>
      <c r="CL25" s="161"/>
      <c r="CM25" s="161"/>
      <c r="CN25" s="161"/>
      <c r="CO25" s="161"/>
      <c r="CP25" s="161"/>
      <c r="CQ25" s="161"/>
      <c r="CR25" s="161"/>
      <c r="CS25" s="161"/>
      <c r="CT25" s="161"/>
      <c r="CU25" s="161"/>
      <c r="CV25" s="161"/>
      <c r="CW25" s="161"/>
      <c r="CX25" s="161"/>
      <c r="CY25" s="161"/>
      <c r="CZ25" s="161"/>
      <c r="DA25" s="161"/>
      <c r="DB25" s="161"/>
      <c r="DC25" s="161"/>
      <c r="DD25" s="161"/>
      <c r="DE25" s="161"/>
      <c r="DF25" s="161"/>
      <c r="DG25" s="161"/>
      <c r="DH25" s="161"/>
      <c r="DI25" s="161"/>
      <c r="DJ25" s="161"/>
      <c r="DK25" s="161"/>
      <c r="DL25" s="161"/>
      <c r="DM25" s="161"/>
      <c r="DN25" s="161"/>
      <c r="DO25" s="161"/>
      <c r="DP25" s="161"/>
      <c r="DQ25" s="161"/>
      <c r="DR25" s="161"/>
      <c r="DS25" s="161"/>
      <c r="DT25" s="161"/>
      <c r="DU25" s="161"/>
      <c r="DV25" s="161"/>
      <c r="DW25" s="161"/>
      <c r="DX25" s="161"/>
      <c r="DY25" s="161"/>
      <c r="DZ25" s="161"/>
      <c r="EA25" s="161"/>
      <c r="EB25" s="161"/>
      <c r="EC25" s="161"/>
      <c r="ED25" s="161"/>
      <c r="EE25" s="161"/>
      <c r="EF25" s="161"/>
      <c r="EG25" s="161"/>
      <c r="EH25" s="161"/>
      <c r="EI25" s="161"/>
      <c r="EJ25" s="161"/>
      <c r="EK25" s="161"/>
      <c r="EL25" s="161"/>
      <c r="EM25" s="161"/>
      <c r="EN25" s="161"/>
      <c r="EO25" s="161"/>
      <c r="EP25" s="161"/>
      <c r="EQ25" s="161"/>
      <c r="ER25" s="161"/>
      <c r="ES25" s="161"/>
      <c r="ET25" s="161"/>
      <c r="EU25" s="161"/>
      <c r="EV25" s="161"/>
      <c r="EW25" s="161"/>
      <c r="EX25" s="161"/>
      <c r="EY25" s="161"/>
      <c r="EZ25" s="161"/>
      <c r="FA25" s="161"/>
      <c r="FB25" s="161"/>
      <c r="FC25" s="161"/>
      <c r="FD25" s="161"/>
      <c r="FE25" s="161"/>
      <c r="FF25" s="161"/>
    </row>
    <row r="26" spans="1:162" s="67" customFormat="1" ht="20.25" customHeight="1">
      <c r="A26" s="70" t="s">
        <v>103</v>
      </c>
      <c r="B26" s="70">
        <v>4</v>
      </c>
      <c r="C26" s="71">
        <f>SUM(C24:C25)+C21</f>
        <v>1158</v>
      </c>
      <c r="D26" s="68">
        <f>MIN(D22:D25)</f>
        <v>45724</v>
      </c>
      <c r="E26" s="68">
        <f>MAX(E22:E25)</f>
        <v>45747</v>
      </c>
      <c r="F26" s="71">
        <f>SUM(F24:F25)+F21</f>
        <v>405</v>
      </c>
      <c r="G26" s="71">
        <f t="shared" ref="G26:L26" si="114">SUM(G24:G25)+G21</f>
        <v>0</v>
      </c>
      <c r="H26" s="71">
        <f>SUM(H24:H25)+H21</f>
        <v>405</v>
      </c>
      <c r="I26" s="71">
        <f t="shared" si="114"/>
        <v>5</v>
      </c>
      <c r="J26" s="71">
        <f t="shared" si="114"/>
        <v>0</v>
      </c>
      <c r="K26" s="71">
        <f t="shared" si="114"/>
        <v>410</v>
      </c>
      <c r="L26" s="71">
        <f t="shared" si="114"/>
        <v>0</v>
      </c>
      <c r="M26" s="71">
        <f t="shared" ref="M26" si="115">SUM(M24:M25)+M21</f>
        <v>0</v>
      </c>
      <c r="N26" s="71">
        <f t="shared" ref="N26" si="116">SUM(N24:N25)+N21</f>
        <v>405</v>
      </c>
      <c r="O26" s="71">
        <f t="shared" ref="O26" si="117">SUM(O24:O25)+O21</f>
        <v>118</v>
      </c>
      <c r="P26" s="71">
        <f t="shared" ref="P26" si="118">SUM(P24:P25)+P21</f>
        <v>0</v>
      </c>
      <c r="Q26" s="71">
        <f t="shared" ref="Q26:R26" si="119">SUM(Q24:Q25)+Q21</f>
        <v>1</v>
      </c>
      <c r="R26" s="71">
        <f t="shared" si="119"/>
        <v>0</v>
      </c>
      <c r="S26" s="71">
        <f t="shared" ref="S26" si="120">SUM(S24:S25)+S21</f>
        <v>11</v>
      </c>
      <c r="T26" s="71">
        <f t="shared" ref="T26" si="121">SUM(T24:T25)+T21</f>
        <v>771</v>
      </c>
      <c r="U26" s="71">
        <f t="shared" ref="U26" si="122">SUM(U24:U25)+U21</f>
        <v>89</v>
      </c>
      <c r="V26" s="71">
        <f t="shared" ref="V26" si="123">SUM(V24:V25)+V21</f>
        <v>0</v>
      </c>
      <c r="W26" s="71">
        <f t="shared" ref="W26:X26" si="124">SUM(W24:W25)+W21</f>
        <v>233</v>
      </c>
      <c r="X26" s="71">
        <f t="shared" si="124"/>
        <v>26</v>
      </c>
      <c r="Y26" s="71">
        <f t="shared" ref="Y26" si="125">SUM(Y24:Y25)+Y21</f>
        <v>1</v>
      </c>
      <c r="Z26" s="71">
        <f t="shared" ref="Z26" si="126">SUM(Z24:Z25)+Z21</f>
        <v>142</v>
      </c>
      <c r="AA26" s="71">
        <f t="shared" ref="AA26" si="127">SUM(AA24:AA25)+AA21</f>
        <v>32</v>
      </c>
      <c r="AB26" s="71">
        <f t="shared" ref="AB26" si="128">SUM(AB24:AB25)+AB21</f>
        <v>91</v>
      </c>
      <c r="AC26" s="71">
        <f t="shared" ref="AC26:AD26" si="129">SUM(AC24:AC25)+AC21</f>
        <v>124</v>
      </c>
      <c r="AD26" s="71">
        <f t="shared" si="129"/>
        <v>34</v>
      </c>
      <c r="AE26" s="71">
        <f t="shared" ref="AE26" si="130">SUM(AE24:AE25)+AE21</f>
        <v>619</v>
      </c>
      <c r="AF26" s="71">
        <f t="shared" ref="AF26" si="131">SUM(AF24:AF25)+AF21</f>
        <v>328</v>
      </c>
      <c r="AG26" s="71">
        <f t="shared" ref="AG26" si="132">SUM(AG24:AG25)+AG21</f>
        <v>22</v>
      </c>
      <c r="AH26" s="71">
        <f t="shared" ref="AH26" si="133">SUM(AH24:AH25)+AH21</f>
        <v>0</v>
      </c>
      <c r="AI26" s="71">
        <f t="shared" ref="AI26:AJ26" si="134">SUM(AI24:AI25)+AI21</f>
        <v>0</v>
      </c>
      <c r="AJ26" s="71">
        <f t="shared" si="134"/>
        <v>0</v>
      </c>
      <c r="AK26" s="173">
        <f>P26+S26+V26+Y26+AB26+AE26+AH26</f>
        <v>722</v>
      </c>
      <c r="AL26" s="173">
        <f>Q26+T26+W26+Z26+AC26+AF26+AI26</f>
        <v>1599</v>
      </c>
      <c r="AM26" s="173">
        <f>AK26+AL26</f>
        <v>2321</v>
      </c>
      <c r="AN26" s="173">
        <f>R26+U26+X26+AA26+AD26+AG26+AJ26</f>
        <v>203</v>
      </c>
      <c r="AO26" s="185">
        <f>O26/H26*100</f>
        <v>29.1358024691358</v>
      </c>
      <c r="AP26" s="185">
        <f t="shared" ref="AP26" si="135">AN26/H26*100</f>
        <v>50.123456790123456</v>
      </c>
      <c r="AQ26" s="185">
        <f t="shared" ref="AQ26" si="136">AN26/AM26*100</f>
        <v>8.7462300732442912</v>
      </c>
      <c r="AR26" s="174">
        <f t="shared" ref="AR26:AR27" si="137">AK26/AM26*100</f>
        <v>31.107281344248168</v>
      </c>
      <c r="AS26" s="174">
        <f t="shared" ref="AS26:AS27" si="138">AL26/AM26*100</f>
        <v>68.892718655751821</v>
      </c>
      <c r="AT26" s="174">
        <f t="shared" ref="AT26:AT27" si="139">R26/AN26*100</f>
        <v>0</v>
      </c>
      <c r="AU26" s="174">
        <f t="shared" ref="AU26:AU27" si="140">U26/AN26*100</f>
        <v>43.842364532019708</v>
      </c>
      <c r="AV26" s="174">
        <f t="shared" ref="AV26:AV27" si="141">X26/AN26*100</f>
        <v>12.807881773399016</v>
      </c>
      <c r="AW26" s="174">
        <f t="shared" ref="AW26:AW27" si="142">AA26/AN26*100</f>
        <v>15.763546798029557</v>
      </c>
      <c r="AX26" s="174">
        <f t="shared" ref="AX26:AX27" si="143">AD26/AN26*100</f>
        <v>16.748768472906402</v>
      </c>
      <c r="AY26" s="174">
        <f t="shared" ref="AY26:AY27" si="144">AG26/AN26*100</f>
        <v>10.83743842364532</v>
      </c>
      <c r="AZ26" s="174">
        <f t="shared" ref="AZ26:AZ27" si="145">AJ26/AN26*100</f>
        <v>0</v>
      </c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/>
      <c r="DL26" s="66"/>
      <c r="DM26" s="66"/>
      <c r="DN26" s="66"/>
      <c r="DO26" s="66"/>
      <c r="DP26" s="66"/>
      <c r="DQ26" s="66"/>
      <c r="DR26" s="66"/>
      <c r="DS26" s="66"/>
      <c r="DT26" s="66"/>
      <c r="DU26" s="66"/>
      <c r="DV26" s="66"/>
      <c r="DW26" s="66"/>
      <c r="DX26" s="66"/>
      <c r="DY26" s="66"/>
      <c r="DZ26" s="66"/>
      <c r="EA26" s="66"/>
      <c r="EB26" s="66"/>
      <c r="EC26" s="66"/>
      <c r="ED26" s="66"/>
      <c r="EE26" s="66"/>
      <c r="EF26" s="66"/>
      <c r="EG26" s="66"/>
      <c r="EH26" s="66"/>
      <c r="EI26" s="66"/>
      <c r="EJ26" s="66"/>
      <c r="EK26" s="66"/>
      <c r="EL26" s="66"/>
      <c r="EM26" s="66"/>
      <c r="EN26" s="66"/>
      <c r="EO26" s="66"/>
      <c r="EP26" s="66"/>
      <c r="EQ26" s="66"/>
      <c r="ER26" s="66"/>
      <c r="ES26" s="66"/>
      <c r="ET26" s="66"/>
      <c r="EU26" s="66"/>
      <c r="EV26" s="66"/>
      <c r="EW26" s="66"/>
      <c r="EX26" s="66"/>
      <c r="EY26" s="66"/>
      <c r="EZ26" s="66"/>
      <c r="FA26" s="66"/>
      <c r="FB26" s="66"/>
      <c r="FC26" s="66"/>
      <c r="FD26" s="66"/>
      <c r="FE26" s="66"/>
      <c r="FF26" s="66"/>
    </row>
    <row r="27" spans="1:162" s="67" customFormat="1" ht="20.25" customHeight="1">
      <c r="A27" s="373" t="s">
        <v>107</v>
      </c>
      <c r="B27" s="281" t="s">
        <v>105</v>
      </c>
      <c r="C27" s="227">
        <f>SUM(C28:C29)</f>
        <v>611</v>
      </c>
      <c r="D27" s="221">
        <f>MIN(D28:D29)</f>
        <v>45749</v>
      </c>
      <c r="E27" s="221">
        <f>MAX(E28:E29)</f>
        <v>45756</v>
      </c>
      <c r="F27" s="227">
        <f>SUM(F28:F29)</f>
        <v>189</v>
      </c>
      <c r="G27" s="227">
        <f t="shared" ref="G27:AJ27" si="146">SUM(G28:G29)</f>
        <v>0</v>
      </c>
      <c r="H27" s="227">
        <f t="shared" si="146"/>
        <v>189</v>
      </c>
      <c r="I27" s="227">
        <f t="shared" si="146"/>
        <v>0</v>
      </c>
      <c r="J27" s="227">
        <f t="shared" si="146"/>
        <v>0</v>
      </c>
      <c r="K27" s="227">
        <f t="shared" si="146"/>
        <v>189</v>
      </c>
      <c r="L27" s="227">
        <f t="shared" si="146"/>
        <v>0</v>
      </c>
      <c r="M27" s="227">
        <f t="shared" si="146"/>
        <v>0</v>
      </c>
      <c r="N27" s="227">
        <f t="shared" si="146"/>
        <v>189</v>
      </c>
      <c r="O27" s="227">
        <f t="shared" si="146"/>
        <v>64</v>
      </c>
      <c r="P27" s="227">
        <f t="shared" si="146"/>
        <v>0</v>
      </c>
      <c r="Q27" s="227">
        <f t="shared" si="146"/>
        <v>0</v>
      </c>
      <c r="R27" s="227">
        <f t="shared" si="146"/>
        <v>0</v>
      </c>
      <c r="S27" s="227">
        <f t="shared" si="146"/>
        <v>9</v>
      </c>
      <c r="T27" s="227">
        <f t="shared" si="146"/>
        <v>375</v>
      </c>
      <c r="U27" s="227">
        <f t="shared" si="146"/>
        <v>34</v>
      </c>
      <c r="V27" s="227">
        <f t="shared" si="146"/>
        <v>1</v>
      </c>
      <c r="W27" s="227">
        <f t="shared" si="146"/>
        <v>87</v>
      </c>
      <c r="X27" s="227">
        <f t="shared" si="146"/>
        <v>12</v>
      </c>
      <c r="Y27" s="227">
        <f t="shared" si="146"/>
        <v>0</v>
      </c>
      <c r="Z27" s="227">
        <f t="shared" si="146"/>
        <v>25</v>
      </c>
      <c r="AA27" s="227">
        <f t="shared" si="146"/>
        <v>11</v>
      </c>
      <c r="AB27" s="227">
        <f t="shared" si="146"/>
        <v>45</v>
      </c>
      <c r="AC27" s="227">
        <f t="shared" si="146"/>
        <v>32</v>
      </c>
      <c r="AD27" s="227">
        <f t="shared" si="146"/>
        <v>15</v>
      </c>
      <c r="AE27" s="227">
        <f t="shared" si="146"/>
        <v>164</v>
      </c>
      <c r="AF27" s="227">
        <f t="shared" si="146"/>
        <v>77</v>
      </c>
      <c r="AG27" s="227">
        <f t="shared" si="146"/>
        <v>23</v>
      </c>
      <c r="AH27" s="227">
        <f t="shared" si="146"/>
        <v>0</v>
      </c>
      <c r="AI27" s="227">
        <f t="shared" si="146"/>
        <v>0</v>
      </c>
      <c r="AJ27" s="227">
        <f t="shared" si="146"/>
        <v>0</v>
      </c>
      <c r="AK27" s="222">
        <f>P27+S27+V27+Y27+AB27+AE27+AH27</f>
        <v>219</v>
      </c>
      <c r="AL27" s="222">
        <f>Q27+T27+W27+Z27+AC27+AF27+AI27</f>
        <v>596</v>
      </c>
      <c r="AM27" s="222">
        <f>AK27+AL27</f>
        <v>815</v>
      </c>
      <c r="AN27" s="222">
        <f>R27+U27+X27+AA27+AD27+AG27+AJ27</f>
        <v>95</v>
      </c>
      <c r="AO27" s="223">
        <f>O27/H27*100</f>
        <v>33.862433862433861</v>
      </c>
      <c r="AP27" s="223">
        <f>AN27/H27*100</f>
        <v>50.264550264550266</v>
      </c>
      <c r="AQ27" s="223">
        <f>AN27/AM27*100</f>
        <v>11.656441717791409</v>
      </c>
      <c r="AR27" s="224">
        <f t="shared" si="137"/>
        <v>26.871165644171779</v>
      </c>
      <c r="AS27" s="224">
        <f t="shared" si="138"/>
        <v>73.128834355828218</v>
      </c>
      <c r="AT27" s="224">
        <f t="shared" si="139"/>
        <v>0</v>
      </c>
      <c r="AU27" s="224">
        <f t="shared" si="140"/>
        <v>35.789473684210527</v>
      </c>
      <c r="AV27" s="224">
        <f t="shared" si="141"/>
        <v>12.631578947368421</v>
      </c>
      <c r="AW27" s="224">
        <f t="shared" si="142"/>
        <v>11.578947368421053</v>
      </c>
      <c r="AX27" s="224">
        <f t="shared" si="143"/>
        <v>15.789473684210526</v>
      </c>
      <c r="AY27" s="224">
        <f t="shared" si="144"/>
        <v>24.210526315789473</v>
      </c>
      <c r="AZ27" s="224">
        <f t="shared" si="145"/>
        <v>0</v>
      </c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/>
      <c r="DL27" s="66"/>
      <c r="DM27" s="66"/>
      <c r="DN27" s="66"/>
      <c r="DO27" s="66"/>
      <c r="DP27" s="66"/>
      <c r="DQ27" s="66"/>
      <c r="DR27" s="66"/>
      <c r="DS27" s="66"/>
      <c r="DT27" s="66"/>
      <c r="DU27" s="66"/>
      <c r="DV27" s="66"/>
      <c r="DW27" s="66"/>
      <c r="DX27" s="66"/>
      <c r="DY27" s="66"/>
      <c r="DZ27" s="66"/>
      <c r="EA27" s="66"/>
      <c r="EB27" s="66"/>
      <c r="EC27" s="66"/>
      <c r="ED27" s="66"/>
      <c r="EE27" s="66"/>
      <c r="EF27" s="66"/>
      <c r="EG27" s="66"/>
      <c r="EH27" s="66"/>
      <c r="EI27" s="66"/>
      <c r="EJ27" s="66"/>
      <c r="EK27" s="66"/>
      <c r="EL27" s="66"/>
      <c r="EM27" s="66"/>
      <c r="EN27" s="66"/>
      <c r="EO27" s="66"/>
      <c r="EP27" s="66"/>
      <c r="EQ27" s="66"/>
      <c r="ER27" s="66"/>
      <c r="ES27" s="66"/>
      <c r="ET27" s="66"/>
      <c r="EU27" s="66"/>
      <c r="EV27" s="66"/>
      <c r="EW27" s="66"/>
      <c r="EX27" s="66"/>
      <c r="EY27" s="66"/>
      <c r="EZ27" s="66"/>
      <c r="FA27" s="66"/>
      <c r="FB27" s="66"/>
      <c r="FC27" s="66"/>
      <c r="FD27" s="66"/>
      <c r="FE27" s="66"/>
      <c r="FF27" s="66"/>
    </row>
    <row r="28" spans="1:162" s="162" customFormat="1" ht="20.25" customHeight="1">
      <c r="A28" s="374"/>
      <c r="B28" s="154" t="s">
        <v>132</v>
      </c>
      <c r="C28" s="208">
        <v>148</v>
      </c>
      <c r="D28" s="160">
        <v>45749</v>
      </c>
      <c r="E28" s="160">
        <v>45749</v>
      </c>
      <c r="F28" s="208">
        <v>41</v>
      </c>
      <c r="G28" s="208">
        <v>0</v>
      </c>
      <c r="H28" s="105">
        <f t="shared" si="108"/>
        <v>41</v>
      </c>
      <c r="I28" s="208">
        <v>0</v>
      </c>
      <c r="J28" s="208">
        <v>0</v>
      </c>
      <c r="K28" s="105">
        <f t="shared" si="109"/>
        <v>41</v>
      </c>
      <c r="L28" s="208">
        <v>0</v>
      </c>
      <c r="M28" s="208">
        <v>0</v>
      </c>
      <c r="N28" s="208">
        <v>41</v>
      </c>
      <c r="O28" s="208">
        <v>16</v>
      </c>
      <c r="P28" s="208">
        <v>0</v>
      </c>
      <c r="Q28" s="208">
        <v>0</v>
      </c>
      <c r="R28" s="208">
        <v>0</v>
      </c>
      <c r="S28" s="208">
        <v>5</v>
      </c>
      <c r="T28" s="208">
        <v>103</v>
      </c>
      <c r="U28" s="208">
        <v>11</v>
      </c>
      <c r="V28" s="208">
        <v>0</v>
      </c>
      <c r="W28" s="208">
        <v>19</v>
      </c>
      <c r="X28" s="208">
        <v>0</v>
      </c>
      <c r="Y28" s="208">
        <v>0</v>
      </c>
      <c r="Z28" s="208">
        <v>5</v>
      </c>
      <c r="AA28" s="208">
        <v>5</v>
      </c>
      <c r="AB28" s="208">
        <v>12</v>
      </c>
      <c r="AC28" s="208">
        <v>14</v>
      </c>
      <c r="AD28" s="208">
        <v>6</v>
      </c>
      <c r="AE28" s="208">
        <v>31</v>
      </c>
      <c r="AF28" s="208">
        <v>17</v>
      </c>
      <c r="AG28" s="208">
        <v>10</v>
      </c>
      <c r="AH28" s="208">
        <v>0</v>
      </c>
      <c r="AI28" s="208">
        <v>0</v>
      </c>
      <c r="AJ28" s="208">
        <v>0</v>
      </c>
      <c r="AK28" s="105">
        <f t="shared" ref="AK28:AK33" si="147">P28+S28+V28+Y28+AB28+AE28+AH28</f>
        <v>48</v>
      </c>
      <c r="AL28" s="105">
        <f t="shared" ref="AL28:AL33" si="148">Q28+T28+W28+Z28+AC28+AF28+AI28</f>
        <v>158</v>
      </c>
      <c r="AM28" s="105">
        <f t="shared" ref="AM28:AM33" si="149">AK28+AL28</f>
        <v>206</v>
      </c>
      <c r="AN28" s="105">
        <f t="shared" ref="AN28:AN33" si="150">R28+U28+X28+AA28+AD28+AG28+AJ28</f>
        <v>32</v>
      </c>
      <c r="AO28" s="106">
        <f t="shared" ref="AO28:AO33" si="151">O28/H28*100</f>
        <v>39.024390243902438</v>
      </c>
      <c r="AP28" s="106">
        <f t="shared" ref="AP28:AP33" si="152">AN28/H28*100</f>
        <v>78.048780487804876</v>
      </c>
      <c r="AQ28" s="106">
        <f t="shared" ref="AQ28:AQ33" si="153">AN28/AM28*100</f>
        <v>15.53398058252427</v>
      </c>
      <c r="AR28" s="106">
        <f t="shared" ref="AR28:AR33" si="154">AK28/AM28*100</f>
        <v>23.300970873786408</v>
      </c>
      <c r="AS28" s="106">
        <f t="shared" ref="AS28:AS33" si="155">AL28/AM28*100</f>
        <v>76.699029126213588</v>
      </c>
      <c r="AT28" s="106">
        <f t="shared" ref="AT28:AT33" si="156">R28/AN28*100</f>
        <v>0</v>
      </c>
      <c r="AU28" s="106">
        <f t="shared" ref="AU28:AU33" si="157">U28/AN28*100</f>
        <v>34.375</v>
      </c>
      <c r="AV28" s="106">
        <f t="shared" ref="AV28:AV33" si="158">X28/AN28*100</f>
        <v>0</v>
      </c>
      <c r="AW28" s="106">
        <f t="shared" ref="AW28:AW33" si="159">AA28/AN28*100</f>
        <v>15.625</v>
      </c>
      <c r="AX28" s="106">
        <f t="shared" ref="AX28:AX33" si="160">AD28/AN28*100</f>
        <v>18.75</v>
      </c>
      <c r="AY28" s="106">
        <f t="shared" ref="AY28:AY33" si="161">AG28/AN28*100</f>
        <v>31.25</v>
      </c>
      <c r="AZ28" s="106">
        <f t="shared" ref="AZ28:AZ33" si="162">AJ28/AN28*100</f>
        <v>0</v>
      </c>
      <c r="BA28" s="161"/>
      <c r="BB28" s="161"/>
      <c r="BC28" s="161"/>
      <c r="BD28" s="161"/>
      <c r="BE28" s="161"/>
      <c r="BF28" s="161"/>
      <c r="BG28" s="161"/>
      <c r="BH28" s="161"/>
      <c r="BI28" s="161"/>
      <c r="BJ28" s="161"/>
      <c r="BK28" s="161"/>
      <c r="BL28" s="161"/>
      <c r="BM28" s="161"/>
      <c r="BN28" s="161"/>
      <c r="BO28" s="161"/>
      <c r="BP28" s="161"/>
      <c r="BQ28" s="161"/>
      <c r="BR28" s="161"/>
      <c r="BS28" s="161"/>
      <c r="BT28" s="161"/>
      <c r="BU28" s="161"/>
      <c r="BV28" s="161"/>
      <c r="BW28" s="161"/>
      <c r="BX28" s="161"/>
      <c r="BY28" s="161"/>
      <c r="BZ28" s="161"/>
      <c r="CA28" s="161"/>
      <c r="CB28" s="161"/>
      <c r="CC28" s="161"/>
      <c r="CD28" s="161"/>
      <c r="CE28" s="161"/>
      <c r="CF28" s="161"/>
      <c r="CG28" s="161"/>
      <c r="CH28" s="161"/>
      <c r="CI28" s="161"/>
      <c r="CJ28" s="161"/>
      <c r="CK28" s="161"/>
      <c r="CL28" s="161"/>
      <c r="CM28" s="161"/>
      <c r="CN28" s="161"/>
      <c r="CO28" s="161"/>
      <c r="CP28" s="161"/>
      <c r="CQ28" s="161"/>
      <c r="CR28" s="161"/>
      <c r="CS28" s="161"/>
      <c r="CT28" s="161"/>
      <c r="CU28" s="161"/>
      <c r="CV28" s="161"/>
      <c r="CW28" s="161"/>
      <c r="CX28" s="161"/>
      <c r="CY28" s="161"/>
      <c r="CZ28" s="161"/>
      <c r="DA28" s="161"/>
      <c r="DB28" s="161"/>
      <c r="DC28" s="161"/>
      <c r="DD28" s="161"/>
      <c r="DE28" s="161"/>
      <c r="DF28" s="161"/>
      <c r="DG28" s="161"/>
      <c r="DH28" s="161"/>
      <c r="DI28" s="161"/>
      <c r="DJ28" s="161"/>
      <c r="DK28" s="161"/>
      <c r="DL28" s="161"/>
      <c r="DM28" s="161"/>
      <c r="DN28" s="161"/>
      <c r="DO28" s="161"/>
      <c r="DP28" s="161"/>
      <c r="DQ28" s="161"/>
      <c r="DR28" s="161"/>
      <c r="DS28" s="161"/>
      <c r="DT28" s="161"/>
      <c r="DU28" s="161"/>
      <c r="DV28" s="161"/>
      <c r="DW28" s="161"/>
      <c r="DX28" s="161"/>
      <c r="DY28" s="161"/>
      <c r="DZ28" s="161"/>
      <c r="EA28" s="161"/>
      <c r="EB28" s="161"/>
      <c r="EC28" s="161"/>
      <c r="ED28" s="161"/>
      <c r="EE28" s="161"/>
      <c r="EF28" s="161"/>
      <c r="EG28" s="161"/>
      <c r="EH28" s="161"/>
      <c r="EI28" s="161"/>
      <c r="EJ28" s="161"/>
      <c r="EK28" s="161"/>
      <c r="EL28" s="161"/>
      <c r="EM28" s="161"/>
      <c r="EN28" s="161"/>
      <c r="EO28" s="161"/>
      <c r="EP28" s="161"/>
      <c r="EQ28" s="161"/>
      <c r="ER28" s="161"/>
      <c r="ES28" s="161"/>
      <c r="ET28" s="161"/>
      <c r="EU28" s="161"/>
      <c r="EV28" s="161"/>
      <c r="EW28" s="161"/>
      <c r="EX28" s="161"/>
      <c r="EY28" s="161"/>
      <c r="EZ28" s="161"/>
      <c r="FA28" s="161"/>
      <c r="FB28" s="161"/>
      <c r="FC28" s="161"/>
      <c r="FD28" s="161"/>
      <c r="FE28" s="161"/>
      <c r="FF28" s="161"/>
    </row>
    <row r="29" spans="1:162" s="162" customFormat="1" ht="20.25" customHeight="1">
      <c r="A29" s="374"/>
      <c r="B29" s="154" t="s">
        <v>168</v>
      </c>
      <c r="C29" s="208">
        <v>463</v>
      </c>
      <c r="D29" s="160">
        <v>45750</v>
      </c>
      <c r="E29" s="160">
        <v>45756</v>
      </c>
      <c r="F29" s="208">
        <v>148</v>
      </c>
      <c r="G29" s="208">
        <v>0</v>
      </c>
      <c r="H29" s="105">
        <f t="shared" si="108"/>
        <v>148</v>
      </c>
      <c r="I29" s="208">
        <v>0</v>
      </c>
      <c r="J29" s="208">
        <v>0</v>
      </c>
      <c r="K29" s="105">
        <f t="shared" si="109"/>
        <v>148</v>
      </c>
      <c r="L29" s="208">
        <v>0</v>
      </c>
      <c r="M29" s="208">
        <v>0</v>
      </c>
      <c r="N29" s="208">
        <v>148</v>
      </c>
      <c r="O29" s="208">
        <v>48</v>
      </c>
      <c r="P29" s="208">
        <v>0</v>
      </c>
      <c r="Q29" s="208">
        <v>0</v>
      </c>
      <c r="R29" s="208">
        <v>0</v>
      </c>
      <c r="S29" s="208">
        <v>4</v>
      </c>
      <c r="T29" s="208">
        <v>272</v>
      </c>
      <c r="U29" s="208">
        <v>23</v>
      </c>
      <c r="V29" s="208">
        <v>1</v>
      </c>
      <c r="W29" s="208">
        <v>68</v>
      </c>
      <c r="X29" s="208">
        <v>12</v>
      </c>
      <c r="Y29" s="208">
        <v>0</v>
      </c>
      <c r="Z29" s="208">
        <v>20</v>
      </c>
      <c r="AA29" s="208">
        <v>6</v>
      </c>
      <c r="AB29" s="208">
        <v>33</v>
      </c>
      <c r="AC29" s="208">
        <v>18</v>
      </c>
      <c r="AD29" s="208">
        <v>9</v>
      </c>
      <c r="AE29" s="208">
        <v>133</v>
      </c>
      <c r="AF29" s="208">
        <v>60</v>
      </c>
      <c r="AG29" s="208">
        <v>13</v>
      </c>
      <c r="AH29" s="208">
        <v>0</v>
      </c>
      <c r="AI29" s="208">
        <v>0</v>
      </c>
      <c r="AJ29" s="208">
        <v>0</v>
      </c>
      <c r="AK29" s="105">
        <f t="shared" si="147"/>
        <v>171</v>
      </c>
      <c r="AL29" s="105">
        <f t="shared" si="148"/>
        <v>438</v>
      </c>
      <c r="AM29" s="105">
        <f t="shared" si="149"/>
        <v>609</v>
      </c>
      <c r="AN29" s="105">
        <f t="shared" si="150"/>
        <v>63</v>
      </c>
      <c r="AO29" s="106">
        <f t="shared" si="151"/>
        <v>32.432432432432435</v>
      </c>
      <c r="AP29" s="106">
        <f t="shared" si="152"/>
        <v>42.567567567567565</v>
      </c>
      <c r="AQ29" s="106">
        <f t="shared" si="153"/>
        <v>10.344827586206897</v>
      </c>
      <c r="AR29" s="106">
        <f t="shared" si="154"/>
        <v>28.078817733990146</v>
      </c>
      <c r="AS29" s="106">
        <f t="shared" si="155"/>
        <v>71.921182266009851</v>
      </c>
      <c r="AT29" s="106">
        <f t="shared" si="156"/>
        <v>0</v>
      </c>
      <c r="AU29" s="106">
        <f t="shared" si="157"/>
        <v>36.507936507936506</v>
      </c>
      <c r="AV29" s="106">
        <f t="shared" si="158"/>
        <v>19.047619047619047</v>
      </c>
      <c r="AW29" s="106">
        <f t="shared" si="159"/>
        <v>9.5238095238095237</v>
      </c>
      <c r="AX29" s="106">
        <f t="shared" si="160"/>
        <v>14.285714285714285</v>
      </c>
      <c r="AY29" s="106">
        <f t="shared" si="161"/>
        <v>20.634920634920633</v>
      </c>
      <c r="AZ29" s="106">
        <f t="shared" si="162"/>
        <v>0</v>
      </c>
      <c r="BA29" s="161"/>
      <c r="BB29" s="161"/>
      <c r="BC29" s="161"/>
      <c r="BD29" s="161"/>
      <c r="BE29" s="161"/>
      <c r="BF29" s="161"/>
      <c r="BG29" s="161"/>
      <c r="BH29" s="161"/>
      <c r="BI29" s="161"/>
      <c r="BJ29" s="161"/>
      <c r="BK29" s="161"/>
      <c r="BL29" s="161"/>
      <c r="BM29" s="161"/>
      <c r="BN29" s="161"/>
      <c r="BO29" s="161"/>
      <c r="BP29" s="161"/>
      <c r="BQ29" s="161"/>
      <c r="BR29" s="161"/>
      <c r="BS29" s="161"/>
      <c r="BT29" s="161"/>
      <c r="BU29" s="161"/>
      <c r="BV29" s="161"/>
      <c r="BW29" s="161"/>
      <c r="BX29" s="161"/>
      <c r="BY29" s="161"/>
      <c r="BZ29" s="161"/>
      <c r="CA29" s="161"/>
      <c r="CB29" s="161"/>
      <c r="CC29" s="161"/>
      <c r="CD29" s="161"/>
      <c r="CE29" s="161"/>
      <c r="CF29" s="161"/>
      <c r="CG29" s="161"/>
      <c r="CH29" s="161"/>
      <c r="CI29" s="161"/>
      <c r="CJ29" s="161"/>
      <c r="CK29" s="161"/>
      <c r="CL29" s="161"/>
      <c r="CM29" s="161"/>
      <c r="CN29" s="161"/>
      <c r="CO29" s="161"/>
      <c r="CP29" s="161"/>
      <c r="CQ29" s="161"/>
      <c r="CR29" s="161"/>
      <c r="CS29" s="161"/>
      <c r="CT29" s="161"/>
      <c r="CU29" s="161"/>
      <c r="CV29" s="161"/>
      <c r="CW29" s="161"/>
      <c r="CX29" s="161"/>
      <c r="CY29" s="161"/>
      <c r="CZ29" s="161"/>
      <c r="DA29" s="161"/>
      <c r="DB29" s="161"/>
      <c r="DC29" s="161"/>
      <c r="DD29" s="161"/>
      <c r="DE29" s="161"/>
      <c r="DF29" s="161"/>
      <c r="DG29" s="161"/>
      <c r="DH29" s="161"/>
      <c r="DI29" s="161"/>
      <c r="DJ29" s="161"/>
      <c r="DK29" s="161"/>
      <c r="DL29" s="161"/>
      <c r="DM29" s="161"/>
      <c r="DN29" s="161"/>
      <c r="DO29" s="161"/>
      <c r="DP29" s="161"/>
      <c r="DQ29" s="161"/>
      <c r="DR29" s="161"/>
      <c r="DS29" s="161"/>
      <c r="DT29" s="161"/>
      <c r="DU29" s="161"/>
      <c r="DV29" s="161"/>
      <c r="DW29" s="161"/>
      <c r="DX29" s="161"/>
      <c r="DY29" s="161"/>
      <c r="DZ29" s="161"/>
      <c r="EA29" s="161"/>
      <c r="EB29" s="161"/>
      <c r="EC29" s="161"/>
      <c r="ED29" s="161"/>
      <c r="EE29" s="161"/>
      <c r="EF29" s="161"/>
      <c r="EG29" s="161"/>
      <c r="EH29" s="161"/>
      <c r="EI29" s="161"/>
      <c r="EJ29" s="161"/>
      <c r="EK29" s="161"/>
      <c r="EL29" s="161"/>
      <c r="EM29" s="161"/>
      <c r="EN29" s="161"/>
      <c r="EO29" s="161"/>
      <c r="EP29" s="161"/>
      <c r="EQ29" s="161"/>
      <c r="ER29" s="161"/>
      <c r="ES29" s="161"/>
      <c r="ET29" s="161"/>
      <c r="EU29" s="161"/>
      <c r="EV29" s="161"/>
      <c r="EW29" s="161"/>
      <c r="EX29" s="161"/>
      <c r="EY29" s="161"/>
      <c r="EZ29" s="161"/>
      <c r="FA29" s="161"/>
      <c r="FB29" s="161"/>
      <c r="FC29" s="161"/>
      <c r="FD29" s="161"/>
      <c r="FE29" s="161"/>
      <c r="FF29" s="161"/>
    </row>
    <row r="30" spans="1:162" s="162" customFormat="1" ht="20.25" customHeight="1">
      <c r="A30" s="374"/>
      <c r="B30" s="163" t="s">
        <v>266</v>
      </c>
      <c r="C30" s="208">
        <v>74</v>
      </c>
      <c r="D30" s="160">
        <v>45758</v>
      </c>
      <c r="E30" s="160">
        <v>45758</v>
      </c>
      <c r="F30" s="208">
        <v>36</v>
      </c>
      <c r="G30" s="208">
        <v>0</v>
      </c>
      <c r="H30" s="105">
        <f t="shared" si="108"/>
        <v>36</v>
      </c>
      <c r="I30" s="208">
        <v>0</v>
      </c>
      <c r="J30" s="208">
        <v>0</v>
      </c>
      <c r="K30" s="105">
        <f t="shared" si="109"/>
        <v>36</v>
      </c>
      <c r="L30" s="208">
        <v>0</v>
      </c>
      <c r="M30" s="208">
        <v>0</v>
      </c>
      <c r="N30" s="208">
        <v>36</v>
      </c>
      <c r="O30" s="208">
        <v>13</v>
      </c>
      <c r="P30" s="208">
        <v>0</v>
      </c>
      <c r="Q30" s="208">
        <v>0</v>
      </c>
      <c r="R30" s="208">
        <v>0</v>
      </c>
      <c r="S30" s="208">
        <v>0</v>
      </c>
      <c r="T30" s="208">
        <v>32</v>
      </c>
      <c r="U30" s="208">
        <v>16</v>
      </c>
      <c r="V30" s="208">
        <v>0</v>
      </c>
      <c r="W30" s="208">
        <v>12</v>
      </c>
      <c r="X30" s="208">
        <v>5</v>
      </c>
      <c r="Y30" s="208">
        <v>0</v>
      </c>
      <c r="Z30" s="208">
        <v>1</v>
      </c>
      <c r="AA30" s="208">
        <v>0</v>
      </c>
      <c r="AB30" s="208">
        <v>2</v>
      </c>
      <c r="AC30" s="208">
        <v>1</v>
      </c>
      <c r="AD30" s="208">
        <v>0</v>
      </c>
      <c r="AE30" s="208">
        <v>24</v>
      </c>
      <c r="AF30" s="208">
        <v>23</v>
      </c>
      <c r="AG30" s="208">
        <v>8</v>
      </c>
      <c r="AH30" s="208">
        <v>0</v>
      </c>
      <c r="AI30" s="208">
        <v>0</v>
      </c>
      <c r="AJ30" s="208">
        <v>0</v>
      </c>
      <c r="AK30" s="105">
        <f t="shared" si="147"/>
        <v>26</v>
      </c>
      <c r="AL30" s="105">
        <f t="shared" si="148"/>
        <v>69</v>
      </c>
      <c r="AM30" s="105">
        <f t="shared" si="149"/>
        <v>95</v>
      </c>
      <c r="AN30" s="105">
        <f t="shared" si="150"/>
        <v>29</v>
      </c>
      <c r="AO30" s="106">
        <f t="shared" si="151"/>
        <v>36.111111111111107</v>
      </c>
      <c r="AP30" s="106">
        <f t="shared" si="152"/>
        <v>80.555555555555557</v>
      </c>
      <c r="AQ30" s="106">
        <f t="shared" si="153"/>
        <v>30.526315789473685</v>
      </c>
      <c r="AR30" s="106">
        <f t="shared" si="154"/>
        <v>27.368421052631582</v>
      </c>
      <c r="AS30" s="106">
        <f t="shared" si="155"/>
        <v>72.631578947368425</v>
      </c>
      <c r="AT30" s="106">
        <f t="shared" si="156"/>
        <v>0</v>
      </c>
      <c r="AU30" s="106">
        <f t="shared" si="157"/>
        <v>55.172413793103445</v>
      </c>
      <c r="AV30" s="106">
        <f t="shared" si="158"/>
        <v>17.241379310344829</v>
      </c>
      <c r="AW30" s="106">
        <f t="shared" si="159"/>
        <v>0</v>
      </c>
      <c r="AX30" s="106">
        <f t="shared" si="160"/>
        <v>0</v>
      </c>
      <c r="AY30" s="106">
        <f t="shared" si="161"/>
        <v>27.586206896551722</v>
      </c>
      <c r="AZ30" s="106">
        <f t="shared" si="162"/>
        <v>0</v>
      </c>
      <c r="BA30" s="161"/>
      <c r="BB30" s="161"/>
      <c r="BC30" s="161"/>
      <c r="BD30" s="161"/>
      <c r="BE30" s="161"/>
      <c r="BF30" s="161"/>
      <c r="BG30" s="161"/>
      <c r="BH30" s="161"/>
      <c r="BI30" s="161"/>
      <c r="BJ30" s="161"/>
      <c r="BK30" s="161"/>
      <c r="BL30" s="161"/>
      <c r="BM30" s="161"/>
      <c r="BN30" s="161"/>
      <c r="BO30" s="161"/>
      <c r="BP30" s="161"/>
      <c r="BQ30" s="161"/>
      <c r="BR30" s="161"/>
      <c r="BS30" s="161"/>
      <c r="BT30" s="161"/>
      <c r="BU30" s="161"/>
      <c r="BV30" s="161"/>
      <c r="BW30" s="161"/>
      <c r="BX30" s="161"/>
      <c r="BY30" s="161"/>
      <c r="BZ30" s="161"/>
      <c r="CA30" s="161"/>
      <c r="CB30" s="161"/>
      <c r="CC30" s="161"/>
      <c r="CD30" s="161"/>
      <c r="CE30" s="161"/>
      <c r="CF30" s="161"/>
      <c r="CG30" s="161"/>
      <c r="CH30" s="161"/>
      <c r="CI30" s="161"/>
      <c r="CJ30" s="161"/>
      <c r="CK30" s="161"/>
      <c r="CL30" s="161"/>
      <c r="CM30" s="161"/>
      <c r="CN30" s="161"/>
      <c r="CO30" s="161"/>
      <c r="CP30" s="161"/>
      <c r="CQ30" s="161"/>
      <c r="CR30" s="161"/>
      <c r="CS30" s="161"/>
      <c r="CT30" s="161"/>
      <c r="CU30" s="161"/>
      <c r="CV30" s="161"/>
      <c r="CW30" s="161"/>
      <c r="CX30" s="161"/>
      <c r="CY30" s="161"/>
      <c r="CZ30" s="161"/>
      <c r="DA30" s="161"/>
      <c r="DB30" s="161"/>
      <c r="DC30" s="161"/>
      <c r="DD30" s="161"/>
      <c r="DE30" s="161"/>
      <c r="DF30" s="161"/>
      <c r="DG30" s="161"/>
      <c r="DH30" s="161"/>
      <c r="DI30" s="161"/>
      <c r="DJ30" s="161"/>
      <c r="DK30" s="161"/>
      <c r="DL30" s="161"/>
      <c r="DM30" s="161"/>
      <c r="DN30" s="161"/>
      <c r="DO30" s="161"/>
      <c r="DP30" s="161"/>
      <c r="DQ30" s="161"/>
      <c r="DR30" s="161"/>
      <c r="DS30" s="161"/>
      <c r="DT30" s="161"/>
      <c r="DU30" s="161"/>
      <c r="DV30" s="161"/>
      <c r="DW30" s="161"/>
      <c r="DX30" s="161"/>
      <c r="DY30" s="161"/>
      <c r="DZ30" s="161"/>
      <c r="EA30" s="161"/>
      <c r="EB30" s="161"/>
      <c r="EC30" s="161"/>
      <c r="ED30" s="161"/>
      <c r="EE30" s="161"/>
      <c r="EF30" s="161"/>
      <c r="EG30" s="161"/>
      <c r="EH30" s="161"/>
      <c r="EI30" s="161"/>
      <c r="EJ30" s="161"/>
      <c r="EK30" s="161"/>
      <c r="EL30" s="161"/>
      <c r="EM30" s="161"/>
      <c r="EN30" s="161"/>
      <c r="EO30" s="161"/>
      <c r="EP30" s="161"/>
      <c r="EQ30" s="161"/>
      <c r="ER30" s="161"/>
      <c r="ES30" s="161"/>
      <c r="ET30" s="161"/>
      <c r="EU30" s="161"/>
      <c r="EV30" s="161"/>
      <c r="EW30" s="161"/>
      <c r="EX30" s="161"/>
      <c r="EY30" s="161"/>
      <c r="EZ30" s="161"/>
      <c r="FA30" s="161"/>
      <c r="FB30" s="161"/>
      <c r="FC30" s="161"/>
      <c r="FD30" s="161"/>
      <c r="FE30" s="161"/>
      <c r="FF30" s="161"/>
    </row>
    <row r="31" spans="1:162" s="162" customFormat="1" ht="20.25" customHeight="1">
      <c r="A31" s="375"/>
      <c r="B31" s="154" t="s">
        <v>142</v>
      </c>
      <c r="C31" s="208">
        <v>126</v>
      </c>
      <c r="D31" s="160">
        <v>45757</v>
      </c>
      <c r="E31" s="160">
        <v>45761</v>
      </c>
      <c r="F31" s="208">
        <v>42</v>
      </c>
      <c r="G31" s="208">
        <v>0</v>
      </c>
      <c r="H31" s="105">
        <f t="shared" si="108"/>
        <v>42</v>
      </c>
      <c r="I31" s="208">
        <v>0</v>
      </c>
      <c r="J31" s="208">
        <v>0</v>
      </c>
      <c r="K31" s="105">
        <f t="shared" si="109"/>
        <v>42</v>
      </c>
      <c r="L31" s="208">
        <v>0</v>
      </c>
      <c r="M31" s="208">
        <v>0</v>
      </c>
      <c r="N31" s="208">
        <v>42</v>
      </c>
      <c r="O31" s="208">
        <v>9</v>
      </c>
      <c r="P31" s="208">
        <v>0</v>
      </c>
      <c r="Q31" s="208">
        <v>0</v>
      </c>
      <c r="R31" s="208">
        <v>0</v>
      </c>
      <c r="S31" s="208">
        <v>0</v>
      </c>
      <c r="T31" s="208">
        <v>74</v>
      </c>
      <c r="U31" s="208">
        <v>9</v>
      </c>
      <c r="V31" s="208">
        <v>0</v>
      </c>
      <c r="W31" s="208">
        <v>0</v>
      </c>
      <c r="X31" s="208">
        <v>0</v>
      </c>
      <c r="Y31" s="208">
        <v>0</v>
      </c>
      <c r="Z31" s="208">
        <v>5</v>
      </c>
      <c r="AA31" s="208">
        <v>1</v>
      </c>
      <c r="AB31" s="208">
        <v>0</v>
      </c>
      <c r="AC31" s="208">
        <v>1</v>
      </c>
      <c r="AD31" s="208">
        <v>0</v>
      </c>
      <c r="AE31" s="208">
        <v>33</v>
      </c>
      <c r="AF31" s="208">
        <v>3</v>
      </c>
      <c r="AG31" s="208">
        <v>2</v>
      </c>
      <c r="AH31" s="208">
        <v>0</v>
      </c>
      <c r="AI31" s="208">
        <v>0</v>
      </c>
      <c r="AJ31" s="208">
        <v>0</v>
      </c>
      <c r="AK31" s="105">
        <f t="shared" si="147"/>
        <v>33</v>
      </c>
      <c r="AL31" s="105">
        <f t="shared" si="148"/>
        <v>83</v>
      </c>
      <c r="AM31" s="105">
        <f t="shared" si="149"/>
        <v>116</v>
      </c>
      <c r="AN31" s="105">
        <f t="shared" si="150"/>
        <v>12</v>
      </c>
      <c r="AO31" s="106">
        <f t="shared" si="151"/>
        <v>21.428571428571427</v>
      </c>
      <c r="AP31" s="106">
        <f t="shared" si="152"/>
        <v>28.571428571428569</v>
      </c>
      <c r="AQ31" s="106">
        <f t="shared" si="153"/>
        <v>10.344827586206897</v>
      </c>
      <c r="AR31" s="106">
        <f t="shared" si="154"/>
        <v>28.448275862068968</v>
      </c>
      <c r="AS31" s="106">
        <f t="shared" si="155"/>
        <v>71.551724137931032</v>
      </c>
      <c r="AT31" s="106">
        <f t="shared" si="156"/>
        <v>0</v>
      </c>
      <c r="AU31" s="106">
        <f t="shared" si="157"/>
        <v>75</v>
      </c>
      <c r="AV31" s="106">
        <f t="shared" si="158"/>
        <v>0</v>
      </c>
      <c r="AW31" s="106">
        <f t="shared" si="159"/>
        <v>8.3333333333333321</v>
      </c>
      <c r="AX31" s="106">
        <f t="shared" si="160"/>
        <v>0</v>
      </c>
      <c r="AY31" s="106">
        <f t="shared" si="161"/>
        <v>16.666666666666664</v>
      </c>
      <c r="AZ31" s="106">
        <f t="shared" si="162"/>
        <v>0</v>
      </c>
      <c r="BA31" s="161"/>
      <c r="BB31" s="161"/>
      <c r="BC31" s="161"/>
      <c r="BD31" s="161"/>
      <c r="BE31" s="161"/>
      <c r="BF31" s="161"/>
      <c r="BG31" s="161"/>
      <c r="BH31" s="161"/>
      <c r="BI31" s="161"/>
      <c r="BJ31" s="161"/>
      <c r="BK31" s="161"/>
      <c r="BL31" s="161"/>
      <c r="BM31" s="161"/>
      <c r="BN31" s="161"/>
      <c r="BO31" s="161"/>
      <c r="BP31" s="161"/>
      <c r="BQ31" s="161"/>
      <c r="BR31" s="161"/>
      <c r="BS31" s="161"/>
      <c r="BT31" s="161"/>
      <c r="BU31" s="161"/>
      <c r="BV31" s="161"/>
      <c r="BW31" s="161"/>
      <c r="BX31" s="161"/>
      <c r="BY31" s="161"/>
      <c r="BZ31" s="161"/>
      <c r="CA31" s="161"/>
      <c r="CB31" s="161"/>
      <c r="CC31" s="161"/>
      <c r="CD31" s="161"/>
      <c r="CE31" s="161"/>
      <c r="CF31" s="161"/>
      <c r="CG31" s="161"/>
      <c r="CH31" s="161"/>
      <c r="CI31" s="161"/>
      <c r="CJ31" s="161"/>
      <c r="CK31" s="161"/>
      <c r="CL31" s="161"/>
      <c r="CM31" s="161"/>
      <c r="CN31" s="161"/>
      <c r="CO31" s="161"/>
      <c r="CP31" s="161"/>
      <c r="CQ31" s="161"/>
      <c r="CR31" s="161"/>
      <c r="CS31" s="161"/>
      <c r="CT31" s="161"/>
      <c r="CU31" s="161"/>
      <c r="CV31" s="161"/>
      <c r="CW31" s="161"/>
      <c r="CX31" s="161"/>
      <c r="CY31" s="161"/>
      <c r="CZ31" s="161"/>
      <c r="DA31" s="161"/>
      <c r="DB31" s="161"/>
      <c r="DC31" s="161"/>
      <c r="DD31" s="161"/>
      <c r="DE31" s="161"/>
      <c r="DF31" s="161"/>
      <c r="DG31" s="161"/>
      <c r="DH31" s="161"/>
      <c r="DI31" s="161"/>
      <c r="DJ31" s="161"/>
      <c r="DK31" s="161"/>
      <c r="DL31" s="161"/>
      <c r="DM31" s="161"/>
      <c r="DN31" s="161"/>
      <c r="DO31" s="161"/>
      <c r="DP31" s="161"/>
      <c r="DQ31" s="161"/>
      <c r="DR31" s="161"/>
      <c r="DS31" s="161"/>
      <c r="DT31" s="161"/>
      <c r="DU31" s="161"/>
      <c r="DV31" s="161"/>
      <c r="DW31" s="161"/>
      <c r="DX31" s="161"/>
      <c r="DY31" s="161"/>
      <c r="DZ31" s="161"/>
      <c r="EA31" s="161"/>
      <c r="EB31" s="161"/>
      <c r="EC31" s="161"/>
      <c r="ED31" s="161"/>
      <c r="EE31" s="161"/>
      <c r="EF31" s="161"/>
      <c r="EG31" s="161"/>
      <c r="EH31" s="161"/>
      <c r="EI31" s="161"/>
      <c r="EJ31" s="161"/>
      <c r="EK31" s="161"/>
      <c r="EL31" s="161"/>
      <c r="EM31" s="161"/>
      <c r="EN31" s="161"/>
      <c r="EO31" s="161"/>
      <c r="EP31" s="161"/>
      <c r="EQ31" s="161"/>
      <c r="ER31" s="161"/>
      <c r="ES31" s="161"/>
      <c r="ET31" s="161"/>
      <c r="EU31" s="161"/>
      <c r="EV31" s="161"/>
      <c r="EW31" s="161"/>
      <c r="EX31" s="161"/>
      <c r="EY31" s="161"/>
      <c r="EZ31" s="161"/>
      <c r="FA31" s="161"/>
      <c r="FB31" s="161"/>
      <c r="FC31" s="161"/>
      <c r="FD31" s="161"/>
      <c r="FE31" s="161"/>
      <c r="FF31" s="161"/>
    </row>
    <row r="32" spans="1:162" s="162" customFormat="1" ht="20.25" customHeight="1">
      <c r="A32" s="154" t="s">
        <v>155</v>
      </c>
      <c r="B32" s="154" t="s">
        <v>153</v>
      </c>
      <c r="C32" s="208">
        <v>158</v>
      </c>
      <c r="D32" s="160">
        <v>45776</v>
      </c>
      <c r="E32" s="160">
        <v>45777</v>
      </c>
      <c r="F32" s="208">
        <v>65</v>
      </c>
      <c r="G32" s="208">
        <v>0</v>
      </c>
      <c r="H32" s="105">
        <f t="shared" si="108"/>
        <v>65</v>
      </c>
      <c r="I32" s="208">
        <v>0</v>
      </c>
      <c r="J32" s="208">
        <v>0</v>
      </c>
      <c r="K32" s="105">
        <f t="shared" si="109"/>
        <v>65</v>
      </c>
      <c r="L32" s="208">
        <v>0</v>
      </c>
      <c r="M32" s="208">
        <v>0</v>
      </c>
      <c r="N32" s="208">
        <v>65</v>
      </c>
      <c r="O32" s="208">
        <v>17</v>
      </c>
      <c r="P32" s="208">
        <v>0</v>
      </c>
      <c r="Q32" s="208">
        <v>0</v>
      </c>
      <c r="R32" s="208">
        <v>0</v>
      </c>
      <c r="S32" s="208">
        <v>1</v>
      </c>
      <c r="T32" s="208">
        <v>73</v>
      </c>
      <c r="U32" s="208">
        <v>8</v>
      </c>
      <c r="V32" s="208">
        <v>0</v>
      </c>
      <c r="W32" s="208">
        <v>27</v>
      </c>
      <c r="X32" s="208">
        <v>6</v>
      </c>
      <c r="Y32" s="208">
        <v>0</v>
      </c>
      <c r="Z32" s="208">
        <v>16</v>
      </c>
      <c r="AA32" s="208">
        <v>4</v>
      </c>
      <c r="AB32" s="208">
        <v>0</v>
      </c>
      <c r="AC32" s="208">
        <v>29</v>
      </c>
      <c r="AD32" s="208">
        <v>16</v>
      </c>
      <c r="AE32" s="208">
        <v>38</v>
      </c>
      <c r="AF32" s="208">
        <v>45</v>
      </c>
      <c r="AG32" s="208">
        <v>13</v>
      </c>
      <c r="AH32" s="208">
        <v>0</v>
      </c>
      <c r="AI32" s="208">
        <v>0</v>
      </c>
      <c r="AJ32" s="208">
        <v>0</v>
      </c>
      <c r="AK32" s="105">
        <f t="shared" si="147"/>
        <v>39</v>
      </c>
      <c r="AL32" s="105">
        <f t="shared" si="148"/>
        <v>190</v>
      </c>
      <c r="AM32" s="105">
        <f t="shared" si="149"/>
        <v>229</v>
      </c>
      <c r="AN32" s="105">
        <f t="shared" si="150"/>
        <v>47</v>
      </c>
      <c r="AO32" s="106">
        <f t="shared" si="151"/>
        <v>26.153846153846157</v>
      </c>
      <c r="AP32" s="106">
        <f t="shared" si="152"/>
        <v>72.307692307692307</v>
      </c>
      <c r="AQ32" s="106">
        <f t="shared" si="153"/>
        <v>20.52401746724891</v>
      </c>
      <c r="AR32" s="106">
        <f t="shared" si="154"/>
        <v>17.030567685589521</v>
      </c>
      <c r="AS32" s="106">
        <f t="shared" si="155"/>
        <v>82.969432314410483</v>
      </c>
      <c r="AT32" s="106">
        <f t="shared" si="156"/>
        <v>0</v>
      </c>
      <c r="AU32" s="106">
        <f t="shared" si="157"/>
        <v>17.021276595744681</v>
      </c>
      <c r="AV32" s="106">
        <f t="shared" si="158"/>
        <v>12.76595744680851</v>
      </c>
      <c r="AW32" s="106">
        <f t="shared" si="159"/>
        <v>8.5106382978723403</v>
      </c>
      <c r="AX32" s="106">
        <f t="shared" si="160"/>
        <v>34.042553191489361</v>
      </c>
      <c r="AY32" s="106">
        <f t="shared" si="161"/>
        <v>27.659574468085108</v>
      </c>
      <c r="AZ32" s="106">
        <f t="shared" si="162"/>
        <v>0</v>
      </c>
      <c r="BA32" s="161"/>
      <c r="BB32" s="161"/>
      <c r="BC32" s="161"/>
      <c r="BD32" s="161"/>
      <c r="BE32" s="161"/>
      <c r="BF32" s="161"/>
      <c r="BG32" s="161"/>
      <c r="BH32" s="161"/>
      <c r="BI32" s="161"/>
      <c r="BJ32" s="161"/>
      <c r="BK32" s="161"/>
      <c r="BL32" s="161"/>
      <c r="BM32" s="161"/>
      <c r="BN32" s="161"/>
      <c r="BO32" s="161"/>
      <c r="BP32" s="161"/>
      <c r="BQ32" s="161"/>
      <c r="BR32" s="161"/>
      <c r="BS32" s="161"/>
      <c r="BT32" s="161"/>
      <c r="BU32" s="161"/>
      <c r="BV32" s="161"/>
      <c r="BW32" s="161"/>
      <c r="BX32" s="161"/>
      <c r="BY32" s="161"/>
      <c r="BZ32" s="161"/>
      <c r="CA32" s="161"/>
      <c r="CB32" s="161"/>
      <c r="CC32" s="161"/>
      <c r="CD32" s="161"/>
      <c r="CE32" s="161"/>
      <c r="CF32" s="161"/>
      <c r="CG32" s="161"/>
      <c r="CH32" s="161"/>
      <c r="CI32" s="161"/>
      <c r="CJ32" s="161"/>
      <c r="CK32" s="161"/>
      <c r="CL32" s="161"/>
      <c r="CM32" s="161"/>
      <c r="CN32" s="161"/>
      <c r="CO32" s="161"/>
      <c r="CP32" s="161"/>
      <c r="CQ32" s="161"/>
      <c r="CR32" s="161"/>
      <c r="CS32" s="161"/>
      <c r="CT32" s="161"/>
      <c r="CU32" s="161"/>
      <c r="CV32" s="161"/>
      <c r="CW32" s="161"/>
      <c r="CX32" s="161"/>
      <c r="CY32" s="161"/>
      <c r="CZ32" s="161"/>
      <c r="DA32" s="161"/>
      <c r="DB32" s="161"/>
      <c r="DC32" s="161"/>
      <c r="DD32" s="161"/>
      <c r="DE32" s="161"/>
      <c r="DF32" s="161"/>
      <c r="DG32" s="161"/>
      <c r="DH32" s="161"/>
      <c r="DI32" s="161"/>
      <c r="DJ32" s="161"/>
      <c r="DK32" s="161"/>
      <c r="DL32" s="161"/>
      <c r="DM32" s="161"/>
      <c r="DN32" s="161"/>
      <c r="DO32" s="161"/>
      <c r="DP32" s="161"/>
      <c r="DQ32" s="161"/>
      <c r="DR32" s="161"/>
      <c r="DS32" s="161"/>
      <c r="DT32" s="161"/>
      <c r="DU32" s="161"/>
      <c r="DV32" s="161"/>
      <c r="DW32" s="161"/>
      <c r="DX32" s="161"/>
      <c r="DY32" s="161"/>
      <c r="DZ32" s="161"/>
      <c r="EA32" s="161"/>
      <c r="EB32" s="161"/>
      <c r="EC32" s="161"/>
      <c r="ED32" s="161"/>
      <c r="EE32" s="161"/>
      <c r="EF32" s="161"/>
      <c r="EG32" s="161"/>
      <c r="EH32" s="161"/>
      <c r="EI32" s="161"/>
      <c r="EJ32" s="161"/>
      <c r="EK32" s="161"/>
      <c r="EL32" s="161"/>
      <c r="EM32" s="161"/>
      <c r="EN32" s="161"/>
      <c r="EO32" s="161"/>
      <c r="EP32" s="161"/>
      <c r="EQ32" s="161"/>
      <c r="ER32" s="161"/>
      <c r="ES32" s="161"/>
      <c r="ET32" s="161"/>
      <c r="EU32" s="161"/>
      <c r="EV32" s="161"/>
      <c r="EW32" s="161"/>
      <c r="EX32" s="161"/>
      <c r="EY32" s="161"/>
      <c r="EZ32" s="161"/>
      <c r="FA32" s="161"/>
      <c r="FB32" s="161"/>
      <c r="FC32" s="161"/>
      <c r="FD32" s="161"/>
      <c r="FE32" s="161"/>
      <c r="FF32" s="161"/>
    </row>
    <row r="33" spans="1:162" s="162" customFormat="1" ht="20.25" customHeight="1">
      <c r="A33" s="154" t="s">
        <v>158</v>
      </c>
      <c r="B33" s="198" t="s">
        <v>157</v>
      </c>
      <c r="C33" s="208">
        <v>787</v>
      </c>
      <c r="D33" s="160">
        <v>45762</v>
      </c>
      <c r="E33" s="160">
        <v>45762</v>
      </c>
      <c r="F33" s="208">
        <v>40</v>
      </c>
      <c r="G33" s="208">
        <v>0</v>
      </c>
      <c r="H33" s="105">
        <f t="shared" ref="H33:H44" si="163">F33+G33</f>
        <v>40</v>
      </c>
      <c r="I33" s="208">
        <v>0</v>
      </c>
      <c r="J33" s="208">
        <v>0</v>
      </c>
      <c r="K33" s="105">
        <f t="shared" ref="K33:K44" si="164">H33+I33+J33</f>
        <v>40</v>
      </c>
      <c r="L33" s="208">
        <v>0</v>
      </c>
      <c r="M33" s="208">
        <v>0</v>
      </c>
      <c r="N33" s="208">
        <v>40</v>
      </c>
      <c r="O33" s="208">
        <v>9</v>
      </c>
      <c r="P33" s="208">
        <v>0</v>
      </c>
      <c r="Q33" s="208">
        <v>0</v>
      </c>
      <c r="R33" s="208">
        <v>0</v>
      </c>
      <c r="S33" s="208">
        <v>0</v>
      </c>
      <c r="T33" s="208">
        <v>34</v>
      </c>
      <c r="U33" s="208">
        <v>6</v>
      </c>
      <c r="V33" s="208">
        <v>0</v>
      </c>
      <c r="W33" s="208">
        <v>4</v>
      </c>
      <c r="X33" s="208">
        <v>1</v>
      </c>
      <c r="Y33" s="208">
        <v>0</v>
      </c>
      <c r="Z33" s="208">
        <v>18</v>
      </c>
      <c r="AA33" s="208">
        <v>10</v>
      </c>
      <c r="AB33" s="208">
        <v>31</v>
      </c>
      <c r="AC33" s="208">
        <v>70</v>
      </c>
      <c r="AD33" s="208">
        <v>27</v>
      </c>
      <c r="AE33" s="208">
        <v>687</v>
      </c>
      <c r="AF33" s="208">
        <v>53</v>
      </c>
      <c r="AG33" s="208">
        <v>2</v>
      </c>
      <c r="AH33" s="208">
        <v>0</v>
      </c>
      <c r="AI33" s="208">
        <v>0</v>
      </c>
      <c r="AJ33" s="208">
        <v>0</v>
      </c>
      <c r="AK33" s="105">
        <f t="shared" si="147"/>
        <v>718</v>
      </c>
      <c r="AL33" s="105">
        <f t="shared" si="148"/>
        <v>179</v>
      </c>
      <c r="AM33" s="105">
        <f t="shared" si="149"/>
        <v>897</v>
      </c>
      <c r="AN33" s="105">
        <f t="shared" si="150"/>
        <v>46</v>
      </c>
      <c r="AO33" s="106">
        <f t="shared" si="151"/>
        <v>22.5</v>
      </c>
      <c r="AP33" s="106">
        <f t="shared" si="152"/>
        <v>114.99999999999999</v>
      </c>
      <c r="AQ33" s="106">
        <f t="shared" si="153"/>
        <v>5.1282051282051277</v>
      </c>
      <c r="AR33" s="106">
        <f t="shared" si="154"/>
        <v>80.044593088071352</v>
      </c>
      <c r="AS33" s="106">
        <f t="shared" si="155"/>
        <v>19.955406911928648</v>
      </c>
      <c r="AT33" s="106">
        <f t="shared" si="156"/>
        <v>0</v>
      </c>
      <c r="AU33" s="106">
        <f t="shared" si="157"/>
        <v>13.043478260869565</v>
      </c>
      <c r="AV33" s="106">
        <f t="shared" si="158"/>
        <v>2.1739130434782608</v>
      </c>
      <c r="AW33" s="106">
        <f t="shared" si="159"/>
        <v>21.739130434782609</v>
      </c>
      <c r="AX33" s="106">
        <f t="shared" si="160"/>
        <v>58.695652173913047</v>
      </c>
      <c r="AY33" s="106">
        <f t="shared" si="161"/>
        <v>4.3478260869565215</v>
      </c>
      <c r="AZ33" s="106">
        <f t="shared" si="162"/>
        <v>0</v>
      </c>
      <c r="BA33" s="161"/>
      <c r="BB33" s="161"/>
      <c r="BC33" s="161"/>
      <c r="BD33" s="161"/>
      <c r="BE33" s="161"/>
      <c r="BF33" s="161"/>
      <c r="BG33" s="161"/>
      <c r="BH33" s="161"/>
      <c r="BI33" s="161"/>
      <c r="BJ33" s="161"/>
      <c r="BK33" s="161"/>
      <c r="BL33" s="161"/>
      <c r="BM33" s="161"/>
      <c r="BN33" s="161"/>
      <c r="BO33" s="161"/>
      <c r="BP33" s="161"/>
      <c r="BQ33" s="161"/>
      <c r="BR33" s="161"/>
      <c r="BS33" s="161"/>
      <c r="BT33" s="161"/>
      <c r="BU33" s="161"/>
      <c r="BV33" s="161"/>
      <c r="BW33" s="161"/>
      <c r="BX33" s="161"/>
      <c r="BY33" s="161"/>
      <c r="BZ33" s="161"/>
      <c r="CA33" s="161"/>
      <c r="CB33" s="161"/>
      <c r="CC33" s="161"/>
      <c r="CD33" s="161"/>
      <c r="CE33" s="161"/>
      <c r="CF33" s="161"/>
      <c r="CG33" s="161"/>
      <c r="CH33" s="161"/>
      <c r="CI33" s="161"/>
      <c r="CJ33" s="161"/>
      <c r="CK33" s="161"/>
      <c r="CL33" s="161"/>
      <c r="CM33" s="161"/>
      <c r="CN33" s="161"/>
      <c r="CO33" s="161"/>
      <c r="CP33" s="161"/>
      <c r="CQ33" s="161"/>
      <c r="CR33" s="161"/>
      <c r="CS33" s="161"/>
      <c r="CT33" s="161"/>
      <c r="CU33" s="161"/>
      <c r="CV33" s="161"/>
      <c r="CW33" s="161"/>
      <c r="CX33" s="161"/>
      <c r="CY33" s="161"/>
      <c r="CZ33" s="161"/>
      <c r="DA33" s="161"/>
      <c r="DB33" s="161"/>
      <c r="DC33" s="161"/>
      <c r="DD33" s="161"/>
      <c r="DE33" s="161"/>
      <c r="DF33" s="161"/>
      <c r="DG33" s="161"/>
      <c r="DH33" s="161"/>
      <c r="DI33" s="161"/>
      <c r="DJ33" s="161"/>
      <c r="DK33" s="161"/>
      <c r="DL33" s="161"/>
      <c r="DM33" s="161"/>
      <c r="DN33" s="161"/>
      <c r="DO33" s="161"/>
      <c r="DP33" s="161"/>
      <c r="DQ33" s="161"/>
      <c r="DR33" s="161"/>
      <c r="DS33" s="161"/>
      <c r="DT33" s="161"/>
      <c r="DU33" s="161"/>
      <c r="DV33" s="161"/>
      <c r="DW33" s="161"/>
      <c r="DX33" s="161"/>
      <c r="DY33" s="161"/>
      <c r="DZ33" s="161"/>
      <c r="EA33" s="161"/>
      <c r="EB33" s="161"/>
      <c r="EC33" s="161"/>
      <c r="ED33" s="161"/>
      <c r="EE33" s="161"/>
      <c r="EF33" s="161"/>
      <c r="EG33" s="161"/>
      <c r="EH33" s="161"/>
      <c r="EI33" s="161"/>
      <c r="EJ33" s="161"/>
      <c r="EK33" s="161"/>
      <c r="EL33" s="161"/>
      <c r="EM33" s="161"/>
      <c r="EN33" s="161"/>
      <c r="EO33" s="161"/>
      <c r="EP33" s="161"/>
      <c r="EQ33" s="161"/>
      <c r="ER33" s="161"/>
      <c r="ES33" s="161"/>
      <c r="ET33" s="161"/>
      <c r="EU33" s="161"/>
      <c r="EV33" s="161"/>
      <c r="EW33" s="161"/>
      <c r="EX33" s="161"/>
      <c r="EY33" s="161"/>
      <c r="EZ33" s="161"/>
      <c r="FA33" s="161"/>
      <c r="FB33" s="161"/>
      <c r="FC33" s="161"/>
      <c r="FD33" s="161"/>
      <c r="FE33" s="161"/>
      <c r="FF33" s="161"/>
    </row>
    <row r="34" spans="1:162" s="67" customFormat="1" ht="20.25" customHeight="1">
      <c r="A34" s="70" t="s">
        <v>254</v>
      </c>
      <c r="B34" s="70">
        <v>6</v>
      </c>
      <c r="C34" s="71">
        <f>SUM(C30:C33)+C27</f>
        <v>1756</v>
      </c>
      <c r="D34" s="68">
        <f>MIN(D27:D33)</f>
        <v>45749</v>
      </c>
      <c r="E34" s="68">
        <f>MAX(E27:E33)</f>
        <v>45777</v>
      </c>
      <c r="F34" s="71">
        <f>SUM(F30:F33)+F27</f>
        <v>372</v>
      </c>
      <c r="G34" s="71">
        <f t="shared" ref="G34:AJ34" si="165">SUM(G30:G33)+G27</f>
        <v>0</v>
      </c>
      <c r="H34" s="71">
        <f t="shared" si="165"/>
        <v>372</v>
      </c>
      <c r="I34" s="71">
        <f t="shared" si="165"/>
        <v>0</v>
      </c>
      <c r="J34" s="71">
        <f t="shared" si="165"/>
        <v>0</v>
      </c>
      <c r="K34" s="71">
        <f t="shared" si="165"/>
        <v>372</v>
      </c>
      <c r="L34" s="71">
        <f t="shared" si="165"/>
        <v>0</v>
      </c>
      <c r="M34" s="71">
        <f t="shared" si="165"/>
        <v>0</v>
      </c>
      <c r="N34" s="71">
        <f t="shared" si="165"/>
        <v>372</v>
      </c>
      <c r="O34" s="71">
        <f t="shared" si="165"/>
        <v>112</v>
      </c>
      <c r="P34" s="71">
        <f t="shared" si="165"/>
        <v>0</v>
      </c>
      <c r="Q34" s="71">
        <f t="shared" si="165"/>
        <v>0</v>
      </c>
      <c r="R34" s="71">
        <f t="shared" si="165"/>
        <v>0</v>
      </c>
      <c r="S34" s="71">
        <f t="shared" si="165"/>
        <v>10</v>
      </c>
      <c r="T34" s="71">
        <f t="shared" si="165"/>
        <v>588</v>
      </c>
      <c r="U34" s="71">
        <f t="shared" si="165"/>
        <v>73</v>
      </c>
      <c r="V34" s="71">
        <f t="shared" si="165"/>
        <v>1</v>
      </c>
      <c r="W34" s="71">
        <f t="shared" si="165"/>
        <v>130</v>
      </c>
      <c r="X34" s="71">
        <f t="shared" si="165"/>
        <v>24</v>
      </c>
      <c r="Y34" s="71">
        <f t="shared" si="165"/>
        <v>0</v>
      </c>
      <c r="Z34" s="71">
        <f t="shared" si="165"/>
        <v>65</v>
      </c>
      <c r="AA34" s="71">
        <f t="shared" si="165"/>
        <v>26</v>
      </c>
      <c r="AB34" s="71">
        <f t="shared" si="165"/>
        <v>78</v>
      </c>
      <c r="AC34" s="71">
        <f t="shared" si="165"/>
        <v>133</v>
      </c>
      <c r="AD34" s="71">
        <f t="shared" si="165"/>
        <v>58</v>
      </c>
      <c r="AE34" s="71">
        <f t="shared" si="165"/>
        <v>946</v>
      </c>
      <c r="AF34" s="71">
        <f t="shared" si="165"/>
        <v>201</v>
      </c>
      <c r="AG34" s="71">
        <f t="shared" si="165"/>
        <v>48</v>
      </c>
      <c r="AH34" s="71">
        <f t="shared" si="165"/>
        <v>0</v>
      </c>
      <c r="AI34" s="71">
        <f t="shared" si="165"/>
        <v>0</v>
      </c>
      <c r="AJ34" s="71">
        <f t="shared" si="165"/>
        <v>0</v>
      </c>
      <c r="AK34" s="173">
        <f>P34+S34+V34+Y34+AB34+AE34+AH34</f>
        <v>1035</v>
      </c>
      <c r="AL34" s="173">
        <f>Q34+T34+W34+Z34+AC34+AF34+AI34</f>
        <v>1117</v>
      </c>
      <c r="AM34" s="173">
        <f>AK34+AL34</f>
        <v>2152</v>
      </c>
      <c r="AN34" s="173">
        <f>R34+U34+X34+AA34+AD34+AG34+AJ34</f>
        <v>229</v>
      </c>
      <c r="AO34" s="185">
        <f>O34/H34*100</f>
        <v>30.107526881720432</v>
      </c>
      <c r="AP34" s="185">
        <f t="shared" ref="AP34:AP35" si="166">AN34/H34*100</f>
        <v>61.55913978494624</v>
      </c>
      <c r="AQ34" s="185">
        <f t="shared" ref="AQ34:AQ35" si="167">AN34/AM34*100</f>
        <v>10.641263940520446</v>
      </c>
      <c r="AR34" s="174">
        <f t="shared" ref="AR34:AR36" si="168">AK34/AM34*100</f>
        <v>48.094795539033456</v>
      </c>
      <c r="AS34" s="174">
        <f t="shared" ref="AS34:AS35" si="169">AL34/AM34*100</f>
        <v>51.905204460966544</v>
      </c>
      <c r="AT34" s="174">
        <f t="shared" ref="AT34:AT35" si="170">R34/AN34*100</f>
        <v>0</v>
      </c>
      <c r="AU34" s="174">
        <f t="shared" ref="AU34:AU35" si="171">U34/AN34*100</f>
        <v>31.877729257641924</v>
      </c>
      <c r="AV34" s="174">
        <f t="shared" ref="AV34:AV35" si="172">X34/AN34*100</f>
        <v>10.480349344978166</v>
      </c>
      <c r="AW34" s="174">
        <f t="shared" ref="AW34:AW35" si="173">AA34/AN34*100</f>
        <v>11.353711790393014</v>
      </c>
      <c r="AX34" s="174">
        <f t="shared" ref="AX34:AX35" si="174">AD34/AN34*100</f>
        <v>25.327510917030565</v>
      </c>
      <c r="AY34" s="174">
        <f t="shared" ref="AY34:AY35" si="175">AG34/AN34*100</f>
        <v>20.960698689956331</v>
      </c>
      <c r="AZ34" s="174">
        <f t="shared" ref="AZ34:AZ35" si="176">AJ34/AN34*100</f>
        <v>0</v>
      </c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6"/>
      <c r="DY34" s="66"/>
      <c r="DZ34" s="66"/>
      <c r="EA34" s="66"/>
      <c r="EB34" s="66"/>
      <c r="EC34" s="66"/>
      <c r="ED34" s="66"/>
      <c r="EE34" s="66"/>
      <c r="EF34" s="66"/>
      <c r="EG34" s="66"/>
      <c r="EH34" s="66"/>
      <c r="EI34" s="66"/>
      <c r="EJ34" s="66"/>
      <c r="EK34" s="66"/>
      <c r="EL34" s="66"/>
      <c r="EM34" s="66"/>
      <c r="EN34" s="66"/>
      <c r="EO34" s="66"/>
      <c r="EP34" s="66"/>
      <c r="EQ34" s="66"/>
      <c r="ER34" s="66"/>
      <c r="ES34" s="66"/>
      <c r="ET34" s="66"/>
      <c r="EU34" s="66"/>
      <c r="EV34" s="66"/>
      <c r="EW34" s="66"/>
      <c r="EX34" s="66"/>
      <c r="EY34" s="66"/>
      <c r="EZ34" s="66"/>
      <c r="FA34" s="66"/>
      <c r="FB34" s="66"/>
      <c r="FC34" s="66"/>
      <c r="FD34" s="66"/>
      <c r="FE34" s="66"/>
      <c r="FF34" s="66"/>
    </row>
    <row r="35" spans="1:162" s="161" customFormat="1" ht="20.25" customHeight="1">
      <c r="A35" s="264" t="s">
        <v>196</v>
      </c>
      <c r="B35" s="163" t="s">
        <v>197</v>
      </c>
      <c r="C35" s="208">
        <v>215</v>
      </c>
      <c r="D35" s="160" t="s">
        <v>274</v>
      </c>
      <c r="E35" s="160">
        <v>45783</v>
      </c>
      <c r="F35" s="208">
        <v>68</v>
      </c>
      <c r="G35" s="208">
        <v>0</v>
      </c>
      <c r="H35" s="105">
        <f t="shared" si="163"/>
        <v>68</v>
      </c>
      <c r="I35" s="208">
        <v>0</v>
      </c>
      <c r="J35" s="208">
        <v>0</v>
      </c>
      <c r="K35" s="105">
        <f t="shared" si="164"/>
        <v>68</v>
      </c>
      <c r="L35" s="208">
        <v>0</v>
      </c>
      <c r="M35" s="208">
        <v>0</v>
      </c>
      <c r="N35" s="208">
        <v>68</v>
      </c>
      <c r="O35" s="208">
        <v>16</v>
      </c>
      <c r="P35" s="208">
        <v>0</v>
      </c>
      <c r="Q35" s="208">
        <v>0</v>
      </c>
      <c r="R35" s="208">
        <v>0</v>
      </c>
      <c r="S35" s="208">
        <v>0</v>
      </c>
      <c r="T35" s="208">
        <v>151</v>
      </c>
      <c r="U35" s="208">
        <v>11</v>
      </c>
      <c r="V35" s="208">
        <v>0</v>
      </c>
      <c r="W35" s="208">
        <v>26</v>
      </c>
      <c r="X35" s="208">
        <v>6</v>
      </c>
      <c r="Y35" s="208">
        <v>0</v>
      </c>
      <c r="Z35" s="208">
        <v>5</v>
      </c>
      <c r="AA35" s="208">
        <v>1</v>
      </c>
      <c r="AB35" s="208">
        <v>4</v>
      </c>
      <c r="AC35" s="208">
        <v>9</v>
      </c>
      <c r="AD35" s="208">
        <v>4</v>
      </c>
      <c r="AE35" s="208">
        <v>37</v>
      </c>
      <c r="AF35" s="208">
        <v>8</v>
      </c>
      <c r="AG35" s="208">
        <v>1</v>
      </c>
      <c r="AH35" s="208">
        <v>0</v>
      </c>
      <c r="AI35" s="208">
        <v>0</v>
      </c>
      <c r="AJ35" s="208">
        <v>0</v>
      </c>
      <c r="AK35" s="105">
        <f t="shared" ref="AK35" si="177">P35+S35+V35+Y35+AB35+AE35+AH35</f>
        <v>41</v>
      </c>
      <c r="AL35" s="105">
        <f t="shared" ref="AL35" si="178">Q35+T35+W35+Z35+AC35+AF35+AI35</f>
        <v>199</v>
      </c>
      <c r="AM35" s="105">
        <f t="shared" ref="AM35" si="179">AK35+AL35</f>
        <v>240</v>
      </c>
      <c r="AN35" s="105">
        <f t="shared" ref="AN35" si="180">R35+U35+X35+AA35+AD35+AG35+AJ35</f>
        <v>23</v>
      </c>
      <c r="AO35" s="106">
        <f t="shared" ref="AO35" si="181">O35/H35*100</f>
        <v>23.52941176470588</v>
      </c>
      <c r="AP35" s="106">
        <f t="shared" si="166"/>
        <v>33.82352941176471</v>
      </c>
      <c r="AQ35" s="106">
        <f t="shared" si="167"/>
        <v>9.5833333333333339</v>
      </c>
      <c r="AR35" s="106">
        <f t="shared" si="168"/>
        <v>17.083333333333332</v>
      </c>
      <c r="AS35" s="106">
        <f t="shared" si="169"/>
        <v>82.916666666666671</v>
      </c>
      <c r="AT35" s="106">
        <f t="shared" si="170"/>
        <v>0</v>
      </c>
      <c r="AU35" s="106">
        <f t="shared" si="171"/>
        <v>47.826086956521742</v>
      </c>
      <c r="AV35" s="106">
        <f t="shared" si="172"/>
        <v>26.086956521739129</v>
      </c>
      <c r="AW35" s="106">
        <f t="shared" si="173"/>
        <v>4.3478260869565215</v>
      </c>
      <c r="AX35" s="106">
        <f t="shared" si="174"/>
        <v>17.391304347826086</v>
      </c>
      <c r="AY35" s="106">
        <f t="shared" si="175"/>
        <v>4.3478260869565215</v>
      </c>
      <c r="AZ35" s="106">
        <f t="shared" si="176"/>
        <v>0</v>
      </c>
    </row>
    <row r="36" spans="1:162" s="162" customFormat="1" ht="20.25" customHeight="1">
      <c r="A36" s="264" t="s">
        <v>107</v>
      </c>
      <c r="B36" s="154" t="s">
        <v>142</v>
      </c>
      <c r="C36" s="208">
        <v>156</v>
      </c>
      <c r="D36" s="160">
        <v>45797</v>
      </c>
      <c r="E36" s="160">
        <v>45805</v>
      </c>
      <c r="F36" s="208">
        <v>45</v>
      </c>
      <c r="G36" s="208">
        <v>0</v>
      </c>
      <c r="H36" s="105">
        <f t="shared" si="163"/>
        <v>45</v>
      </c>
      <c r="I36" s="208">
        <v>0</v>
      </c>
      <c r="J36" s="208">
        <v>0</v>
      </c>
      <c r="K36" s="105">
        <f t="shared" si="164"/>
        <v>45</v>
      </c>
      <c r="L36" s="208">
        <v>0</v>
      </c>
      <c r="M36" s="208">
        <v>0</v>
      </c>
      <c r="N36" s="208">
        <v>45</v>
      </c>
      <c r="O36" s="208">
        <v>9</v>
      </c>
      <c r="P36" s="208">
        <v>0</v>
      </c>
      <c r="Q36" s="208">
        <v>0</v>
      </c>
      <c r="R36" s="208">
        <v>0</v>
      </c>
      <c r="S36" s="208">
        <v>0</v>
      </c>
      <c r="T36" s="208">
        <v>76</v>
      </c>
      <c r="U36" s="208">
        <v>2</v>
      </c>
      <c r="V36" s="208">
        <v>0</v>
      </c>
      <c r="W36" s="208">
        <v>24</v>
      </c>
      <c r="X36" s="208">
        <v>1</v>
      </c>
      <c r="Y36" s="208">
        <v>1</v>
      </c>
      <c r="Z36" s="208">
        <v>12</v>
      </c>
      <c r="AA36" s="208">
        <v>6</v>
      </c>
      <c r="AB36" s="208">
        <v>0</v>
      </c>
      <c r="AC36" s="208">
        <v>0</v>
      </c>
      <c r="AD36" s="208">
        <v>0</v>
      </c>
      <c r="AE36" s="208">
        <v>0</v>
      </c>
      <c r="AF36" s="208">
        <v>9</v>
      </c>
      <c r="AG36" s="208">
        <v>5</v>
      </c>
      <c r="AH36" s="208">
        <v>0</v>
      </c>
      <c r="AI36" s="208">
        <v>0</v>
      </c>
      <c r="AJ36" s="208">
        <v>0</v>
      </c>
      <c r="AK36" s="105">
        <f t="shared" ref="AK36" si="182">P36+S36+V36+Y36+AB36+AE36+AH36</f>
        <v>1</v>
      </c>
      <c r="AL36" s="105">
        <f t="shared" ref="AL36" si="183">Q36+T36+W36+Z36+AC36+AF36+AI36</f>
        <v>121</v>
      </c>
      <c r="AM36" s="105">
        <f t="shared" ref="AM36" si="184">AK36+AL36</f>
        <v>122</v>
      </c>
      <c r="AN36" s="105">
        <f t="shared" ref="AN36" si="185">R36+U36+X36+AA36+AD36+AG36+AJ36</f>
        <v>14</v>
      </c>
      <c r="AO36" s="106">
        <f t="shared" ref="AO36" si="186">O36/H36*100</f>
        <v>20</v>
      </c>
      <c r="AP36" s="106">
        <f t="shared" ref="AP36:AP37" si="187">AN36/H36*100</f>
        <v>31.111111111111111</v>
      </c>
      <c r="AQ36" s="106">
        <f t="shared" ref="AQ36:AQ37" si="188">AN36/AM36*100</f>
        <v>11.475409836065573</v>
      </c>
      <c r="AR36" s="106">
        <f t="shared" si="168"/>
        <v>0.81967213114754101</v>
      </c>
      <c r="AS36" s="106">
        <f t="shared" ref="AS36:AS38" si="189">AL36/AM36*100</f>
        <v>99.180327868852459</v>
      </c>
      <c r="AT36" s="106">
        <f t="shared" ref="AT36:AT38" si="190">R36/AN36*100</f>
        <v>0</v>
      </c>
      <c r="AU36" s="106">
        <f t="shared" ref="AU36:AU38" si="191">U36/AN36*100</f>
        <v>14.285714285714285</v>
      </c>
      <c r="AV36" s="106">
        <f t="shared" ref="AV36:AV38" si="192">X36/AN36*100</f>
        <v>7.1428571428571423</v>
      </c>
      <c r="AW36" s="106">
        <f t="shared" ref="AW36:AW38" si="193">AA36/AN36*100</f>
        <v>42.857142857142854</v>
      </c>
      <c r="AX36" s="106">
        <f t="shared" ref="AX36:AX38" si="194">AD36/AN36*100</f>
        <v>0</v>
      </c>
      <c r="AY36" s="106">
        <f t="shared" ref="AY36:AY38" si="195">AG36/AN36*100</f>
        <v>35.714285714285715</v>
      </c>
      <c r="AZ36" s="106">
        <f t="shared" ref="AZ36:AZ38" si="196">AJ36/AN36*100</f>
        <v>0</v>
      </c>
      <c r="BA36" s="161"/>
      <c r="BB36" s="161"/>
      <c r="BC36" s="161"/>
      <c r="BD36" s="161"/>
      <c r="BE36" s="161"/>
      <c r="BF36" s="161"/>
      <c r="BG36" s="161"/>
      <c r="BH36" s="161"/>
      <c r="BI36" s="161"/>
      <c r="BJ36" s="161"/>
      <c r="BK36" s="161"/>
      <c r="BL36" s="161"/>
      <c r="BM36" s="161"/>
      <c r="BN36" s="161"/>
      <c r="BO36" s="161"/>
      <c r="BP36" s="161"/>
      <c r="BQ36" s="161"/>
      <c r="BR36" s="161"/>
      <c r="BS36" s="161"/>
      <c r="BT36" s="161"/>
      <c r="BU36" s="161"/>
      <c r="BV36" s="161"/>
      <c r="BW36" s="161"/>
      <c r="BX36" s="161"/>
      <c r="BY36" s="161"/>
      <c r="BZ36" s="161"/>
      <c r="CA36" s="161"/>
      <c r="CB36" s="161"/>
      <c r="CC36" s="161"/>
      <c r="CD36" s="161"/>
      <c r="CE36" s="161"/>
      <c r="CF36" s="161"/>
      <c r="CG36" s="161"/>
      <c r="CH36" s="161"/>
      <c r="CI36" s="161"/>
      <c r="CJ36" s="161"/>
      <c r="CK36" s="161"/>
      <c r="CL36" s="161"/>
      <c r="CM36" s="161"/>
      <c r="CN36" s="161"/>
      <c r="CO36" s="161"/>
      <c r="CP36" s="161"/>
      <c r="CQ36" s="161"/>
      <c r="CR36" s="161"/>
      <c r="CS36" s="161"/>
      <c r="CT36" s="161"/>
      <c r="CU36" s="161"/>
      <c r="CV36" s="161"/>
      <c r="CW36" s="161"/>
      <c r="CX36" s="161"/>
      <c r="CY36" s="161"/>
      <c r="CZ36" s="161"/>
      <c r="DA36" s="161"/>
      <c r="DB36" s="161"/>
      <c r="DC36" s="161"/>
      <c r="DD36" s="161"/>
      <c r="DE36" s="161"/>
      <c r="DF36" s="161"/>
      <c r="DG36" s="161"/>
      <c r="DH36" s="161"/>
      <c r="DI36" s="161"/>
      <c r="DJ36" s="161"/>
      <c r="DK36" s="161"/>
      <c r="DL36" s="161"/>
      <c r="DM36" s="161"/>
      <c r="DN36" s="161"/>
      <c r="DO36" s="161"/>
      <c r="DP36" s="161"/>
      <c r="DQ36" s="161"/>
      <c r="DR36" s="161"/>
      <c r="DS36" s="161"/>
      <c r="DT36" s="161"/>
      <c r="DU36" s="161"/>
      <c r="DV36" s="161"/>
      <c r="DW36" s="161"/>
      <c r="DX36" s="161"/>
      <c r="DY36" s="161"/>
      <c r="DZ36" s="161"/>
      <c r="EA36" s="161"/>
      <c r="EB36" s="161"/>
      <c r="EC36" s="161"/>
      <c r="ED36" s="161"/>
      <c r="EE36" s="161"/>
      <c r="EF36" s="161"/>
      <c r="EG36" s="161"/>
      <c r="EH36" s="161"/>
      <c r="EI36" s="161"/>
      <c r="EJ36" s="161"/>
      <c r="EK36" s="161"/>
      <c r="EL36" s="161"/>
      <c r="EM36" s="161"/>
      <c r="EN36" s="161"/>
      <c r="EO36" s="161"/>
      <c r="EP36" s="161"/>
      <c r="EQ36" s="161"/>
      <c r="ER36" s="161"/>
      <c r="ES36" s="161"/>
      <c r="ET36" s="161"/>
      <c r="EU36" s="161"/>
      <c r="EV36" s="161"/>
      <c r="EW36" s="161"/>
      <c r="EX36" s="161"/>
      <c r="EY36" s="161"/>
      <c r="EZ36" s="161"/>
      <c r="FA36" s="161"/>
      <c r="FB36" s="161"/>
      <c r="FC36" s="161"/>
      <c r="FD36" s="161"/>
      <c r="FE36" s="161"/>
      <c r="FF36" s="161"/>
    </row>
    <row r="37" spans="1:162" s="67" customFormat="1" ht="20.25" customHeight="1">
      <c r="A37" s="70" t="s">
        <v>275</v>
      </c>
      <c r="B37" s="70">
        <v>2</v>
      </c>
      <c r="C37" s="71">
        <f>SUM(C33:C36)+C30</f>
        <v>2988</v>
      </c>
      <c r="D37" s="68">
        <f>MIN(D35:D36)</f>
        <v>45797</v>
      </c>
      <c r="E37" s="68">
        <f>MAX(E35:E36)</f>
        <v>45805</v>
      </c>
      <c r="F37" s="71">
        <f>SUM(F35:F36)</f>
        <v>113</v>
      </c>
      <c r="G37" s="71">
        <f t="shared" ref="G37:AJ37" si="197">SUM(G35:G36)</f>
        <v>0</v>
      </c>
      <c r="H37" s="71">
        <f t="shared" si="197"/>
        <v>113</v>
      </c>
      <c r="I37" s="71">
        <f t="shared" si="197"/>
        <v>0</v>
      </c>
      <c r="J37" s="71">
        <f t="shared" si="197"/>
        <v>0</v>
      </c>
      <c r="K37" s="71">
        <f t="shared" si="197"/>
        <v>113</v>
      </c>
      <c r="L37" s="71">
        <f t="shared" si="197"/>
        <v>0</v>
      </c>
      <c r="M37" s="71">
        <f t="shared" si="197"/>
        <v>0</v>
      </c>
      <c r="N37" s="71">
        <f t="shared" si="197"/>
        <v>113</v>
      </c>
      <c r="O37" s="71">
        <f t="shared" si="197"/>
        <v>25</v>
      </c>
      <c r="P37" s="71">
        <f t="shared" si="197"/>
        <v>0</v>
      </c>
      <c r="Q37" s="71">
        <f t="shared" si="197"/>
        <v>0</v>
      </c>
      <c r="R37" s="71">
        <f t="shared" si="197"/>
        <v>0</v>
      </c>
      <c r="S37" s="71">
        <f t="shared" si="197"/>
        <v>0</v>
      </c>
      <c r="T37" s="71">
        <f t="shared" si="197"/>
        <v>227</v>
      </c>
      <c r="U37" s="71">
        <f t="shared" si="197"/>
        <v>13</v>
      </c>
      <c r="V37" s="71">
        <f t="shared" si="197"/>
        <v>0</v>
      </c>
      <c r="W37" s="71">
        <f t="shared" si="197"/>
        <v>50</v>
      </c>
      <c r="X37" s="71">
        <f t="shared" si="197"/>
        <v>7</v>
      </c>
      <c r="Y37" s="71">
        <f t="shared" si="197"/>
        <v>1</v>
      </c>
      <c r="Z37" s="71">
        <f t="shared" si="197"/>
        <v>17</v>
      </c>
      <c r="AA37" s="71">
        <f t="shared" si="197"/>
        <v>7</v>
      </c>
      <c r="AB37" s="71">
        <f t="shared" si="197"/>
        <v>4</v>
      </c>
      <c r="AC37" s="71">
        <f t="shared" si="197"/>
        <v>9</v>
      </c>
      <c r="AD37" s="71">
        <f t="shared" si="197"/>
        <v>4</v>
      </c>
      <c r="AE37" s="71">
        <f t="shared" si="197"/>
        <v>37</v>
      </c>
      <c r="AF37" s="71">
        <f t="shared" si="197"/>
        <v>17</v>
      </c>
      <c r="AG37" s="71">
        <f t="shared" si="197"/>
        <v>6</v>
      </c>
      <c r="AH37" s="71">
        <f t="shared" si="197"/>
        <v>0</v>
      </c>
      <c r="AI37" s="71">
        <f t="shared" si="197"/>
        <v>0</v>
      </c>
      <c r="AJ37" s="71">
        <f t="shared" si="197"/>
        <v>0</v>
      </c>
      <c r="AK37" s="173">
        <f>P37+S37+V37+Y37+AB37+AE37+AH37</f>
        <v>42</v>
      </c>
      <c r="AL37" s="173">
        <f>Q37+T37+W37+Z37+AC37+AF37+AI37</f>
        <v>320</v>
      </c>
      <c r="AM37" s="173">
        <f>AK37+AL37</f>
        <v>362</v>
      </c>
      <c r="AN37" s="173">
        <f>R37+U37+X37+AA37+AD37+AG37+AJ37</f>
        <v>37</v>
      </c>
      <c r="AO37" s="185">
        <f>O37/H37*100</f>
        <v>22.123893805309734</v>
      </c>
      <c r="AP37" s="185">
        <f t="shared" si="187"/>
        <v>32.743362831858406</v>
      </c>
      <c r="AQ37" s="185">
        <f t="shared" si="188"/>
        <v>10.220994475138122</v>
      </c>
      <c r="AR37" s="174">
        <f>AK37/AM37*100</f>
        <v>11.602209944751381</v>
      </c>
      <c r="AS37" s="174">
        <f t="shared" si="189"/>
        <v>88.39779005524862</v>
      </c>
      <c r="AT37" s="174">
        <f t="shared" si="190"/>
        <v>0</v>
      </c>
      <c r="AU37" s="174">
        <f t="shared" si="191"/>
        <v>35.135135135135137</v>
      </c>
      <c r="AV37" s="174">
        <f t="shared" si="192"/>
        <v>18.918918918918919</v>
      </c>
      <c r="AW37" s="174">
        <f t="shared" si="193"/>
        <v>18.918918918918919</v>
      </c>
      <c r="AX37" s="174">
        <f t="shared" si="194"/>
        <v>10.810810810810811</v>
      </c>
      <c r="AY37" s="174">
        <f t="shared" si="195"/>
        <v>16.216216216216218</v>
      </c>
      <c r="AZ37" s="174">
        <f t="shared" si="196"/>
        <v>0</v>
      </c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66"/>
      <c r="EF37" s="66"/>
      <c r="EG37" s="66"/>
      <c r="EH37" s="66"/>
      <c r="EI37" s="66"/>
      <c r="EJ37" s="66"/>
      <c r="EK37" s="66"/>
      <c r="EL37" s="66"/>
      <c r="EM37" s="66"/>
      <c r="EN37" s="66"/>
      <c r="EO37" s="66"/>
      <c r="EP37" s="66"/>
      <c r="EQ37" s="66"/>
      <c r="ER37" s="66"/>
      <c r="ES37" s="66"/>
      <c r="ET37" s="66"/>
      <c r="EU37" s="66"/>
      <c r="EV37" s="66"/>
      <c r="EW37" s="66"/>
      <c r="EX37" s="66"/>
      <c r="EY37" s="66"/>
      <c r="EZ37" s="66"/>
      <c r="FA37" s="66"/>
      <c r="FB37" s="66"/>
      <c r="FC37" s="66"/>
      <c r="FD37" s="66"/>
      <c r="FE37" s="66"/>
      <c r="FF37" s="66"/>
    </row>
    <row r="38" spans="1:162" s="226" customFormat="1" ht="20.25" customHeight="1">
      <c r="A38" s="365" t="s">
        <v>107</v>
      </c>
      <c r="B38" s="281" t="s">
        <v>105</v>
      </c>
      <c r="C38" s="227">
        <f>SUM(C39:C40)</f>
        <v>548</v>
      </c>
      <c r="D38" s="221">
        <f>MIN(D39:D40)</f>
        <v>45811</v>
      </c>
      <c r="E38" s="221">
        <f>MAX(E39:E40)</f>
        <v>45834</v>
      </c>
      <c r="F38" s="227">
        <f>SUM(F39:F40)</f>
        <v>173</v>
      </c>
      <c r="G38" s="227">
        <f t="shared" ref="G38:AJ38" si="198">SUM(G39:G40)</f>
        <v>0</v>
      </c>
      <c r="H38" s="227">
        <f t="shared" si="198"/>
        <v>173</v>
      </c>
      <c r="I38" s="227">
        <f t="shared" si="198"/>
        <v>18</v>
      </c>
      <c r="J38" s="227">
        <f t="shared" si="198"/>
        <v>0</v>
      </c>
      <c r="K38" s="227">
        <f t="shared" si="198"/>
        <v>191</v>
      </c>
      <c r="L38" s="227">
        <f t="shared" si="198"/>
        <v>18</v>
      </c>
      <c r="M38" s="227">
        <f t="shared" si="198"/>
        <v>0</v>
      </c>
      <c r="N38" s="227">
        <f t="shared" si="198"/>
        <v>0</v>
      </c>
      <c r="O38" s="227">
        <f t="shared" si="198"/>
        <v>18</v>
      </c>
      <c r="P38" s="227">
        <f t="shared" si="198"/>
        <v>0</v>
      </c>
      <c r="Q38" s="227">
        <f t="shared" si="198"/>
        <v>0</v>
      </c>
      <c r="R38" s="227">
        <f t="shared" si="198"/>
        <v>0</v>
      </c>
      <c r="S38" s="227">
        <f t="shared" si="198"/>
        <v>0</v>
      </c>
      <c r="T38" s="227">
        <f t="shared" si="198"/>
        <v>253</v>
      </c>
      <c r="U38" s="227">
        <f t="shared" si="198"/>
        <v>9</v>
      </c>
      <c r="V38" s="227">
        <f t="shared" si="198"/>
        <v>0</v>
      </c>
      <c r="W38" s="227">
        <f t="shared" si="198"/>
        <v>29</v>
      </c>
      <c r="X38" s="227">
        <f t="shared" si="198"/>
        <v>7</v>
      </c>
      <c r="Y38" s="227">
        <f t="shared" si="198"/>
        <v>0</v>
      </c>
      <c r="Z38" s="227">
        <f t="shared" si="198"/>
        <v>10</v>
      </c>
      <c r="AA38" s="227">
        <f t="shared" si="198"/>
        <v>1</v>
      </c>
      <c r="AB38" s="227">
        <f t="shared" si="198"/>
        <v>4</v>
      </c>
      <c r="AC38" s="227">
        <f t="shared" si="198"/>
        <v>5</v>
      </c>
      <c r="AD38" s="227">
        <f t="shared" si="198"/>
        <v>3</v>
      </c>
      <c r="AE38" s="227">
        <f t="shared" si="198"/>
        <v>5</v>
      </c>
      <c r="AF38" s="227">
        <f t="shared" si="198"/>
        <v>1</v>
      </c>
      <c r="AG38" s="227">
        <f t="shared" si="198"/>
        <v>1</v>
      </c>
      <c r="AH38" s="227">
        <f t="shared" si="198"/>
        <v>0</v>
      </c>
      <c r="AI38" s="227">
        <f t="shared" si="198"/>
        <v>0</v>
      </c>
      <c r="AJ38" s="227">
        <f t="shared" si="198"/>
        <v>0</v>
      </c>
      <c r="AK38" s="222">
        <f>P38+S38+V38+Y38+AB38+AE38+AH38</f>
        <v>9</v>
      </c>
      <c r="AL38" s="222">
        <f>Q38+T38+W38+Z38+AC38+AF38+AI38</f>
        <v>298</v>
      </c>
      <c r="AM38" s="222">
        <f>AK38+AL38</f>
        <v>307</v>
      </c>
      <c r="AN38" s="222">
        <f>R38+U38+X38+AA38+AD38+AG38+AJ38</f>
        <v>21</v>
      </c>
      <c r="AO38" s="223">
        <f>O38/H38*100</f>
        <v>10.404624277456648</v>
      </c>
      <c r="AP38" s="223">
        <f>AN38/H38*100</f>
        <v>12.138728323699421</v>
      </c>
      <c r="AQ38" s="223">
        <f>AN38/AM38*100</f>
        <v>6.8403908794788277</v>
      </c>
      <c r="AR38" s="224">
        <f t="shared" ref="AR38" si="199">AK38/AM38*100</f>
        <v>2.9315960912052117</v>
      </c>
      <c r="AS38" s="224">
        <f t="shared" si="189"/>
        <v>97.068403908794792</v>
      </c>
      <c r="AT38" s="224">
        <f t="shared" si="190"/>
        <v>0</v>
      </c>
      <c r="AU38" s="224">
        <f t="shared" si="191"/>
        <v>42.857142857142854</v>
      </c>
      <c r="AV38" s="224">
        <f t="shared" si="192"/>
        <v>33.333333333333329</v>
      </c>
      <c r="AW38" s="224">
        <f t="shared" si="193"/>
        <v>4.7619047619047619</v>
      </c>
      <c r="AX38" s="224">
        <f t="shared" si="194"/>
        <v>14.285714285714285</v>
      </c>
      <c r="AY38" s="224">
        <f t="shared" si="195"/>
        <v>4.7619047619047619</v>
      </c>
      <c r="AZ38" s="224">
        <f t="shared" si="196"/>
        <v>0</v>
      </c>
    </row>
    <row r="39" spans="1:162" s="274" customFormat="1" ht="20.25" customHeight="1">
      <c r="A39" s="366"/>
      <c r="B39" s="275" t="s">
        <v>168</v>
      </c>
      <c r="C39" s="272">
        <v>503</v>
      </c>
      <c r="D39" s="273">
        <v>45811</v>
      </c>
      <c r="E39" s="273">
        <v>45834</v>
      </c>
      <c r="F39" s="272">
        <v>161</v>
      </c>
      <c r="G39" s="272">
        <v>0</v>
      </c>
      <c r="H39" s="105">
        <f t="shared" si="163"/>
        <v>161</v>
      </c>
      <c r="I39" s="272">
        <v>18</v>
      </c>
      <c r="J39" s="272">
        <v>0</v>
      </c>
      <c r="K39" s="105">
        <f t="shared" si="164"/>
        <v>179</v>
      </c>
      <c r="L39" s="272">
        <v>18</v>
      </c>
      <c r="M39" s="272">
        <v>0</v>
      </c>
      <c r="N39" s="272">
        <v>0</v>
      </c>
      <c r="O39" s="272">
        <v>16</v>
      </c>
      <c r="P39" s="272">
        <v>0</v>
      </c>
      <c r="Q39" s="272">
        <v>0</v>
      </c>
      <c r="R39" s="272">
        <v>0</v>
      </c>
      <c r="S39" s="272">
        <v>0</v>
      </c>
      <c r="T39" s="272">
        <v>237</v>
      </c>
      <c r="U39" s="272">
        <v>8</v>
      </c>
      <c r="V39" s="272">
        <v>0</v>
      </c>
      <c r="W39" s="272">
        <v>29</v>
      </c>
      <c r="X39" s="272">
        <v>7</v>
      </c>
      <c r="Y39" s="272">
        <v>0</v>
      </c>
      <c r="Z39" s="272">
        <v>1</v>
      </c>
      <c r="AA39" s="272">
        <v>0</v>
      </c>
      <c r="AB39" s="272">
        <v>4</v>
      </c>
      <c r="AC39" s="272">
        <v>5</v>
      </c>
      <c r="AD39" s="272">
        <v>3</v>
      </c>
      <c r="AE39" s="272">
        <v>5</v>
      </c>
      <c r="AF39" s="272">
        <v>1</v>
      </c>
      <c r="AG39" s="272">
        <v>1</v>
      </c>
      <c r="AH39" s="272">
        <v>0</v>
      </c>
      <c r="AI39" s="272">
        <v>0</v>
      </c>
      <c r="AJ39" s="272">
        <v>0</v>
      </c>
      <c r="AK39" s="105">
        <f t="shared" ref="AK39" si="200">P39+S39+V39+Y39+AB39+AE39+AH39</f>
        <v>9</v>
      </c>
      <c r="AL39" s="105">
        <f t="shared" ref="AL39" si="201">Q39+T39+W39+Z39+AC39+AF39+AI39</f>
        <v>273</v>
      </c>
      <c r="AM39" s="105">
        <f t="shared" ref="AM39" si="202">AK39+AL39</f>
        <v>282</v>
      </c>
      <c r="AN39" s="105">
        <f t="shared" ref="AN39" si="203">R39+U39+X39+AA39+AD39+AG39+AJ39</f>
        <v>19</v>
      </c>
      <c r="AO39" s="106">
        <f t="shared" ref="AO39" si="204">O39/H39*100</f>
        <v>9.9378881987577632</v>
      </c>
      <c r="AP39" s="106">
        <f t="shared" ref="AP39" si="205">AN39/H39*100</f>
        <v>11.801242236024844</v>
      </c>
      <c r="AQ39" s="106">
        <f t="shared" ref="AQ39" si="206">AN39/AM39*100</f>
        <v>6.7375886524822697</v>
      </c>
      <c r="AR39" s="106">
        <f t="shared" ref="AR39" si="207">AK39/AM39*100</f>
        <v>3.1914893617021276</v>
      </c>
      <c r="AS39" s="106">
        <f t="shared" ref="AS39" si="208">AL39/AM39*100</f>
        <v>96.808510638297875</v>
      </c>
      <c r="AT39" s="106">
        <f t="shared" ref="AT39" si="209">R39/AN39*100</f>
        <v>0</v>
      </c>
      <c r="AU39" s="106">
        <f t="shared" ref="AU39" si="210">U39/AN39*100</f>
        <v>42.105263157894733</v>
      </c>
      <c r="AV39" s="106">
        <f t="shared" ref="AV39" si="211">X39/AN39*100</f>
        <v>36.84210526315789</v>
      </c>
      <c r="AW39" s="106">
        <f t="shared" ref="AW39" si="212">AA39/AN39*100</f>
        <v>0</v>
      </c>
      <c r="AX39" s="106">
        <f t="shared" ref="AX39" si="213">AD39/AN39*100</f>
        <v>15.789473684210526</v>
      </c>
      <c r="AY39" s="106">
        <f t="shared" ref="AY39" si="214">AG39/AN39*100</f>
        <v>5.2631578947368416</v>
      </c>
      <c r="AZ39" s="106">
        <f t="shared" ref="AZ39" si="215">AJ39/AN39*100</f>
        <v>0</v>
      </c>
    </row>
    <row r="40" spans="1:162" s="274" customFormat="1" ht="20.25" customHeight="1">
      <c r="A40" s="367"/>
      <c r="B40" s="275" t="s">
        <v>210</v>
      </c>
      <c r="C40" s="272">
        <v>45</v>
      </c>
      <c r="D40" s="273">
        <v>45819</v>
      </c>
      <c r="E40" s="273">
        <v>45819</v>
      </c>
      <c r="F40" s="272">
        <v>12</v>
      </c>
      <c r="G40" s="272">
        <v>0</v>
      </c>
      <c r="H40" s="105">
        <f t="shared" si="163"/>
        <v>12</v>
      </c>
      <c r="I40" s="272">
        <v>0</v>
      </c>
      <c r="J40" s="272">
        <v>0</v>
      </c>
      <c r="K40" s="105">
        <f t="shared" si="164"/>
        <v>12</v>
      </c>
      <c r="L40" s="272">
        <v>0</v>
      </c>
      <c r="M40" s="272">
        <v>0</v>
      </c>
      <c r="N40" s="272">
        <v>0</v>
      </c>
      <c r="O40" s="272">
        <v>2</v>
      </c>
      <c r="P40" s="272">
        <v>0</v>
      </c>
      <c r="Q40" s="272">
        <v>0</v>
      </c>
      <c r="R40" s="272">
        <v>0</v>
      </c>
      <c r="S40" s="272">
        <v>0</v>
      </c>
      <c r="T40" s="272">
        <v>16</v>
      </c>
      <c r="U40" s="272">
        <v>1</v>
      </c>
      <c r="V40" s="272">
        <v>0</v>
      </c>
      <c r="W40" s="272">
        <v>0</v>
      </c>
      <c r="X40" s="272">
        <v>0</v>
      </c>
      <c r="Y40" s="272">
        <v>0</v>
      </c>
      <c r="Z40" s="272">
        <v>9</v>
      </c>
      <c r="AA40" s="272">
        <v>1</v>
      </c>
      <c r="AB40" s="272">
        <v>0</v>
      </c>
      <c r="AC40" s="272">
        <v>0</v>
      </c>
      <c r="AD40" s="272">
        <v>0</v>
      </c>
      <c r="AE40" s="272">
        <v>0</v>
      </c>
      <c r="AF40" s="272">
        <v>0</v>
      </c>
      <c r="AG40" s="272">
        <v>0</v>
      </c>
      <c r="AH40" s="272">
        <v>0</v>
      </c>
      <c r="AI40" s="272">
        <v>0</v>
      </c>
      <c r="AJ40" s="272">
        <v>0</v>
      </c>
      <c r="AK40" s="105">
        <f t="shared" ref="AK40" si="216">P40+S40+V40+Y40+AB40+AE40+AH40</f>
        <v>0</v>
      </c>
      <c r="AL40" s="105">
        <f t="shared" ref="AL40" si="217">Q40+T40+W40+Z40+AC40+AF40+AI40</f>
        <v>25</v>
      </c>
      <c r="AM40" s="105">
        <f t="shared" ref="AM40" si="218">AK40+AL40</f>
        <v>25</v>
      </c>
      <c r="AN40" s="105">
        <f t="shared" ref="AN40" si="219">R40+U40+X40+AA40+AD40+AG40+AJ40</f>
        <v>2</v>
      </c>
      <c r="AO40" s="106">
        <f t="shared" ref="AO40" si="220">O40/H40*100</f>
        <v>16.666666666666664</v>
      </c>
      <c r="AP40" s="106">
        <f t="shared" ref="AP40:AP41" si="221">AN40/H40*100</f>
        <v>16.666666666666664</v>
      </c>
      <c r="AQ40" s="106">
        <f t="shared" ref="AQ40:AQ41" si="222">AN40/AM40*100</f>
        <v>8</v>
      </c>
      <c r="AR40" s="106">
        <f t="shared" ref="AR40" si="223">AK40/AM40*100</f>
        <v>0</v>
      </c>
      <c r="AS40" s="106">
        <f t="shared" ref="AS40:AS42" si="224">AL40/AM40*100</f>
        <v>100</v>
      </c>
      <c r="AT40" s="106">
        <f t="shared" ref="AT40:AT42" si="225">R40/AN40*100</f>
        <v>0</v>
      </c>
      <c r="AU40" s="106">
        <f t="shared" ref="AU40:AU42" si="226">U40/AN40*100</f>
        <v>50</v>
      </c>
      <c r="AV40" s="106">
        <f t="shared" ref="AV40:AV42" si="227">X40/AN40*100</f>
        <v>0</v>
      </c>
      <c r="AW40" s="106">
        <f t="shared" ref="AW40:AW42" si="228">AA40/AN40*100</f>
        <v>50</v>
      </c>
      <c r="AX40" s="106">
        <f t="shared" ref="AX40:AX42" si="229">AD40/AN40*100</f>
        <v>0</v>
      </c>
      <c r="AY40" s="106">
        <f t="shared" ref="AY40:AY42" si="230">AG40/AN40*100</f>
        <v>0</v>
      </c>
      <c r="AZ40" s="106">
        <f t="shared" ref="AZ40:AZ42" si="231">AJ40/AN40*100</f>
        <v>0</v>
      </c>
    </row>
    <row r="41" spans="1:162" s="67" customFormat="1" ht="20.25" customHeight="1">
      <c r="A41" s="70" t="s">
        <v>287</v>
      </c>
      <c r="B41" s="70">
        <v>2</v>
      </c>
      <c r="C41" s="71">
        <f>C38</f>
        <v>548</v>
      </c>
      <c r="D41" s="68">
        <f>MIN(D38:D40)</f>
        <v>45811</v>
      </c>
      <c r="E41" s="68">
        <f>MAX(E38:E40)</f>
        <v>45834</v>
      </c>
      <c r="F41" s="71">
        <f>F38</f>
        <v>173</v>
      </c>
      <c r="G41" s="71">
        <f t="shared" ref="G41:AJ41" si="232">G38</f>
        <v>0</v>
      </c>
      <c r="H41" s="71">
        <f t="shared" si="232"/>
        <v>173</v>
      </c>
      <c r="I41" s="71">
        <f t="shared" si="232"/>
        <v>18</v>
      </c>
      <c r="J41" s="71">
        <f t="shared" si="232"/>
        <v>0</v>
      </c>
      <c r="K41" s="71">
        <f t="shared" si="232"/>
        <v>191</v>
      </c>
      <c r="L41" s="71">
        <f t="shared" si="232"/>
        <v>18</v>
      </c>
      <c r="M41" s="71">
        <f t="shared" si="232"/>
        <v>0</v>
      </c>
      <c r="N41" s="71">
        <f t="shared" si="232"/>
        <v>0</v>
      </c>
      <c r="O41" s="71">
        <f t="shared" si="232"/>
        <v>18</v>
      </c>
      <c r="P41" s="71">
        <f t="shared" si="232"/>
        <v>0</v>
      </c>
      <c r="Q41" s="71">
        <f t="shared" si="232"/>
        <v>0</v>
      </c>
      <c r="R41" s="71">
        <f t="shared" si="232"/>
        <v>0</v>
      </c>
      <c r="S41" s="71">
        <f t="shared" si="232"/>
        <v>0</v>
      </c>
      <c r="T41" s="71">
        <f t="shared" si="232"/>
        <v>253</v>
      </c>
      <c r="U41" s="71">
        <f t="shared" si="232"/>
        <v>9</v>
      </c>
      <c r="V41" s="71">
        <f t="shared" si="232"/>
        <v>0</v>
      </c>
      <c r="W41" s="71">
        <f t="shared" si="232"/>
        <v>29</v>
      </c>
      <c r="X41" s="71">
        <f t="shared" si="232"/>
        <v>7</v>
      </c>
      <c r="Y41" s="71">
        <f t="shared" si="232"/>
        <v>0</v>
      </c>
      <c r="Z41" s="71">
        <f t="shared" si="232"/>
        <v>10</v>
      </c>
      <c r="AA41" s="71">
        <f t="shared" si="232"/>
        <v>1</v>
      </c>
      <c r="AB41" s="71">
        <f t="shared" si="232"/>
        <v>4</v>
      </c>
      <c r="AC41" s="71">
        <f t="shared" si="232"/>
        <v>5</v>
      </c>
      <c r="AD41" s="71">
        <f t="shared" si="232"/>
        <v>3</v>
      </c>
      <c r="AE41" s="71">
        <f t="shared" si="232"/>
        <v>5</v>
      </c>
      <c r="AF41" s="71">
        <f t="shared" si="232"/>
        <v>1</v>
      </c>
      <c r="AG41" s="71">
        <f t="shared" si="232"/>
        <v>1</v>
      </c>
      <c r="AH41" s="71">
        <f t="shared" si="232"/>
        <v>0</v>
      </c>
      <c r="AI41" s="71">
        <f t="shared" si="232"/>
        <v>0</v>
      </c>
      <c r="AJ41" s="71">
        <f t="shared" si="232"/>
        <v>0</v>
      </c>
      <c r="AK41" s="173">
        <f>P41+S41+V41+Y41+AB41+AE41+AH41</f>
        <v>9</v>
      </c>
      <c r="AL41" s="173">
        <f>Q41+T41+W41+Z41+AC41+AF41+AI41</f>
        <v>298</v>
      </c>
      <c r="AM41" s="173">
        <f>AK41+AL41</f>
        <v>307</v>
      </c>
      <c r="AN41" s="173">
        <f>R41+U41+X41+AA41+AD41+AG41+AJ41</f>
        <v>21</v>
      </c>
      <c r="AO41" s="185">
        <f>O41/H41*100</f>
        <v>10.404624277456648</v>
      </c>
      <c r="AP41" s="185">
        <f t="shared" si="221"/>
        <v>12.138728323699421</v>
      </c>
      <c r="AQ41" s="185">
        <f t="shared" si="222"/>
        <v>6.8403908794788277</v>
      </c>
      <c r="AR41" s="174">
        <f>AK41/AM41*100</f>
        <v>2.9315960912052117</v>
      </c>
      <c r="AS41" s="174">
        <f t="shared" si="224"/>
        <v>97.068403908794792</v>
      </c>
      <c r="AT41" s="174">
        <f t="shared" si="225"/>
        <v>0</v>
      </c>
      <c r="AU41" s="174">
        <f t="shared" si="226"/>
        <v>42.857142857142854</v>
      </c>
      <c r="AV41" s="174">
        <f t="shared" si="227"/>
        <v>33.333333333333329</v>
      </c>
      <c r="AW41" s="174">
        <f t="shared" si="228"/>
        <v>4.7619047619047619</v>
      </c>
      <c r="AX41" s="174">
        <f t="shared" si="229"/>
        <v>14.285714285714285</v>
      </c>
      <c r="AY41" s="174">
        <f t="shared" si="230"/>
        <v>4.7619047619047619</v>
      </c>
      <c r="AZ41" s="174">
        <f t="shared" si="231"/>
        <v>0</v>
      </c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/>
      <c r="DL41" s="66"/>
      <c r="DM41" s="66"/>
      <c r="DN41" s="66"/>
      <c r="DO41" s="66"/>
      <c r="DP41" s="66"/>
      <c r="DQ41" s="66"/>
      <c r="DR41" s="66"/>
      <c r="DS41" s="66"/>
      <c r="DT41" s="66"/>
      <c r="DU41" s="66"/>
      <c r="DV41" s="66"/>
      <c r="DW41" s="66"/>
      <c r="DX41" s="66"/>
      <c r="DY41" s="66"/>
      <c r="DZ41" s="66"/>
      <c r="EA41" s="66"/>
      <c r="EB41" s="66"/>
      <c r="EC41" s="66"/>
      <c r="ED41" s="66"/>
      <c r="EE41" s="66"/>
      <c r="EF41" s="66"/>
      <c r="EG41" s="66"/>
      <c r="EH41" s="66"/>
      <c r="EI41" s="66"/>
      <c r="EJ41" s="66"/>
      <c r="EK41" s="66"/>
      <c r="EL41" s="66"/>
      <c r="EM41" s="66"/>
      <c r="EN41" s="66"/>
      <c r="EO41" s="66"/>
      <c r="EP41" s="66"/>
      <c r="EQ41" s="66"/>
      <c r="ER41" s="66"/>
      <c r="ES41" s="66"/>
      <c r="ET41" s="66"/>
      <c r="EU41" s="66"/>
      <c r="EV41" s="66"/>
      <c r="EW41" s="66"/>
      <c r="EX41" s="66"/>
      <c r="EY41" s="66"/>
      <c r="EZ41" s="66"/>
      <c r="FA41" s="66"/>
      <c r="FB41" s="66"/>
      <c r="FC41" s="66"/>
      <c r="FD41" s="66"/>
      <c r="FE41" s="66"/>
      <c r="FF41" s="66"/>
    </row>
    <row r="42" spans="1:162" s="67" customFormat="1" ht="20.25" customHeight="1">
      <c r="A42" s="365" t="s">
        <v>107</v>
      </c>
      <c r="B42" s="281" t="s">
        <v>105</v>
      </c>
      <c r="C42" s="227">
        <f>SUM(C43:C44)</f>
        <v>662</v>
      </c>
      <c r="D42" s="221">
        <f>MIN(D43:D44)</f>
        <v>45842</v>
      </c>
      <c r="E42" s="221">
        <f>MAX(E43:E44)</f>
        <v>45869</v>
      </c>
      <c r="F42" s="227">
        <f>SUM(F43:F44)</f>
        <v>230</v>
      </c>
      <c r="G42" s="227">
        <f t="shared" ref="G42:AJ42" si="233">SUM(G43:G44)</f>
        <v>0</v>
      </c>
      <c r="H42" s="227">
        <f t="shared" si="233"/>
        <v>230</v>
      </c>
      <c r="I42" s="227">
        <f t="shared" si="233"/>
        <v>0</v>
      </c>
      <c r="J42" s="227">
        <f t="shared" si="233"/>
        <v>0</v>
      </c>
      <c r="K42" s="227">
        <f t="shared" si="233"/>
        <v>230</v>
      </c>
      <c r="L42" s="227">
        <f t="shared" si="233"/>
        <v>0</v>
      </c>
      <c r="M42" s="227">
        <f t="shared" si="233"/>
        <v>0</v>
      </c>
      <c r="N42" s="227">
        <f t="shared" si="233"/>
        <v>0</v>
      </c>
      <c r="O42" s="227">
        <f t="shared" si="233"/>
        <v>21</v>
      </c>
      <c r="P42" s="227">
        <f t="shared" si="233"/>
        <v>0</v>
      </c>
      <c r="Q42" s="227">
        <f t="shared" si="233"/>
        <v>0</v>
      </c>
      <c r="R42" s="227">
        <f t="shared" si="233"/>
        <v>0</v>
      </c>
      <c r="S42" s="227">
        <f t="shared" si="233"/>
        <v>1</v>
      </c>
      <c r="T42" s="227">
        <f t="shared" si="233"/>
        <v>364</v>
      </c>
      <c r="U42" s="227">
        <f t="shared" si="233"/>
        <v>15</v>
      </c>
      <c r="V42" s="227">
        <f t="shared" si="233"/>
        <v>0</v>
      </c>
      <c r="W42" s="227">
        <f t="shared" si="233"/>
        <v>74</v>
      </c>
      <c r="X42" s="227">
        <f t="shared" si="233"/>
        <v>2</v>
      </c>
      <c r="Y42" s="227">
        <f t="shared" si="233"/>
        <v>3</v>
      </c>
      <c r="Z42" s="227">
        <f t="shared" si="233"/>
        <v>6</v>
      </c>
      <c r="AA42" s="227">
        <f t="shared" si="233"/>
        <v>1</v>
      </c>
      <c r="AB42" s="227">
        <f t="shared" si="233"/>
        <v>27</v>
      </c>
      <c r="AC42" s="227">
        <f t="shared" si="233"/>
        <v>12</v>
      </c>
      <c r="AD42" s="227">
        <f t="shared" si="233"/>
        <v>4</v>
      </c>
      <c r="AE42" s="227">
        <f t="shared" si="233"/>
        <v>19</v>
      </c>
      <c r="AF42" s="227">
        <f t="shared" si="233"/>
        <v>1</v>
      </c>
      <c r="AG42" s="227">
        <f t="shared" si="233"/>
        <v>1</v>
      </c>
      <c r="AH42" s="227">
        <f t="shared" si="233"/>
        <v>0</v>
      </c>
      <c r="AI42" s="227">
        <f t="shared" si="233"/>
        <v>0</v>
      </c>
      <c r="AJ42" s="227">
        <f t="shared" si="233"/>
        <v>0</v>
      </c>
      <c r="AK42" s="222">
        <f>P42+S42+V42+Y42+AB42+AE42+AH42</f>
        <v>50</v>
      </c>
      <c r="AL42" s="222">
        <f>Q42+T42+W42+Z42+AC42+AF42+AI42</f>
        <v>457</v>
      </c>
      <c r="AM42" s="222">
        <f>AK42+AL42</f>
        <v>507</v>
      </c>
      <c r="AN42" s="222">
        <f>R42+U42+X42+AA42+AD42+AG42+AJ42</f>
        <v>23</v>
      </c>
      <c r="AO42" s="223">
        <f>O42/H42*100</f>
        <v>9.1304347826086953</v>
      </c>
      <c r="AP42" s="223">
        <f>AN42/H42*100</f>
        <v>10</v>
      </c>
      <c r="AQ42" s="223">
        <f>AN42/AM42*100</f>
        <v>4.5364891518737673</v>
      </c>
      <c r="AR42" s="224">
        <f t="shared" ref="AR42" si="234">AK42/AM42*100</f>
        <v>9.8619329388560164</v>
      </c>
      <c r="AS42" s="224">
        <f t="shared" si="224"/>
        <v>90.138067061143985</v>
      </c>
      <c r="AT42" s="224">
        <f t="shared" si="225"/>
        <v>0</v>
      </c>
      <c r="AU42" s="224">
        <f t="shared" si="226"/>
        <v>65.217391304347828</v>
      </c>
      <c r="AV42" s="224">
        <f t="shared" si="227"/>
        <v>8.695652173913043</v>
      </c>
      <c r="AW42" s="224">
        <f t="shared" si="228"/>
        <v>4.3478260869565215</v>
      </c>
      <c r="AX42" s="224">
        <f t="shared" si="229"/>
        <v>17.391304347826086</v>
      </c>
      <c r="AY42" s="224">
        <f t="shared" si="230"/>
        <v>4.3478260869565215</v>
      </c>
      <c r="AZ42" s="224">
        <f t="shared" si="231"/>
        <v>0</v>
      </c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66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66"/>
      <c r="EF42" s="66"/>
      <c r="EG42" s="66"/>
      <c r="EH42" s="66"/>
      <c r="EI42" s="66"/>
      <c r="EJ42" s="66"/>
      <c r="EK42" s="66"/>
      <c r="EL42" s="66"/>
      <c r="EM42" s="66"/>
      <c r="EN42" s="66"/>
      <c r="EO42" s="66"/>
      <c r="EP42" s="66"/>
      <c r="EQ42" s="66"/>
      <c r="ER42" s="66"/>
      <c r="ES42" s="66"/>
      <c r="ET42" s="66"/>
      <c r="EU42" s="66"/>
      <c r="EV42" s="66"/>
      <c r="EW42" s="66"/>
      <c r="EX42" s="66"/>
      <c r="EY42" s="66"/>
      <c r="EZ42" s="66"/>
      <c r="FA42" s="66"/>
      <c r="FB42" s="66"/>
      <c r="FC42" s="66"/>
      <c r="FD42" s="66"/>
      <c r="FE42" s="66"/>
      <c r="FF42" s="66"/>
    </row>
    <row r="43" spans="1:162" s="274" customFormat="1" ht="20.25" customHeight="1">
      <c r="A43" s="366"/>
      <c r="B43" s="275" t="s">
        <v>132</v>
      </c>
      <c r="C43" s="272">
        <v>455</v>
      </c>
      <c r="D43" s="273">
        <v>45842</v>
      </c>
      <c r="E43" s="273">
        <v>45856</v>
      </c>
      <c r="F43" s="272">
        <v>157</v>
      </c>
      <c r="G43" s="272">
        <v>0</v>
      </c>
      <c r="H43" s="105">
        <f t="shared" si="163"/>
        <v>157</v>
      </c>
      <c r="I43" s="272">
        <v>0</v>
      </c>
      <c r="J43" s="272">
        <v>0</v>
      </c>
      <c r="K43" s="105">
        <f t="shared" si="164"/>
        <v>157</v>
      </c>
      <c r="L43" s="272">
        <v>0</v>
      </c>
      <c r="M43" s="272">
        <v>0</v>
      </c>
      <c r="N43" s="272">
        <v>0</v>
      </c>
      <c r="O43" s="272">
        <v>13</v>
      </c>
      <c r="P43" s="272">
        <v>0</v>
      </c>
      <c r="Q43" s="272">
        <v>0</v>
      </c>
      <c r="R43" s="272">
        <v>0</v>
      </c>
      <c r="S43" s="272">
        <v>1</v>
      </c>
      <c r="T43" s="272">
        <v>266</v>
      </c>
      <c r="U43" s="272">
        <v>9</v>
      </c>
      <c r="V43" s="272">
        <v>0</v>
      </c>
      <c r="W43" s="272">
        <v>42</v>
      </c>
      <c r="X43" s="272">
        <v>1</v>
      </c>
      <c r="Y43" s="272">
        <v>0</v>
      </c>
      <c r="Z43" s="272">
        <v>0</v>
      </c>
      <c r="AA43" s="272">
        <v>0</v>
      </c>
      <c r="AB43" s="272">
        <v>3</v>
      </c>
      <c r="AC43" s="272">
        <v>6</v>
      </c>
      <c r="AD43" s="272">
        <v>3</v>
      </c>
      <c r="AE43" s="272">
        <v>18</v>
      </c>
      <c r="AF43" s="272">
        <v>1</v>
      </c>
      <c r="AG43" s="272">
        <v>1</v>
      </c>
      <c r="AH43" s="272">
        <v>0</v>
      </c>
      <c r="AI43" s="272">
        <v>0</v>
      </c>
      <c r="AJ43" s="272">
        <v>0</v>
      </c>
      <c r="AK43" s="105">
        <f t="shared" ref="AK43" si="235">P43+S43+V43+Y43+AB43+AE43+AH43</f>
        <v>22</v>
      </c>
      <c r="AL43" s="105">
        <f t="shared" ref="AL43" si="236">Q43+T43+W43+Z43+AC43+AF43+AI43</f>
        <v>315</v>
      </c>
      <c r="AM43" s="105">
        <f t="shared" ref="AM43" si="237">AK43+AL43</f>
        <v>337</v>
      </c>
      <c r="AN43" s="105">
        <f t="shared" ref="AN43" si="238">R43+U43+X43+AA43+AD43+AG43+AJ43</f>
        <v>14</v>
      </c>
      <c r="AO43" s="106">
        <f t="shared" ref="AO43" si="239">O43/H43*100</f>
        <v>8.2802547770700627</v>
      </c>
      <c r="AP43" s="106">
        <f t="shared" ref="AP43" si="240">AN43/H43*100</f>
        <v>8.9171974522292992</v>
      </c>
      <c r="AQ43" s="106">
        <f t="shared" ref="AQ43" si="241">AN43/AM43*100</f>
        <v>4.154302670623145</v>
      </c>
      <c r="AR43" s="106">
        <f t="shared" ref="AR43" si="242">AK43/AM43*100</f>
        <v>6.5281899109792292</v>
      </c>
      <c r="AS43" s="106">
        <f t="shared" ref="AS43" si="243">AL43/AM43*100</f>
        <v>93.471810089020764</v>
      </c>
      <c r="AT43" s="106">
        <f t="shared" ref="AT43" si="244">R43/AN43*100</f>
        <v>0</v>
      </c>
      <c r="AU43" s="106">
        <f t="shared" ref="AU43" si="245">U43/AN43*100</f>
        <v>64.285714285714292</v>
      </c>
      <c r="AV43" s="106">
        <f t="shared" ref="AV43" si="246">X43/AN43*100</f>
        <v>7.1428571428571423</v>
      </c>
      <c r="AW43" s="106">
        <f t="shared" ref="AW43" si="247">AA43/AN43*100</f>
        <v>0</v>
      </c>
      <c r="AX43" s="106">
        <f t="shared" ref="AX43" si="248">AD43/AN43*100</f>
        <v>21.428571428571427</v>
      </c>
      <c r="AY43" s="106">
        <f t="shared" ref="AY43" si="249">AG43/AN43*100</f>
        <v>7.1428571428571423</v>
      </c>
      <c r="AZ43" s="106">
        <f t="shared" ref="AZ43" si="250">AJ43/AN43*100</f>
        <v>0</v>
      </c>
    </row>
    <row r="44" spans="1:162" s="274" customFormat="1" ht="20.25" customHeight="1">
      <c r="A44" s="367"/>
      <c r="B44" s="275" t="s">
        <v>210</v>
      </c>
      <c r="C44" s="272">
        <v>207</v>
      </c>
      <c r="D44" s="273">
        <v>45863</v>
      </c>
      <c r="E44" s="273">
        <v>45869</v>
      </c>
      <c r="F44" s="272">
        <v>73</v>
      </c>
      <c r="G44" s="272">
        <v>0</v>
      </c>
      <c r="H44" s="272">
        <f t="shared" si="163"/>
        <v>73</v>
      </c>
      <c r="I44" s="272">
        <v>0</v>
      </c>
      <c r="J44" s="272">
        <v>0</v>
      </c>
      <c r="K44" s="272">
        <f t="shared" si="164"/>
        <v>73</v>
      </c>
      <c r="L44" s="272">
        <v>0</v>
      </c>
      <c r="M44" s="272">
        <v>0</v>
      </c>
      <c r="N44" s="272">
        <v>0</v>
      </c>
      <c r="O44" s="272">
        <v>8</v>
      </c>
      <c r="P44" s="272">
        <v>0</v>
      </c>
      <c r="Q44" s="272">
        <v>0</v>
      </c>
      <c r="R44" s="272">
        <v>0</v>
      </c>
      <c r="S44" s="272">
        <v>0</v>
      </c>
      <c r="T44" s="272">
        <v>98</v>
      </c>
      <c r="U44" s="272">
        <v>6</v>
      </c>
      <c r="V44" s="272">
        <v>0</v>
      </c>
      <c r="W44" s="272">
        <v>32</v>
      </c>
      <c r="X44" s="272">
        <v>1</v>
      </c>
      <c r="Y44" s="272">
        <v>3</v>
      </c>
      <c r="Z44" s="272">
        <v>6</v>
      </c>
      <c r="AA44" s="272">
        <v>1</v>
      </c>
      <c r="AB44" s="272">
        <v>24</v>
      </c>
      <c r="AC44" s="272">
        <v>6</v>
      </c>
      <c r="AD44" s="272">
        <v>1</v>
      </c>
      <c r="AE44" s="272">
        <v>1</v>
      </c>
      <c r="AF44" s="272">
        <v>0</v>
      </c>
      <c r="AG44" s="272">
        <v>0</v>
      </c>
      <c r="AH44" s="272">
        <v>0</v>
      </c>
      <c r="AI44" s="272">
        <v>0</v>
      </c>
      <c r="AJ44" s="272">
        <v>0</v>
      </c>
      <c r="AK44" s="105">
        <f t="shared" ref="AK44" si="251">P44+S44+V44+Y44+AB44+AE44+AH44</f>
        <v>28</v>
      </c>
      <c r="AL44" s="105">
        <f t="shared" ref="AL44" si="252">Q44+T44+W44+Z44+AC44+AF44+AI44</f>
        <v>142</v>
      </c>
      <c r="AM44" s="105">
        <f t="shared" ref="AM44" si="253">AK44+AL44</f>
        <v>170</v>
      </c>
      <c r="AN44" s="105">
        <f t="shared" ref="AN44" si="254">R44+U44+X44+AA44+AD44+AG44+AJ44</f>
        <v>9</v>
      </c>
      <c r="AO44" s="106">
        <f t="shared" ref="AO44" si="255">O44/H44*100</f>
        <v>10.95890410958904</v>
      </c>
      <c r="AP44" s="106">
        <f t="shared" ref="AP44:AP45" si="256">AN44/H44*100</f>
        <v>12.328767123287671</v>
      </c>
      <c r="AQ44" s="106">
        <f t="shared" ref="AQ44:AQ45" si="257">AN44/AM44*100</f>
        <v>5.2941176470588234</v>
      </c>
      <c r="AR44" s="106">
        <f t="shared" ref="AR44" si="258">AK44/AM44*100</f>
        <v>16.470588235294116</v>
      </c>
      <c r="AS44" s="106">
        <f t="shared" ref="AS44:AS46" si="259">AL44/AM44*100</f>
        <v>83.529411764705884</v>
      </c>
      <c r="AT44" s="106">
        <f t="shared" ref="AT44:AT46" si="260">R44/AN44*100</f>
        <v>0</v>
      </c>
      <c r="AU44" s="106">
        <f t="shared" ref="AU44:AU46" si="261">U44/AN44*100</f>
        <v>66.666666666666657</v>
      </c>
      <c r="AV44" s="106">
        <f t="shared" ref="AV44:AV46" si="262">X44/AN44*100</f>
        <v>11.111111111111111</v>
      </c>
      <c r="AW44" s="106">
        <f t="shared" ref="AW44:AW46" si="263">AA44/AN44*100</f>
        <v>11.111111111111111</v>
      </c>
      <c r="AX44" s="106">
        <f t="shared" ref="AX44:AX46" si="264">AD44/AN44*100</f>
        <v>11.111111111111111</v>
      </c>
      <c r="AY44" s="106">
        <f t="shared" ref="AY44:AY46" si="265">AG44/AN44*100</f>
        <v>0</v>
      </c>
      <c r="AZ44" s="106">
        <f t="shared" ref="AZ44:AZ46" si="266">AJ44/AN44*100</f>
        <v>0</v>
      </c>
    </row>
    <row r="45" spans="1:162" s="67" customFormat="1" ht="20.25" customHeight="1">
      <c r="A45" s="70" t="s">
        <v>288</v>
      </c>
      <c r="B45" s="70">
        <v>2</v>
      </c>
      <c r="C45" s="71">
        <f>C42</f>
        <v>662</v>
      </c>
      <c r="D45" s="68">
        <f>MIN(D43:D44)</f>
        <v>45842</v>
      </c>
      <c r="E45" s="68">
        <f>MAX(E43:E44)</f>
        <v>45869</v>
      </c>
      <c r="F45" s="71">
        <f>F42</f>
        <v>230</v>
      </c>
      <c r="G45" s="71">
        <f t="shared" ref="G45:AJ45" si="267">G42</f>
        <v>0</v>
      </c>
      <c r="H45" s="71">
        <f t="shared" si="267"/>
        <v>230</v>
      </c>
      <c r="I45" s="71">
        <f t="shared" si="267"/>
        <v>0</v>
      </c>
      <c r="J45" s="71">
        <f t="shared" si="267"/>
        <v>0</v>
      </c>
      <c r="K45" s="71">
        <f t="shared" si="267"/>
        <v>230</v>
      </c>
      <c r="L45" s="71">
        <f t="shared" si="267"/>
        <v>0</v>
      </c>
      <c r="M45" s="71">
        <f t="shared" si="267"/>
        <v>0</v>
      </c>
      <c r="N45" s="71">
        <f t="shared" si="267"/>
        <v>0</v>
      </c>
      <c r="O45" s="71">
        <f t="shared" si="267"/>
        <v>21</v>
      </c>
      <c r="P45" s="71">
        <f t="shared" si="267"/>
        <v>0</v>
      </c>
      <c r="Q45" s="71">
        <f t="shared" si="267"/>
        <v>0</v>
      </c>
      <c r="R45" s="71">
        <f t="shared" si="267"/>
        <v>0</v>
      </c>
      <c r="S45" s="71">
        <f t="shared" si="267"/>
        <v>1</v>
      </c>
      <c r="T45" s="71">
        <f t="shared" si="267"/>
        <v>364</v>
      </c>
      <c r="U45" s="71">
        <f t="shared" si="267"/>
        <v>15</v>
      </c>
      <c r="V45" s="71">
        <f t="shared" si="267"/>
        <v>0</v>
      </c>
      <c r="W45" s="71">
        <f t="shared" si="267"/>
        <v>74</v>
      </c>
      <c r="X45" s="71">
        <f t="shared" si="267"/>
        <v>2</v>
      </c>
      <c r="Y45" s="71">
        <f t="shared" si="267"/>
        <v>3</v>
      </c>
      <c r="Z45" s="71">
        <f t="shared" si="267"/>
        <v>6</v>
      </c>
      <c r="AA45" s="71">
        <f t="shared" si="267"/>
        <v>1</v>
      </c>
      <c r="AB45" s="71">
        <f t="shared" si="267"/>
        <v>27</v>
      </c>
      <c r="AC45" s="71">
        <f t="shared" si="267"/>
        <v>12</v>
      </c>
      <c r="AD45" s="71">
        <f t="shared" si="267"/>
        <v>4</v>
      </c>
      <c r="AE45" s="71">
        <f t="shared" si="267"/>
        <v>19</v>
      </c>
      <c r="AF45" s="71">
        <f t="shared" si="267"/>
        <v>1</v>
      </c>
      <c r="AG45" s="71">
        <f t="shared" si="267"/>
        <v>1</v>
      </c>
      <c r="AH45" s="71">
        <f t="shared" si="267"/>
        <v>0</v>
      </c>
      <c r="AI45" s="71">
        <f t="shared" si="267"/>
        <v>0</v>
      </c>
      <c r="AJ45" s="71">
        <f t="shared" si="267"/>
        <v>0</v>
      </c>
      <c r="AK45" s="173">
        <f>P45+S45+V45+Y45+AB45+AE45+AH45</f>
        <v>50</v>
      </c>
      <c r="AL45" s="173">
        <f>Q45+T45+W45+Z45+AC45+AF45+AI45</f>
        <v>457</v>
      </c>
      <c r="AM45" s="173">
        <f>AK45+AL45</f>
        <v>507</v>
      </c>
      <c r="AN45" s="173">
        <f>R45+U45+X45+AA45+AD45+AG45+AJ45</f>
        <v>23</v>
      </c>
      <c r="AO45" s="185">
        <f>O45/H45*100</f>
        <v>9.1304347826086953</v>
      </c>
      <c r="AP45" s="185">
        <f t="shared" si="256"/>
        <v>10</v>
      </c>
      <c r="AQ45" s="185">
        <f t="shared" si="257"/>
        <v>4.5364891518737673</v>
      </c>
      <c r="AR45" s="174">
        <f>AK45/AM45*100</f>
        <v>9.8619329388560164</v>
      </c>
      <c r="AS45" s="174">
        <f t="shared" si="259"/>
        <v>90.138067061143985</v>
      </c>
      <c r="AT45" s="174">
        <f t="shared" si="260"/>
        <v>0</v>
      </c>
      <c r="AU45" s="174">
        <f t="shared" si="261"/>
        <v>65.217391304347828</v>
      </c>
      <c r="AV45" s="174">
        <f t="shared" si="262"/>
        <v>8.695652173913043</v>
      </c>
      <c r="AW45" s="174">
        <f t="shared" si="263"/>
        <v>4.3478260869565215</v>
      </c>
      <c r="AX45" s="174">
        <f t="shared" si="264"/>
        <v>17.391304347826086</v>
      </c>
      <c r="AY45" s="174">
        <f t="shared" si="265"/>
        <v>4.3478260869565215</v>
      </c>
      <c r="AZ45" s="174">
        <f t="shared" si="266"/>
        <v>0</v>
      </c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66"/>
      <c r="DS45" s="66"/>
      <c r="DT45" s="66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66"/>
      <c r="EF45" s="66"/>
      <c r="EG45" s="66"/>
      <c r="EH45" s="66"/>
      <c r="EI45" s="66"/>
      <c r="EJ45" s="66"/>
      <c r="EK45" s="66"/>
      <c r="EL45" s="66"/>
      <c r="EM45" s="66"/>
      <c r="EN45" s="66"/>
      <c r="EO45" s="66"/>
      <c r="EP45" s="66"/>
      <c r="EQ45" s="66"/>
      <c r="ER45" s="66"/>
      <c r="ES45" s="66"/>
      <c r="ET45" s="66"/>
      <c r="EU45" s="66"/>
      <c r="EV45" s="66"/>
      <c r="EW45" s="66"/>
      <c r="EX45" s="66"/>
      <c r="EY45" s="66"/>
      <c r="EZ45" s="66"/>
      <c r="FA45" s="66"/>
      <c r="FB45" s="66"/>
      <c r="FC45" s="66"/>
      <c r="FD45" s="66"/>
      <c r="FE45" s="66"/>
      <c r="FF45" s="66"/>
    </row>
    <row r="46" spans="1:162" s="67" customFormat="1" ht="20.25" customHeight="1">
      <c r="A46" s="368" t="s">
        <v>107</v>
      </c>
      <c r="B46" s="281" t="s">
        <v>105</v>
      </c>
      <c r="C46" s="227">
        <f>C47</f>
        <v>401</v>
      </c>
      <c r="D46" s="221">
        <f>D47</f>
        <v>45873</v>
      </c>
      <c r="E46" s="221">
        <f>E47</f>
        <v>45888</v>
      </c>
      <c r="F46" s="227">
        <f>F47</f>
        <v>114</v>
      </c>
      <c r="G46" s="227">
        <f t="shared" ref="G46:AJ46" si="268">G47</f>
        <v>0</v>
      </c>
      <c r="H46" s="227">
        <f t="shared" si="268"/>
        <v>114</v>
      </c>
      <c r="I46" s="227">
        <f t="shared" si="268"/>
        <v>0</v>
      </c>
      <c r="J46" s="227">
        <f t="shared" si="268"/>
        <v>0</v>
      </c>
      <c r="K46" s="227">
        <f t="shared" si="268"/>
        <v>114</v>
      </c>
      <c r="L46" s="227">
        <f t="shared" si="268"/>
        <v>0</v>
      </c>
      <c r="M46" s="227">
        <f t="shared" si="268"/>
        <v>0</v>
      </c>
      <c r="N46" s="227">
        <f t="shared" si="268"/>
        <v>114</v>
      </c>
      <c r="O46" s="227">
        <f t="shared" si="268"/>
        <v>6</v>
      </c>
      <c r="P46" s="227">
        <f t="shared" si="268"/>
        <v>0</v>
      </c>
      <c r="Q46" s="227">
        <f t="shared" si="268"/>
        <v>0</v>
      </c>
      <c r="R46" s="227">
        <f t="shared" si="268"/>
        <v>0</v>
      </c>
      <c r="S46" s="227">
        <f t="shared" si="268"/>
        <v>1</v>
      </c>
      <c r="T46" s="227">
        <f t="shared" si="268"/>
        <v>231</v>
      </c>
      <c r="U46" s="227">
        <f t="shared" si="268"/>
        <v>7</v>
      </c>
      <c r="V46" s="227">
        <f t="shared" si="268"/>
        <v>0</v>
      </c>
      <c r="W46" s="227">
        <f t="shared" si="268"/>
        <v>13</v>
      </c>
      <c r="X46" s="227">
        <f t="shared" si="268"/>
        <v>0</v>
      </c>
      <c r="Y46" s="227">
        <f t="shared" si="268"/>
        <v>0</v>
      </c>
      <c r="Z46" s="227">
        <f t="shared" si="268"/>
        <v>1</v>
      </c>
      <c r="AA46" s="227">
        <f t="shared" si="268"/>
        <v>0</v>
      </c>
      <c r="AB46" s="227">
        <f t="shared" si="268"/>
        <v>9</v>
      </c>
      <c r="AC46" s="227">
        <f t="shared" si="268"/>
        <v>9</v>
      </c>
      <c r="AD46" s="227">
        <f t="shared" si="268"/>
        <v>0</v>
      </c>
      <c r="AE46" s="227">
        <f t="shared" si="268"/>
        <v>0</v>
      </c>
      <c r="AF46" s="227">
        <f t="shared" si="268"/>
        <v>5</v>
      </c>
      <c r="AG46" s="227">
        <f t="shared" si="268"/>
        <v>0</v>
      </c>
      <c r="AH46" s="227">
        <f t="shared" si="268"/>
        <v>0</v>
      </c>
      <c r="AI46" s="227">
        <f t="shared" si="268"/>
        <v>0</v>
      </c>
      <c r="AJ46" s="227">
        <f t="shared" si="268"/>
        <v>0</v>
      </c>
      <c r="AK46" s="227">
        <f>P46+S46+V46+Y46+AB46+AE46+AH46</f>
        <v>10</v>
      </c>
      <c r="AL46" s="227">
        <f>Q46+T46+W46+Z46+AC46+AF46+AI46</f>
        <v>259</v>
      </c>
      <c r="AM46" s="222">
        <f>AK46+AL46</f>
        <v>269</v>
      </c>
      <c r="AN46" s="227">
        <f>R46+U46+X46+AA46+AD46+AG46+AJ46</f>
        <v>7</v>
      </c>
      <c r="AO46" s="223">
        <f>O46/H46*100</f>
        <v>5.2631578947368416</v>
      </c>
      <c r="AP46" s="223">
        <f>AN46/H46*100</f>
        <v>6.140350877192982</v>
      </c>
      <c r="AQ46" s="223">
        <f>AN46/AM46*100</f>
        <v>2.6022304832713754</v>
      </c>
      <c r="AR46" s="224">
        <f t="shared" ref="AR46" si="269">AK46/AM46*100</f>
        <v>3.7174721189591078</v>
      </c>
      <c r="AS46" s="224">
        <f t="shared" si="259"/>
        <v>96.282527881040892</v>
      </c>
      <c r="AT46" s="224">
        <f t="shared" si="260"/>
        <v>0</v>
      </c>
      <c r="AU46" s="224">
        <f t="shared" si="261"/>
        <v>100</v>
      </c>
      <c r="AV46" s="224">
        <f t="shared" si="262"/>
        <v>0</v>
      </c>
      <c r="AW46" s="224">
        <f t="shared" si="263"/>
        <v>0</v>
      </c>
      <c r="AX46" s="224">
        <f t="shared" si="264"/>
        <v>0</v>
      </c>
      <c r="AY46" s="224">
        <f t="shared" si="265"/>
        <v>0</v>
      </c>
      <c r="AZ46" s="224">
        <f t="shared" si="266"/>
        <v>0</v>
      </c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6"/>
      <c r="CF46" s="66"/>
      <c r="CG46" s="66"/>
      <c r="CH46" s="66"/>
      <c r="CI46" s="66"/>
      <c r="CJ46" s="66"/>
      <c r="CK46" s="66"/>
      <c r="CL46" s="66"/>
      <c r="CM46" s="66"/>
      <c r="CN46" s="66"/>
      <c r="CO46" s="66"/>
      <c r="CP46" s="66"/>
      <c r="CQ46" s="66"/>
      <c r="CR46" s="66"/>
      <c r="CS46" s="66"/>
      <c r="CT46" s="66"/>
      <c r="CU46" s="66"/>
      <c r="CV46" s="66"/>
      <c r="CW46" s="66"/>
      <c r="CX46" s="66"/>
      <c r="CY46" s="66"/>
      <c r="CZ46" s="66"/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6"/>
      <c r="DL46" s="66"/>
      <c r="DM46" s="66"/>
      <c r="DN46" s="66"/>
      <c r="DO46" s="66"/>
      <c r="DP46" s="66"/>
      <c r="DQ46" s="66"/>
      <c r="DR46" s="66"/>
      <c r="DS46" s="66"/>
      <c r="DT46" s="66"/>
      <c r="DU46" s="66"/>
      <c r="DV46" s="66"/>
      <c r="DW46" s="66"/>
      <c r="DX46" s="66"/>
      <c r="DY46" s="66"/>
      <c r="DZ46" s="66"/>
      <c r="EA46" s="66"/>
      <c r="EB46" s="66"/>
      <c r="EC46" s="66"/>
      <c r="ED46" s="66"/>
      <c r="EE46" s="66"/>
      <c r="EF46" s="66"/>
      <c r="EG46" s="66"/>
      <c r="EH46" s="66"/>
      <c r="EI46" s="66"/>
      <c r="EJ46" s="66"/>
      <c r="EK46" s="66"/>
      <c r="EL46" s="66"/>
      <c r="EM46" s="66"/>
      <c r="EN46" s="66"/>
      <c r="EO46" s="66"/>
      <c r="EP46" s="66"/>
      <c r="EQ46" s="66"/>
      <c r="ER46" s="66"/>
      <c r="ES46" s="66"/>
      <c r="ET46" s="66"/>
      <c r="EU46" s="66"/>
      <c r="EV46" s="66"/>
      <c r="EW46" s="66"/>
      <c r="EX46" s="66"/>
      <c r="EY46" s="66"/>
      <c r="EZ46" s="66"/>
      <c r="FA46" s="66"/>
      <c r="FB46" s="66"/>
      <c r="FC46" s="66"/>
      <c r="FD46" s="66"/>
      <c r="FE46" s="66"/>
      <c r="FF46" s="66"/>
    </row>
    <row r="47" spans="1:162" s="161" customFormat="1" ht="20.25" customHeight="1">
      <c r="A47" s="369"/>
      <c r="B47" s="275" t="s">
        <v>210</v>
      </c>
      <c r="C47" s="208">
        <v>401</v>
      </c>
      <c r="D47" s="160">
        <v>45873</v>
      </c>
      <c r="E47" s="160">
        <v>45888</v>
      </c>
      <c r="F47" s="208">
        <v>114</v>
      </c>
      <c r="G47" s="208">
        <v>0</v>
      </c>
      <c r="H47" s="208">
        <v>114</v>
      </c>
      <c r="I47" s="208">
        <v>0</v>
      </c>
      <c r="J47" s="208">
        <v>0</v>
      </c>
      <c r="K47" s="272">
        <f t="shared" ref="K47" si="270">H47+I47+J47</f>
        <v>114</v>
      </c>
      <c r="L47" s="208">
        <v>0</v>
      </c>
      <c r="M47" s="208">
        <v>0</v>
      </c>
      <c r="N47" s="208">
        <v>114</v>
      </c>
      <c r="O47" s="208">
        <v>6</v>
      </c>
      <c r="P47" s="208">
        <v>0</v>
      </c>
      <c r="Q47" s="208">
        <v>0</v>
      </c>
      <c r="R47" s="208">
        <v>0</v>
      </c>
      <c r="S47" s="208">
        <v>1</v>
      </c>
      <c r="T47" s="208">
        <v>231</v>
      </c>
      <c r="U47" s="208">
        <v>7</v>
      </c>
      <c r="V47" s="208">
        <v>0</v>
      </c>
      <c r="W47" s="208">
        <v>13</v>
      </c>
      <c r="X47" s="208">
        <v>0</v>
      </c>
      <c r="Y47" s="208">
        <v>0</v>
      </c>
      <c r="Z47" s="208">
        <v>1</v>
      </c>
      <c r="AA47" s="208">
        <v>0</v>
      </c>
      <c r="AB47" s="208">
        <v>9</v>
      </c>
      <c r="AC47" s="208">
        <v>9</v>
      </c>
      <c r="AD47" s="208">
        <v>0</v>
      </c>
      <c r="AE47" s="208">
        <v>0</v>
      </c>
      <c r="AF47" s="208">
        <v>5</v>
      </c>
      <c r="AG47" s="208">
        <v>0</v>
      </c>
      <c r="AH47" s="208">
        <v>0</v>
      </c>
      <c r="AI47" s="208">
        <v>0</v>
      </c>
      <c r="AJ47" s="208">
        <v>0</v>
      </c>
      <c r="AK47" s="105">
        <f t="shared" ref="AK47:AL47" si="271">P47+S47+V47+Y47+AB47+AE47+AH47</f>
        <v>10</v>
      </c>
      <c r="AL47" s="105">
        <f t="shared" si="271"/>
        <v>259</v>
      </c>
      <c r="AM47" s="105">
        <f t="shared" ref="AM47" si="272">AK47+AL47</f>
        <v>269</v>
      </c>
      <c r="AN47" s="105">
        <f t="shared" ref="AN47" si="273">R47+U47+X47+AA47+AD47+AG47+AJ47</f>
        <v>7</v>
      </c>
      <c r="AO47" s="106">
        <f t="shared" ref="AO47" si="274">O47/H47*100</f>
        <v>5.2631578947368416</v>
      </c>
      <c r="AP47" s="106">
        <f t="shared" ref="AP47:AP48" si="275">AN47/H47*100</f>
        <v>6.140350877192982</v>
      </c>
      <c r="AQ47" s="106">
        <f t="shared" ref="AQ47:AQ48" si="276">AN47/AM47*100</f>
        <v>2.6022304832713754</v>
      </c>
      <c r="AR47" s="106">
        <f t="shared" ref="AR47" si="277">AK47/AM47*100</f>
        <v>3.7174721189591078</v>
      </c>
      <c r="AS47" s="106">
        <f t="shared" ref="AS47:AS52" si="278">AL47/AM47*100</f>
        <v>96.282527881040892</v>
      </c>
      <c r="AT47" s="106">
        <f t="shared" ref="AT47:AT52" si="279">R47/AN47*100</f>
        <v>0</v>
      </c>
      <c r="AU47" s="106">
        <f t="shared" ref="AU47:AU52" si="280">U47/AN47*100</f>
        <v>100</v>
      </c>
      <c r="AV47" s="106">
        <f t="shared" ref="AV47:AV52" si="281">X47/AN47*100</f>
        <v>0</v>
      </c>
      <c r="AW47" s="106">
        <f t="shared" ref="AW47:AW52" si="282">AA47/AN47*100</f>
        <v>0</v>
      </c>
      <c r="AX47" s="106">
        <f t="shared" ref="AX47:AX52" si="283">AD47/AN47*100</f>
        <v>0</v>
      </c>
      <c r="AY47" s="106">
        <f t="shared" ref="AY47:AY52" si="284">AG47/AN47*100</f>
        <v>0</v>
      </c>
      <c r="AZ47" s="106">
        <f t="shared" ref="AZ47:AZ52" si="285">AJ47/AN47*100</f>
        <v>0</v>
      </c>
    </row>
    <row r="48" spans="1:162" s="67" customFormat="1" ht="20.25" customHeight="1">
      <c r="A48" s="70" t="s">
        <v>289</v>
      </c>
      <c r="B48" s="70">
        <v>1</v>
      </c>
      <c r="C48" s="71">
        <f>C46</f>
        <v>401</v>
      </c>
      <c r="D48" s="68">
        <f>D46</f>
        <v>45873</v>
      </c>
      <c r="E48" s="68">
        <f>E46</f>
        <v>45888</v>
      </c>
      <c r="F48" s="71">
        <f>F46</f>
        <v>114</v>
      </c>
      <c r="G48" s="71">
        <f t="shared" ref="G48:AJ48" si="286">G46</f>
        <v>0</v>
      </c>
      <c r="H48" s="71">
        <f t="shared" si="286"/>
        <v>114</v>
      </c>
      <c r="I48" s="71">
        <f t="shared" si="286"/>
        <v>0</v>
      </c>
      <c r="J48" s="71">
        <f t="shared" si="286"/>
        <v>0</v>
      </c>
      <c r="K48" s="71">
        <f t="shared" si="286"/>
        <v>114</v>
      </c>
      <c r="L48" s="71">
        <f t="shared" si="286"/>
        <v>0</v>
      </c>
      <c r="M48" s="71">
        <f t="shared" si="286"/>
        <v>0</v>
      </c>
      <c r="N48" s="71">
        <f t="shared" si="286"/>
        <v>114</v>
      </c>
      <c r="O48" s="71">
        <f t="shared" si="286"/>
        <v>6</v>
      </c>
      <c r="P48" s="71">
        <f t="shared" si="286"/>
        <v>0</v>
      </c>
      <c r="Q48" s="71">
        <f t="shared" si="286"/>
        <v>0</v>
      </c>
      <c r="R48" s="71">
        <f t="shared" si="286"/>
        <v>0</v>
      </c>
      <c r="S48" s="71">
        <f t="shared" si="286"/>
        <v>1</v>
      </c>
      <c r="T48" s="71">
        <f t="shared" si="286"/>
        <v>231</v>
      </c>
      <c r="U48" s="71">
        <f t="shared" si="286"/>
        <v>7</v>
      </c>
      <c r="V48" s="71">
        <f t="shared" si="286"/>
        <v>0</v>
      </c>
      <c r="W48" s="71">
        <f t="shared" si="286"/>
        <v>13</v>
      </c>
      <c r="X48" s="71">
        <f t="shared" si="286"/>
        <v>0</v>
      </c>
      <c r="Y48" s="71">
        <f t="shared" si="286"/>
        <v>0</v>
      </c>
      <c r="Z48" s="71">
        <f t="shared" si="286"/>
        <v>1</v>
      </c>
      <c r="AA48" s="71">
        <f t="shared" si="286"/>
        <v>0</v>
      </c>
      <c r="AB48" s="71">
        <f t="shared" si="286"/>
        <v>9</v>
      </c>
      <c r="AC48" s="71">
        <f t="shared" si="286"/>
        <v>9</v>
      </c>
      <c r="AD48" s="71">
        <f t="shared" si="286"/>
        <v>0</v>
      </c>
      <c r="AE48" s="71">
        <f t="shared" si="286"/>
        <v>0</v>
      </c>
      <c r="AF48" s="71">
        <f t="shared" si="286"/>
        <v>5</v>
      </c>
      <c r="AG48" s="71">
        <f t="shared" si="286"/>
        <v>0</v>
      </c>
      <c r="AH48" s="71">
        <f t="shared" si="286"/>
        <v>0</v>
      </c>
      <c r="AI48" s="71">
        <f t="shared" si="286"/>
        <v>0</v>
      </c>
      <c r="AJ48" s="71">
        <f t="shared" si="286"/>
        <v>0</v>
      </c>
      <c r="AK48" s="173">
        <f>P48+S48+V48+Y48+AB48+AE48+AH48</f>
        <v>10</v>
      </c>
      <c r="AL48" s="173">
        <f>Q48+T48+W48+Z48+AC48+AF48+AI48</f>
        <v>259</v>
      </c>
      <c r="AM48" s="173">
        <f>AK48+AL48</f>
        <v>269</v>
      </c>
      <c r="AN48" s="173">
        <f>R48+U48+X48+AA48+AD48+AG48+AJ48</f>
        <v>7</v>
      </c>
      <c r="AO48" s="185">
        <f>O48/H48*100</f>
        <v>5.2631578947368416</v>
      </c>
      <c r="AP48" s="185">
        <f t="shared" si="275"/>
        <v>6.140350877192982</v>
      </c>
      <c r="AQ48" s="185">
        <f t="shared" si="276"/>
        <v>2.6022304832713754</v>
      </c>
      <c r="AR48" s="174">
        <f>AK48/AM48*100</f>
        <v>3.7174721189591078</v>
      </c>
      <c r="AS48" s="174">
        <f t="shared" si="278"/>
        <v>96.282527881040892</v>
      </c>
      <c r="AT48" s="174">
        <f t="shared" si="279"/>
        <v>0</v>
      </c>
      <c r="AU48" s="174">
        <f t="shared" si="280"/>
        <v>100</v>
      </c>
      <c r="AV48" s="174">
        <f t="shared" si="281"/>
        <v>0</v>
      </c>
      <c r="AW48" s="174">
        <f t="shared" si="282"/>
        <v>0</v>
      </c>
      <c r="AX48" s="174">
        <f t="shared" si="283"/>
        <v>0</v>
      </c>
      <c r="AY48" s="174">
        <f t="shared" si="284"/>
        <v>0</v>
      </c>
      <c r="AZ48" s="174">
        <f t="shared" si="285"/>
        <v>0</v>
      </c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  <c r="EX48" s="66"/>
      <c r="EY48" s="66"/>
      <c r="EZ48" s="66"/>
      <c r="FA48" s="66"/>
      <c r="FB48" s="66"/>
      <c r="FC48" s="66"/>
      <c r="FD48" s="66"/>
      <c r="FE48" s="66"/>
      <c r="FF48" s="66"/>
    </row>
    <row r="49" spans="1:162" s="67" customFormat="1" ht="20.25" customHeight="1">
      <c r="A49" s="368" t="s">
        <v>196</v>
      </c>
      <c r="B49" s="281" t="s">
        <v>105</v>
      </c>
      <c r="C49" s="227">
        <f>C50</f>
        <v>322</v>
      </c>
      <c r="D49" s="221">
        <f>D50</f>
        <v>45916</v>
      </c>
      <c r="E49" s="221">
        <f>E50</f>
        <v>45918</v>
      </c>
      <c r="F49" s="227">
        <f>F50</f>
        <v>115</v>
      </c>
      <c r="G49" s="227">
        <f t="shared" ref="G49:AJ49" si="287">G50</f>
        <v>0</v>
      </c>
      <c r="H49" s="227">
        <f t="shared" si="287"/>
        <v>115</v>
      </c>
      <c r="I49" s="227">
        <f t="shared" si="287"/>
        <v>0</v>
      </c>
      <c r="J49" s="227">
        <f t="shared" si="287"/>
        <v>0</v>
      </c>
      <c r="K49" s="227">
        <f t="shared" si="287"/>
        <v>115</v>
      </c>
      <c r="L49" s="227">
        <f t="shared" si="287"/>
        <v>0</v>
      </c>
      <c r="M49" s="227">
        <f t="shared" si="287"/>
        <v>0</v>
      </c>
      <c r="N49" s="227">
        <f t="shared" si="287"/>
        <v>115</v>
      </c>
      <c r="O49" s="227">
        <f t="shared" si="287"/>
        <v>0</v>
      </c>
      <c r="P49" s="227">
        <f t="shared" si="287"/>
        <v>0</v>
      </c>
      <c r="Q49" s="227">
        <f t="shared" si="287"/>
        <v>5</v>
      </c>
      <c r="R49" s="227">
        <f t="shared" si="287"/>
        <v>0</v>
      </c>
      <c r="S49" s="227">
        <f t="shared" si="287"/>
        <v>51</v>
      </c>
      <c r="T49" s="227">
        <f t="shared" si="287"/>
        <v>101</v>
      </c>
      <c r="U49" s="227">
        <f t="shared" si="287"/>
        <v>0</v>
      </c>
      <c r="V49" s="227">
        <f t="shared" si="287"/>
        <v>8</v>
      </c>
      <c r="W49" s="227">
        <f t="shared" si="287"/>
        <v>0</v>
      </c>
      <c r="X49" s="227">
        <f t="shared" si="287"/>
        <v>0</v>
      </c>
      <c r="Y49" s="227">
        <f t="shared" si="287"/>
        <v>0</v>
      </c>
      <c r="Z49" s="227">
        <f t="shared" si="287"/>
        <v>0</v>
      </c>
      <c r="AA49" s="227">
        <f t="shared" si="287"/>
        <v>0</v>
      </c>
      <c r="AB49" s="227">
        <f t="shared" si="287"/>
        <v>0</v>
      </c>
      <c r="AC49" s="227">
        <f t="shared" si="287"/>
        <v>0</v>
      </c>
      <c r="AD49" s="227">
        <f t="shared" si="287"/>
        <v>0</v>
      </c>
      <c r="AE49" s="227">
        <f t="shared" si="287"/>
        <v>42</v>
      </c>
      <c r="AF49" s="227">
        <f t="shared" si="287"/>
        <v>0</v>
      </c>
      <c r="AG49" s="227">
        <f t="shared" si="287"/>
        <v>0</v>
      </c>
      <c r="AH49" s="227">
        <f t="shared" si="287"/>
        <v>0</v>
      </c>
      <c r="AI49" s="227">
        <f t="shared" si="287"/>
        <v>0</v>
      </c>
      <c r="AJ49" s="227">
        <f t="shared" si="287"/>
        <v>0</v>
      </c>
      <c r="AK49" s="227">
        <f>P49+S49+V49+Y49+AB49+AE49+AH49</f>
        <v>101</v>
      </c>
      <c r="AL49" s="227">
        <f>Q49+T49+W49+Z49+AC49+AF49+AI49</f>
        <v>106</v>
      </c>
      <c r="AM49" s="222">
        <f>AK49+AL49</f>
        <v>207</v>
      </c>
      <c r="AN49" s="227">
        <f>R49+U49+X49+AA49+AD49+AG49+AJ49</f>
        <v>0</v>
      </c>
      <c r="AO49" s="223">
        <f>O49/H49*100</f>
        <v>0</v>
      </c>
      <c r="AP49" s="223">
        <f>AN49/H49*100</f>
        <v>0</v>
      </c>
      <c r="AQ49" s="223">
        <f>AN49/AM49*100</f>
        <v>0</v>
      </c>
      <c r="AR49" s="224">
        <f t="shared" ref="AR49:AR50" si="288">AK49/AM49*100</f>
        <v>48.792270531400966</v>
      </c>
      <c r="AS49" s="224">
        <f t="shared" si="278"/>
        <v>51.207729468599041</v>
      </c>
      <c r="AT49" s="224" t="e">
        <f t="shared" si="279"/>
        <v>#DIV/0!</v>
      </c>
      <c r="AU49" s="224" t="e">
        <f t="shared" si="280"/>
        <v>#DIV/0!</v>
      </c>
      <c r="AV49" s="224" t="e">
        <f t="shared" si="281"/>
        <v>#DIV/0!</v>
      </c>
      <c r="AW49" s="224" t="e">
        <f t="shared" si="282"/>
        <v>#DIV/0!</v>
      </c>
      <c r="AX49" s="224" t="e">
        <f t="shared" si="283"/>
        <v>#DIV/0!</v>
      </c>
      <c r="AY49" s="224" t="e">
        <f t="shared" si="284"/>
        <v>#DIV/0!</v>
      </c>
      <c r="AZ49" s="224" t="e">
        <f t="shared" si="285"/>
        <v>#DIV/0!</v>
      </c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  <c r="DS49" s="66"/>
      <c r="DT49" s="66"/>
      <c r="DU49" s="66"/>
      <c r="DV49" s="66"/>
      <c r="DW49" s="66"/>
      <c r="DX49" s="66"/>
      <c r="DY49" s="66"/>
      <c r="DZ49" s="66"/>
      <c r="EA49" s="66"/>
      <c r="EB49" s="66"/>
      <c r="EC49" s="66"/>
      <c r="ED49" s="66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  <c r="EX49" s="66"/>
      <c r="EY49" s="66"/>
      <c r="EZ49" s="66"/>
      <c r="FA49" s="66"/>
      <c r="FB49" s="66"/>
      <c r="FC49" s="66"/>
      <c r="FD49" s="66"/>
      <c r="FE49" s="66"/>
      <c r="FF49" s="66"/>
    </row>
    <row r="50" spans="1:162" s="162" customFormat="1" ht="20.25" customHeight="1">
      <c r="A50" s="369"/>
      <c r="B50" s="163" t="s">
        <v>197</v>
      </c>
      <c r="C50" s="208">
        <v>322</v>
      </c>
      <c r="D50" s="160">
        <v>45916</v>
      </c>
      <c r="E50" s="160">
        <v>45918</v>
      </c>
      <c r="F50" s="208">
        <v>115</v>
      </c>
      <c r="G50" s="208">
        <v>0</v>
      </c>
      <c r="H50" s="272">
        <f t="shared" ref="H50" si="289">F50+G50</f>
        <v>115</v>
      </c>
      <c r="I50" s="208">
        <v>0</v>
      </c>
      <c r="J50" s="208">
        <v>0</v>
      </c>
      <c r="K50" s="272">
        <f t="shared" ref="K50" si="290">H50+I50+J50</f>
        <v>115</v>
      </c>
      <c r="L50" s="208">
        <v>0</v>
      </c>
      <c r="M50" s="208">
        <v>0</v>
      </c>
      <c r="N50" s="208">
        <v>115</v>
      </c>
      <c r="O50" s="208">
        <v>0</v>
      </c>
      <c r="P50" s="208">
        <v>0</v>
      </c>
      <c r="Q50" s="208">
        <v>5</v>
      </c>
      <c r="R50" s="208">
        <v>0</v>
      </c>
      <c r="S50" s="208">
        <v>51</v>
      </c>
      <c r="T50" s="208">
        <v>101</v>
      </c>
      <c r="U50" s="208">
        <v>0</v>
      </c>
      <c r="V50" s="208">
        <v>8</v>
      </c>
      <c r="W50" s="208">
        <v>0</v>
      </c>
      <c r="X50" s="208">
        <v>0</v>
      </c>
      <c r="Y50" s="208">
        <v>0</v>
      </c>
      <c r="Z50" s="208">
        <v>0</v>
      </c>
      <c r="AA50" s="208">
        <v>0</v>
      </c>
      <c r="AB50" s="208">
        <v>0</v>
      </c>
      <c r="AC50" s="208">
        <v>0</v>
      </c>
      <c r="AD50" s="208">
        <v>0</v>
      </c>
      <c r="AE50" s="208">
        <v>42</v>
      </c>
      <c r="AF50" s="208">
        <v>0</v>
      </c>
      <c r="AG50" s="208">
        <v>0</v>
      </c>
      <c r="AH50" s="208">
        <v>0</v>
      </c>
      <c r="AI50" s="208">
        <v>0</v>
      </c>
      <c r="AJ50" s="208">
        <v>0</v>
      </c>
      <c r="AK50" s="105">
        <f t="shared" ref="AK50" si="291">P50+S50+V50+Y50+AB50+AE50+AH50</f>
        <v>101</v>
      </c>
      <c r="AL50" s="105">
        <f t="shared" ref="AL50" si="292">Q50+T50+W50+Z50+AC50+AF50+AI50</f>
        <v>106</v>
      </c>
      <c r="AM50" s="105">
        <f t="shared" ref="AM50" si="293">AK50+AL50</f>
        <v>207</v>
      </c>
      <c r="AN50" s="105">
        <f t="shared" ref="AN50" si="294">R50+U50+X50+AA50+AD50+AG50+AJ50</f>
        <v>0</v>
      </c>
      <c r="AO50" s="106">
        <f t="shared" ref="AO50" si="295">O50/H50*100</f>
        <v>0</v>
      </c>
      <c r="AP50" s="106">
        <f t="shared" ref="AP50" si="296">AN50/H50*100</f>
        <v>0</v>
      </c>
      <c r="AQ50" s="106">
        <f t="shared" ref="AQ50" si="297">AN50/AM50*100</f>
        <v>0</v>
      </c>
      <c r="AR50" s="106">
        <f t="shared" si="288"/>
        <v>48.792270531400966</v>
      </c>
      <c r="AS50" s="106">
        <f t="shared" ref="AS50" si="298">AL50/AM50*100</f>
        <v>51.207729468599041</v>
      </c>
      <c r="AT50" s="106" t="e">
        <f t="shared" ref="AT50" si="299">R50/AN50*100</f>
        <v>#DIV/0!</v>
      </c>
      <c r="AU50" s="106" t="e">
        <f t="shared" ref="AU50" si="300">U50/AN50*100</f>
        <v>#DIV/0!</v>
      </c>
      <c r="AV50" s="106" t="e">
        <f t="shared" ref="AV50" si="301">X50/AN50*100</f>
        <v>#DIV/0!</v>
      </c>
      <c r="AW50" s="106" t="e">
        <f t="shared" ref="AW50" si="302">AA50/AN50*100</f>
        <v>#DIV/0!</v>
      </c>
      <c r="AX50" s="106" t="e">
        <f t="shared" ref="AX50" si="303">AD50/AN50*100</f>
        <v>#DIV/0!</v>
      </c>
      <c r="AY50" s="106" t="e">
        <f t="shared" ref="AY50" si="304">AG50/AN50*100</f>
        <v>#DIV/0!</v>
      </c>
      <c r="AZ50" s="106" t="e">
        <f t="shared" ref="AZ50" si="305">AJ50/AN50*100</f>
        <v>#DIV/0!</v>
      </c>
      <c r="BA50" s="161"/>
      <c r="BB50" s="161"/>
      <c r="BC50" s="161"/>
      <c r="BD50" s="161"/>
      <c r="BE50" s="161"/>
      <c r="BF50" s="161"/>
      <c r="BG50" s="161"/>
      <c r="BH50" s="161"/>
      <c r="BI50" s="161"/>
      <c r="BJ50" s="161"/>
      <c r="BK50" s="161"/>
      <c r="BL50" s="161"/>
      <c r="BM50" s="161"/>
      <c r="BN50" s="161"/>
      <c r="BO50" s="161"/>
      <c r="BP50" s="161"/>
      <c r="BQ50" s="161"/>
      <c r="BR50" s="161"/>
      <c r="BS50" s="161"/>
      <c r="BT50" s="161"/>
      <c r="BU50" s="161"/>
      <c r="BV50" s="161"/>
      <c r="BW50" s="161"/>
      <c r="BX50" s="161"/>
      <c r="BY50" s="161"/>
      <c r="BZ50" s="161"/>
      <c r="CA50" s="161"/>
      <c r="CB50" s="161"/>
      <c r="CC50" s="161"/>
      <c r="CD50" s="161"/>
      <c r="CE50" s="161"/>
      <c r="CF50" s="161"/>
      <c r="CG50" s="161"/>
      <c r="CH50" s="161"/>
      <c r="CI50" s="161"/>
      <c r="CJ50" s="161"/>
      <c r="CK50" s="161"/>
      <c r="CL50" s="161"/>
      <c r="CM50" s="161"/>
      <c r="CN50" s="161"/>
      <c r="CO50" s="161"/>
      <c r="CP50" s="161"/>
      <c r="CQ50" s="161"/>
      <c r="CR50" s="161"/>
      <c r="CS50" s="161"/>
      <c r="CT50" s="161"/>
      <c r="CU50" s="161"/>
      <c r="CV50" s="161"/>
      <c r="CW50" s="161"/>
      <c r="CX50" s="161"/>
      <c r="CY50" s="161"/>
      <c r="CZ50" s="161"/>
      <c r="DA50" s="161"/>
      <c r="DB50" s="161"/>
      <c r="DC50" s="161"/>
      <c r="DD50" s="161"/>
      <c r="DE50" s="161"/>
      <c r="DF50" s="161"/>
      <c r="DG50" s="161"/>
      <c r="DH50" s="161"/>
      <c r="DI50" s="161"/>
      <c r="DJ50" s="161"/>
      <c r="DK50" s="161"/>
      <c r="DL50" s="161"/>
      <c r="DM50" s="161"/>
      <c r="DN50" s="161"/>
      <c r="DO50" s="161"/>
      <c r="DP50" s="161"/>
      <c r="DQ50" s="161"/>
      <c r="DR50" s="161"/>
      <c r="DS50" s="161"/>
      <c r="DT50" s="161"/>
      <c r="DU50" s="161"/>
      <c r="DV50" s="161"/>
      <c r="DW50" s="161"/>
      <c r="DX50" s="161"/>
      <c r="DY50" s="161"/>
      <c r="DZ50" s="161"/>
      <c r="EA50" s="161"/>
      <c r="EB50" s="161"/>
      <c r="EC50" s="161"/>
      <c r="ED50" s="161"/>
      <c r="EE50" s="161"/>
      <c r="EF50" s="161"/>
      <c r="EG50" s="161"/>
      <c r="EH50" s="161"/>
      <c r="EI50" s="161"/>
      <c r="EJ50" s="161"/>
      <c r="EK50" s="161"/>
      <c r="EL50" s="161"/>
      <c r="EM50" s="161"/>
      <c r="EN50" s="161"/>
      <c r="EO50" s="161"/>
      <c r="EP50" s="161"/>
      <c r="EQ50" s="161"/>
      <c r="ER50" s="161"/>
      <c r="ES50" s="161"/>
      <c r="ET50" s="161"/>
      <c r="EU50" s="161"/>
      <c r="EV50" s="161"/>
      <c r="EW50" s="161"/>
      <c r="EX50" s="161"/>
      <c r="EY50" s="161"/>
      <c r="EZ50" s="161"/>
      <c r="FA50" s="161"/>
      <c r="FB50" s="161"/>
      <c r="FC50" s="161"/>
      <c r="FD50" s="161"/>
      <c r="FE50" s="161"/>
      <c r="FF50" s="161"/>
    </row>
    <row r="51" spans="1:162" s="67" customFormat="1" ht="20.25" customHeight="1">
      <c r="A51" s="70" t="s">
        <v>290</v>
      </c>
      <c r="B51" s="70">
        <v>1</v>
      </c>
      <c r="C51" s="71">
        <f>C49</f>
        <v>322</v>
      </c>
      <c r="D51" s="68">
        <f>D49</f>
        <v>45916</v>
      </c>
      <c r="E51" s="68">
        <f>E49</f>
        <v>45918</v>
      </c>
      <c r="F51" s="71">
        <f>F49</f>
        <v>115</v>
      </c>
      <c r="G51" s="71">
        <f t="shared" ref="G51:AJ51" si="306">G49</f>
        <v>0</v>
      </c>
      <c r="H51" s="71">
        <f t="shared" si="306"/>
        <v>115</v>
      </c>
      <c r="I51" s="71">
        <f t="shared" si="306"/>
        <v>0</v>
      </c>
      <c r="J51" s="71">
        <f t="shared" si="306"/>
        <v>0</v>
      </c>
      <c r="K51" s="71">
        <f t="shared" si="306"/>
        <v>115</v>
      </c>
      <c r="L51" s="71">
        <f t="shared" si="306"/>
        <v>0</v>
      </c>
      <c r="M51" s="71">
        <f t="shared" si="306"/>
        <v>0</v>
      </c>
      <c r="N51" s="71">
        <f t="shared" si="306"/>
        <v>115</v>
      </c>
      <c r="O51" s="71">
        <f t="shared" si="306"/>
        <v>0</v>
      </c>
      <c r="P51" s="71">
        <f t="shared" si="306"/>
        <v>0</v>
      </c>
      <c r="Q51" s="71">
        <f t="shared" si="306"/>
        <v>5</v>
      </c>
      <c r="R51" s="71">
        <f t="shared" si="306"/>
        <v>0</v>
      </c>
      <c r="S51" s="71">
        <f t="shared" si="306"/>
        <v>51</v>
      </c>
      <c r="T51" s="71">
        <f t="shared" si="306"/>
        <v>101</v>
      </c>
      <c r="U51" s="71">
        <f t="shared" si="306"/>
        <v>0</v>
      </c>
      <c r="V51" s="71">
        <f t="shared" si="306"/>
        <v>8</v>
      </c>
      <c r="W51" s="71">
        <f t="shared" si="306"/>
        <v>0</v>
      </c>
      <c r="X51" s="71">
        <f t="shared" si="306"/>
        <v>0</v>
      </c>
      <c r="Y51" s="71">
        <f t="shared" si="306"/>
        <v>0</v>
      </c>
      <c r="Z51" s="71">
        <f t="shared" si="306"/>
        <v>0</v>
      </c>
      <c r="AA51" s="71">
        <f t="shared" si="306"/>
        <v>0</v>
      </c>
      <c r="AB51" s="71">
        <f t="shared" si="306"/>
        <v>0</v>
      </c>
      <c r="AC51" s="71">
        <f t="shared" si="306"/>
        <v>0</v>
      </c>
      <c r="AD51" s="71">
        <f t="shared" si="306"/>
        <v>0</v>
      </c>
      <c r="AE51" s="71">
        <f t="shared" si="306"/>
        <v>42</v>
      </c>
      <c r="AF51" s="71">
        <f t="shared" si="306"/>
        <v>0</v>
      </c>
      <c r="AG51" s="71">
        <f t="shared" si="306"/>
        <v>0</v>
      </c>
      <c r="AH51" s="71">
        <f t="shared" si="306"/>
        <v>0</v>
      </c>
      <c r="AI51" s="71">
        <f t="shared" si="306"/>
        <v>0</v>
      </c>
      <c r="AJ51" s="71">
        <f t="shared" si="306"/>
        <v>0</v>
      </c>
      <c r="AK51" s="173">
        <f>P51+S51+V51+Y51+AB51+AE51+AH51</f>
        <v>101</v>
      </c>
      <c r="AL51" s="173">
        <f>Q51+T51+W51+Z51+AC51+AF51+AI51</f>
        <v>106</v>
      </c>
      <c r="AM51" s="173">
        <f>AK51+AL51</f>
        <v>207</v>
      </c>
      <c r="AN51" s="173">
        <f>R51+U51+X51+AA51+AD51+AG51+AJ51</f>
        <v>0</v>
      </c>
      <c r="AO51" s="185">
        <f>O51/H51*100</f>
        <v>0</v>
      </c>
      <c r="AP51" s="185">
        <f t="shared" ref="AP51" si="307">AN51/H51*100</f>
        <v>0</v>
      </c>
      <c r="AQ51" s="185">
        <f t="shared" ref="AQ51" si="308">AN51/AM51*100</f>
        <v>0</v>
      </c>
      <c r="AR51" s="174">
        <f>AK51/AM51*100</f>
        <v>48.792270531400966</v>
      </c>
      <c r="AS51" s="174">
        <f t="shared" ref="AS51" si="309">AL51/AM51*100</f>
        <v>51.207729468599041</v>
      </c>
      <c r="AT51" s="174" t="e">
        <f t="shared" ref="AT51" si="310">R51/AN51*100</f>
        <v>#DIV/0!</v>
      </c>
      <c r="AU51" s="174" t="e">
        <f t="shared" ref="AU51" si="311">U51/AN51*100</f>
        <v>#DIV/0!</v>
      </c>
      <c r="AV51" s="174" t="e">
        <f t="shared" ref="AV51" si="312">X51/AN51*100</f>
        <v>#DIV/0!</v>
      </c>
      <c r="AW51" s="174" t="e">
        <f t="shared" ref="AW51" si="313">AA51/AN51*100</f>
        <v>#DIV/0!</v>
      </c>
      <c r="AX51" s="174" t="e">
        <f t="shared" ref="AX51" si="314">AD51/AN51*100</f>
        <v>#DIV/0!</v>
      </c>
      <c r="AY51" s="174" t="e">
        <f t="shared" ref="AY51" si="315">AG51/AN51*100</f>
        <v>#DIV/0!</v>
      </c>
      <c r="AZ51" s="174" t="e">
        <f t="shared" ref="AZ51" si="316">AJ51/AN51*100</f>
        <v>#DIV/0!</v>
      </c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6"/>
      <c r="CF51" s="66"/>
      <c r="CG51" s="66"/>
      <c r="CH51" s="66"/>
      <c r="CI51" s="66"/>
      <c r="CJ51" s="66"/>
      <c r="CK51" s="66"/>
      <c r="CL51" s="66"/>
      <c r="CM51" s="66"/>
      <c r="CN51" s="66"/>
      <c r="CO51" s="66"/>
      <c r="CP51" s="66"/>
      <c r="CQ51" s="66"/>
      <c r="CR51" s="66"/>
      <c r="CS51" s="66"/>
      <c r="CT51" s="66"/>
      <c r="CU51" s="66"/>
      <c r="CV51" s="66"/>
      <c r="CW51" s="66"/>
      <c r="CX51" s="66"/>
      <c r="CY51" s="66"/>
      <c r="CZ51" s="66"/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6"/>
      <c r="DL51" s="66"/>
      <c r="DM51" s="66"/>
      <c r="DN51" s="66"/>
      <c r="DO51" s="66"/>
      <c r="DP51" s="66"/>
      <c r="DQ51" s="66"/>
      <c r="DR51" s="66"/>
      <c r="DS51" s="66"/>
      <c r="DT51" s="66"/>
      <c r="DU51" s="66"/>
      <c r="DV51" s="66"/>
      <c r="DW51" s="66"/>
      <c r="DX51" s="66"/>
      <c r="DY51" s="66"/>
      <c r="DZ51" s="66"/>
      <c r="EA51" s="66"/>
      <c r="EB51" s="66"/>
      <c r="EC51" s="66"/>
      <c r="ED51" s="66"/>
      <c r="EE51" s="66"/>
      <c r="EF51" s="66"/>
      <c r="EG51" s="66"/>
      <c r="EH51" s="66"/>
      <c r="EI51" s="66"/>
      <c r="EJ51" s="66"/>
      <c r="EK51" s="66"/>
      <c r="EL51" s="66"/>
      <c r="EM51" s="66"/>
      <c r="EN51" s="66"/>
      <c r="EO51" s="66"/>
      <c r="EP51" s="66"/>
      <c r="EQ51" s="66"/>
      <c r="ER51" s="66"/>
      <c r="ES51" s="66"/>
      <c r="ET51" s="66"/>
      <c r="EU51" s="66"/>
      <c r="EV51" s="66"/>
      <c r="EW51" s="66"/>
      <c r="EX51" s="66"/>
      <c r="EY51" s="66"/>
      <c r="EZ51" s="66"/>
      <c r="FA51" s="66"/>
      <c r="FB51" s="66"/>
      <c r="FC51" s="66"/>
      <c r="FD51" s="66"/>
      <c r="FE51" s="66"/>
      <c r="FF51" s="66"/>
    </row>
    <row r="52" spans="1:162" s="66" customFormat="1" ht="20.25" customHeight="1">
      <c r="A52" s="368" t="s">
        <v>107</v>
      </c>
      <c r="B52" s="281" t="s">
        <v>105</v>
      </c>
      <c r="C52" s="227">
        <f>C53</f>
        <v>68</v>
      </c>
      <c r="D52" s="221">
        <f>D53</f>
        <v>45953</v>
      </c>
      <c r="E52" s="221">
        <f>E53</f>
        <v>45954</v>
      </c>
      <c r="F52" s="227">
        <f>F53</f>
        <v>30</v>
      </c>
      <c r="G52" s="227">
        <f t="shared" ref="G52:AJ52" si="317">G53</f>
        <v>0</v>
      </c>
      <c r="H52" s="227">
        <f t="shared" si="317"/>
        <v>30</v>
      </c>
      <c r="I52" s="227">
        <f t="shared" si="317"/>
        <v>0</v>
      </c>
      <c r="J52" s="227">
        <f t="shared" si="317"/>
        <v>0</v>
      </c>
      <c r="K52" s="227">
        <f t="shared" si="317"/>
        <v>30</v>
      </c>
      <c r="L52" s="227">
        <f t="shared" si="317"/>
        <v>0</v>
      </c>
      <c r="M52" s="227">
        <f t="shared" si="317"/>
        <v>0</v>
      </c>
      <c r="N52" s="227">
        <f t="shared" si="317"/>
        <v>30</v>
      </c>
      <c r="O52" s="227">
        <f t="shared" si="317"/>
        <v>1</v>
      </c>
      <c r="P52" s="227">
        <f t="shared" si="317"/>
        <v>0</v>
      </c>
      <c r="Q52" s="227">
        <f t="shared" si="317"/>
        <v>0</v>
      </c>
      <c r="R52" s="227">
        <f t="shared" si="317"/>
        <v>0</v>
      </c>
      <c r="S52" s="227">
        <f t="shared" si="317"/>
        <v>0</v>
      </c>
      <c r="T52" s="227">
        <f t="shared" si="317"/>
        <v>27</v>
      </c>
      <c r="U52" s="227">
        <f t="shared" si="317"/>
        <v>1</v>
      </c>
      <c r="V52" s="227">
        <f t="shared" si="317"/>
        <v>0</v>
      </c>
      <c r="W52" s="227">
        <f t="shared" si="317"/>
        <v>0</v>
      </c>
      <c r="X52" s="227">
        <f t="shared" si="317"/>
        <v>0</v>
      </c>
      <c r="Y52" s="227">
        <f t="shared" si="317"/>
        <v>0</v>
      </c>
      <c r="Z52" s="227">
        <f t="shared" si="317"/>
        <v>0</v>
      </c>
      <c r="AA52" s="227">
        <f t="shared" si="317"/>
        <v>0</v>
      </c>
      <c r="AB52" s="227">
        <f t="shared" si="317"/>
        <v>0</v>
      </c>
      <c r="AC52" s="227">
        <f t="shared" si="317"/>
        <v>0</v>
      </c>
      <c r="AD52" s="227">
        <f t="shared" si="317"/>
        <v>0</v>
      </c>
      <c r="AE52" s="227">
        <f t="shared" si="317"/>
        <v>0</v>
      </c>
      <c r="AF52" s="227">
        <f t="shared" si="317"/>
        <v>0</v>
      </c>
      <c r="AG52" s="227">
        <f t="shared" si="317"/>
        <v>0</v>
      </c>
      <c r="AH52" s="227">
        <f t="shared" si="317"/>
        <v>0</v>
      </c>
      <c r="AI52" s="227">
        <f t="shared" si="317"/>
        <v>0</v>
      </c>
      <c r="AJ52" s="227">
        <f t="shared" si="317"/>
        <v>0</v>
      </c>
      <c r="AK52" s="227">
        <f>P52+S52+V52+Y52+AB52+AE52+AH52</f>
        <v>0</v>
      </c>
      <c r="AL52" s="227">
        <f>Q52+T52+W52+Z52+AC52+AF52+AI52</f>
        <v>27</v>
      </c>
      <c r="AM52" s="222">
        <f>AK52+AL52</f>
        <v>27</v>
      </c>
      <c r="AN52" s="227">
        <f>R52+U52+X52+AA52+AD52+AG52+AJ52</f>
        <v>1</v>
      </c>
      <c r="AO52" s="223">
        <f>O52/H52*100</f>
        <v>3.3333333333333335</v>
      </c>
      <c r="AP52" s="223">
        <f>AN52/H52*100</f>
        <v>3.3333333333333335</v>
      </c>
      <c r="AQ52" s="223">
        <f>AN52/AM52*100</f>
        <v>3.7037037037037033</v>
      </c>
      <c r="AR52" s="224">
        <f t="shared" ref="AR52:AR53" si="318">AK52/AM52*100</f>
        <v>0</v>
      </c>
      <c r="AS52" s="224">
        <f t="shared" si="278"/>
        <v>100</v>
      </c>
      <c r="AT52" s="224">
        <f t="shared" si="279"/>
        <v>0</v>
      </c>
      <c r="AU52" s="224">
        <f t="shared" si="280"/>
        <v>100</v>
      </c>
      <c r="AV52" s="224">
        <f t="shared" si="281"/>
        <v>0</v>
      </c>
      <c r="AW52" s="224">
        <f t="shared" si="282"/>
        <v>0</v>
      </c>
      <c r="AX52" s="224">
        <f t="shared" si="283"/>
        <v>0</v>
      </c>
      <c r="AY52" s="224">
        <f t="shared" si="284"/>
        <v>0</v>
      </c>
      <c r="AZ52" s="224">
        <f t="shared" si="285"/>
        <v>0</v>
      </c>
    </row>
    <row r="53" spans="1:162" s="161" customFormat="1" ht="20.25" customHeight="1">
      <c r="A53" s="369"/>
      <c r="B53" s="163" t="s">
        <v>266</v>
      </c>
      <c r="C53" s="208">
        <v>68</v>
      </c>
      <c r="D53" s="160">
        <v>45953</v>
      </c>
      <c r="E53" s="160">
        <v>45954</v>
      </c>
      <c r="F53" s="208">
        <v>30</v>
      </c>
      <c r="G53" s="208">
        <v>0</v>
      </c>
      <c r="H53" s="272">
        <f t="shared" ref="H53" si="319">F53+G53</f>
        <v>30</v>
      </c>
      <c r="I53" s="208">
        <v>0</v>
      </c>
      <c r="J53" s="208">
        <v>0</v>
      </c>
      <c r="K53" s="272">
        <f t="shared" ref="K53" si="320">H53+I53+J53</f>
        <v>30</v>
      </c>
      <c r="L53" s="208">
        <v>0</v>
      </c>
      <c r="M53" s="208">
        <v>0</v>
      </c>
      <c r="N53" s="208">
        <v>30</v>
      </c>
      <c r="O53" s="208">
        <v>1</v>
      </c>
      <c r="P53" s="208">
        <v>0</v>
      </c>
      <c r="Q53" s="208">
        <v>0</v>
      </c>
      <c r="R53" s="208">
        <v>0</v>
      </c>
      <c r="S53" s="208">
        <v>0</v>
      </c>
      <c r="T53" s="208">
        <v>27</v>
      </c>
      <c r="U53" s="208">
        <v>1</v>
      </c>
      <c r="V53" s="208">
        <v>0</v>
      </c>
      <c r="W53" s="208">
        <v>0</v>
      </c>
      <c r="X53" s="208">
        <v>0</v>
      </c>
      <c r="Y53" s="208">
        <v>0</v>
      </c>
      <c r="Z53" s="208">
        <v>0</v>
      </c>
      <c r="AA53" s="208">
        <v>0</v>
      </c>
      <c r="AB53" s="208">
        <v>0</v>
      </c>
      <c r="AC53" s="208">
        <v>0</v>
      </c>
      <c r="AD53" s="208">
        <v>0</v>
      </c>
      <c r="AE53" s="208">
        <v>0</v>
      </c>
      <c r="AF53" s="208">
        <v>0</v>
      </c>
      <c r="AG53" s="208">
        <v>0</v>
      </c>
      <c r="AH53" s="208">
        <v>0</v>
      </c>
      <c r="AI53" s="208">
        <v>0</v>
      </c>
      <c r="AJ53" s="208">
        <v>0</v>
      </c>
      <c r="AK53" s="105">
        <f t="shared" ref="AK53" si="321">P53+S53+V53+Y53+AB53+AE53+AH53</f>
        <v>0</v>
      </c>
      <c r="AL53" s="105">
        <f t="shared" ref="AL53" si="322">Q53+T53+W53+Z53+AC53+AF53+AI53</f>
        <v>27</v>
      </c>
      <c r="AM53" s="105">
        <f t="shared" ref="AM53" si="323">AK53+AL53</f>
        <v>27</v>
      </c>
      <c r="AN53" s="105">
        <f t="shared" ref="AN53" si="324">R53+U53+X53+AA53+AD53+AG53+AJ53</f>
        <v>1</v>
      </c>
      <c r="AO53" s="106">
        <f t="shared" ref="AO53" si="325">O53/H53*100</f>
        <v>3.3333333333333335</v>
      </c>
      <c r="AP53" s="106">
        <f t="shared" ref="AP53" si="326">AN53/H53*100</f>
        <v>3.3333333333333335</v>
      </c>
      <c r="AQ53" s="106">
        <f t="shared" ref="AQ53" si="327">AN53/AM53*100</f>
        <v>3.7037037037037033</v>
      </c>
      <c r="AR53" s="106">
        <f t="shared" si="318"/>
        <v>0</v>
      </c>
      <c r="AS53" s="106">
        <f t="shared" ref="AS53" si="328">AL53/AM53*100</f>
        <v>100</v>
      </c>
      <c r="AT53" s="106">
        <f t="shared" ref="AT53" si="329">R53/AN53*100</f>
        <v>0</v>
      </c>
      <c r="AU53" s="106">
        <f t="shared" ref="AU53" si="330">U53/AN53*100</f>
        <v>100</v>
      </c>
      <c r="AV53" s="106">
        <f t="shared" ref="AV53" si="331">X53/AN53*100</f>
        <v>0</v>
      </c>
      <c r="AW53" s="106">
        <f t="shared" ref="AW53" si="332">AA53/AN53*100</f>
        <v>0</v>
      </c>
      <c r="AX53" s="106">
        <f t="shared" ref="AX53" si="333">AD53/AN53*100</f>
        <v>0</v>
      </c>
      <c r="AY53" s="106">
        <f t="shared" ref="AY53" si="334">AG53/AN53*100</f>
        <v>0</v>
      </c>
      <c r="AZ53" s="106">
        <f t="shared" ref="AZ53" si="335">AJ53/AN53*100</f>
        <v>0</v>
      </c>
    </row>
    <row r="54" spans="1:162" s="67" customFormat="1" ht="20.25" customHeight="1">
      <c r="A54" s="70" t="s">
        <v>291</v>
      </c>
      <c r="B54" s="70">
        <v>1</v>
      </c>
      <c r="C54" s="71">
        <f>C52</f>
        <v>68</v>
      </c>
      <c r="D54" s="68">
        <f>D52</f>
        <v>45953</v>
      </c>
      <c r="E54" s="68">
        <f>E52</f>
        <v>45954</v>
      </c>
      <c r="F54" s="71">
        <f>F52</f>
        <v>30</v>
      </c>
      <c r="G54" s="71">
        <f t="shared" ref="G54:AJ54" si="336">G52</f>
        <v>0</v>
      </c>
      <c r="H54" s="71">
        <f t="shared" si="336"/>
        <v>30</v>
      </c>
      <c r="I54" s="71">
        <f t="shared" si="336"/>
        <v>0</v>
      </c>
      <c r="J54" s="71">
        <f t="shared" si="336"/>
        <v>0</v>
      </c>
      <c r="K54" s="71">
        <f t="shared" si="336"/>
        <v>30</v>
      </c>
      <c r="L54" s="71">
        <f t="shared" si="336"/>
        <v>0</v>
      </c>
      <c r="M54" s="71">
        <f t="shared" si="336"/>
        <v>0</v>
      </c>
      <c r="N54" s="71">
        <f t="shared" si="336"/>
        <v>30</v>
      </c>
      <c r="O54" s="71">
        <f t="shared" si="336"/>
        <v>1</v>
      </c>
      <c r="P54" s="71">
        <f t="shared" si="336"/>
        <v>0</v>
      </c>
      <c r="Q54" s="71">
        <f t="shared" si="336"/>
        <v>0</v>
      </c>
      <c r="R54" s="71">
        <f t="shared" si="336"/>
        <v>0</v>
      </c>
      <c r="S54" s="71">
        <f t="shared" si="336"/>
        <v>0</v>
      </c>
      <c r="T54" s="71">
        <f t="shared" si="336"/>
        <v>27</v>
      </c>
      <c r="U54" s="71">
        <f t="shared" si="336"/>
        <v>1</v>
      </c>
      <c r="V54" s="71">
        <f t="shared" si="336"/>
        <v>0</v>
      </c>
      <c r="W54" s="71">
        <f t="shared" si="336"/>
        <v>0</v>
      </c>
      <c r="X54" s="71">
        <f t="shared" si="336"/>
        <v>0</v>
      </c>
      <c r="Y54" s="71">
        <f t="shared" si="336"/>
        <v>0</v>
      </c>
      <c r="Z54" s="71">
        <f t="shared" si="336"/>
        <v>0</v>
      </c>
      <c r="AA54" s="71">
        <f t="shared" si="336"/>
        <v>0</v>
      </c>
      <c r="AB54" s="71">
        <f t="shared" si="336"/>
        <v>0</v>
      </c>
      <c r="AC54" s="71">
        <f t="shared" si="336"/>
        <v>0</v>
      </c>
      <c r="AD54" s="71">
        <f t="shared" si="336"/>
        <v>0</v>
      </c>
      <c r="AE54" s="71">
        <f t="shared" si="336"/>
        <v>0</v>
      </c>
      <c r="AF54" s="71">
        <f t="shared" si="336"/>
        <v>0</v>
      </c>
      <c r="AG54" s="71">
        <f t="shared" si="336"/>
        <v>0</v>
      </c>
      <c r="AH54" s="71">
        <f t="shared" si="336"/>
        <v>0</v>
      </c>
      <c r="AI54" s="71">
        <f t="shared" si="336"/>
        <v>0</v>
      </c>
      <c r="AJ54" s="71">
        <f t="shared" si="336"/>
        <v>0</v>
      </c>
      <c r="AK54" s="173">
        <f>P54+S54+V54+Y54+AB54+AE54+AH54</f>
        <v>0</v>
      </c>
      <c r="AL54" s="173">
        <f>Q54+T54+W54+Z54+AC54+AF54+AI54</f>
        <v>27</v>
      </c>
      <c r="AM54" s="173">
        <f>AK54+AL54</f>
        <v>27</v>
      </c>
      <c r="AN54" s="173">
        <f>R54+U54+X54+AA54+AD54+AG54+AJ54</f>
        <v>1</v>
      </c>
      <c r="AO54" s="185">
        <f>O54/H54*100</f>
        <v>3.3333333333333335</v>
      </c>
      <c r="AP54" s="185">
        <f t="shared" ref="AP54" si="337">AN54/H54*100</f>
        <v>3.3333333333333335</v>
      </c>
      <c r="AQ54" s="185">
        <f t="shared" ref="AQ54" si="338">AN54/AM54*100</f>
        <v>3.7037037037037033</v>
      </c>
      <c r="AR54" s="174">
        <f>AK54/AM54*100</f>
        <v>0</v>
      </c>
      <c r="AS54" s="174">
        <f t="shared" ref="AS54:AS56" si="339">AL54/AM54*100</f>
        <v>100</v>
      </c>
      <c r="AT54" s="174">
        <f t="shared" ref="AT54:AT56" si="340">R54/AN54*100</f>
        <v>0</v>
      </c>
      <c r="AU54" s="174">
        <f t="shared" ref="AU54:AU56" si="341">U54/AN54*100</f>
        <v>100</v>
      </c>
      <c r="AV54" s="174">
        <f t="shared" ref="AV54:AV56" si="342">X54/AN54*100</f>
        <v>0</v>
      </c>
      <c r="AW54" s="174">
        <f t="shared" ref="AW54:AW56" si="343">AA54/AN54*100</f>
        <v>0</v>
      </c>
      <c r="AX54" s="174">
        <f t="shared" ref="AX54:AX56" si="344">AD54/AN54*100</f>
        <v>0</v>
      </c>
      <c r="AY54" s="174">
        <f t="shared" ref="AY54:AY56" si="345">AG54/AN54*100</f>
        <v>0</v>
      </c>
      <c r="AZ54" s="174">
        <f t="shared" ref="AZ54:AZ56" si="346">AJ54/AN54*100</f>
        <v>0</v>
      </c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6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66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66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66"/>
      <c r="EF54" s="66"/>
      <c r="EG54" s="66"/>
      <c r="EH54" s="66"/>
      <c r="EI54" s="66"/>
      <c r="EJ54" s="66"/>
      <c r="EK54" s="66"/>
      <c r="EL54" s="66"/>
      <c r="EM54" s="66"/>
      <c r="EN54" s="66"/>
      <c r="EO54" s="66"/>
      <c r="EP54" s="66"/>
      <c r="EQ54" s="66"/>
      <c r="ER54" s="66"/>
      <c r="ES54" s="66"/>
      <c r="ET54" s="66"/>
      <c r="EU54" s="66"/>
      <c r="EV54" s="66"/>
      <c r="EW54" s="66"/>
      <c r="EX54" s="66"/>
      <c r="EY54" s="66"/>
      <c r="EZ54" s="66"/>
      <c r="FA54" s="66"/>
      <c r="FB54" s="66"/>
      <c r="FC54" s="66"/>
      <c r="FD54" s="66"/>
      <c r="FE54" s="66"/>
      <c r="FF54" s="66"/>
    </row>
    <row r="55" spans="1:162" s="67" customFormat="1" ht="20.25" customHeight="1">
      <c r="A55" s="365" t="s">
        <v>107</v>
      </c>
      <c r="B55" s="281" t="s">
        <v>105</v>
      </c>
      <c r="C55" s="227">
        <f>SUM(C56:C58)</f>
        <v>1550</v>
      </c>
      <c r="D55" s="221">
        <f>MIN(D56:D58)</f>
        <v>45966</v>
      </c>
      <c r="E55" s="221">
        <f>MAX(E56:E58)</f>
        <v>45988</v>
      </c>
      <c r="F55" s="227">
        <f>SUM(F56:F58)</f>
        <v>524</v>
      </c>
      <c r="G55" s="227">
        <f t="shared" ref="G55:AJ55" si="347">SUM(G56:G58)</f>
        <v>0</v>
      </c>
      <c r="H55" s="227">
        <f t="shared" si="347"/>
        <v>524</v>
      </c>
      <c r="I55" s="227">
        <f t="shared" si="347"/>
        <v>0</v>
      </c>
      <c r="J55" s="227">
        <f t="shared" si="347"/>
        <v>0</v>
      </c>
      <c r="K55" s="227">
        <f t="shared" si="347"/>
        <v>524</v>
      </c>
      <c r="L55" s="227">
        <f t="shared" si="347"/>
        <v>0</v>
      </c>
      <c r="M55" s="227">
        <f t="shared" si="347"/>
        <v>0</v>
      </c>
      <c r="N55" s="227">
        <f t="shared" si="347"/>
        <v>524</v>
      </c>
      <c r="O55" s="227">
        <f t="shared" si="347"/>
        <v>50</v>
      </c>
      <c r="P55" s="227">
        <f t="shared" si="347"/>
        <v>0</v>
      </c>
      <c r="Q55" s="227">
        <f t="shared" si="347"/>
        <v>0</v>
      </c>
      <c r="R55" s="227">
        <f t="shared" si="347"/>
        <v>0</v>
      </c>
      <c r="S55" s="227">
        <f t="shared" si="347"/>
        <v>1</v>
      </c>
      <c r="T55" s="227">
        <f t="shared" si="347"/>
        <v>1030</v>
      </c>
      <c r="U55" s="227">
        <f t="shared" si="347"/>
        <v>39</v>
      </c>
      <c r="V55" s="227">
        <f t="shared" si="347"/>
        <v>77</v>
      </c>
      <c r="W55" s="227">
        <f t="shared" si="347"/>
        <v>150</v>
      </c>
      <c r="X55" s="227">
        <f t="shared" si="347"/>
        <v>11</v>
      </c>
      <c r="Y55" s="227">
        <f t="shared" si="347"/>
        <v>2</v>
      </c>
      <c r="Z55" s="227">
        <f t="shared" si="347"/>
        <v>49</v>
      </c>
      <c r="AA55" s="227">
        <f t="shared" si="347"/>
        <v>3</v>
      </c>
      <c r="AB55" s="227">
        <f t="shared" si="347"/>
        <v>122</v>
      </c>
      <c r="AC55" s="227">
        <f t="shared" si="347"/>
        <v>49</v>
      </c>
      <c r="AD55" s="227">
        <f t="shared" si="347"/>
        <v>17</v>
      </c>
      <c r="AE55" s="227">
        <f t="shared" si="347"/>
        <v>301</v>
      </c>
      <c r="AF55" s="227">
        <f t="shared" si="347"/>
        <v>13</v>
      </c>
      <c r="AG55" s="227">
        <f t="shared" si="347"/>
        <v>1</v>
      </c>
      <c r="AH55" s="227">
        <f t="shared" si="347"/>
        <v>0</v>
      </c>
      <c r="AI55" s="227">
        <f t="shared" si="347"/>
        <v>0</v>
      </c>
      <c r="AJ55" s="227">
        <f t="shared" si="347"/>
        <v>0</v>
      </c>
      <c r="AK55" s="227">
        <f>P55+S55+V55+Y55+AB55+AE55+AH55</f>
        <v>503</v>
      </c>
      <c r="AL55" s="227">
        <f>Q55+T55+W55+Z55+AC55+AF55+AI55</f>
        <v>1291</v>
      </c>
      <c r="AM55" s="222">
        <f>AK55+AL55</f>
        <v>1794</v>
      </c>
      <c r="AN55" s="227">
        <f>R55+U55+X55+AA55+AD55+AG55+AJ55</f>
        <v>71</v>
      </c>
      <c r="AO55" s="223">
        <f>O55/H55*100</f>
        <v>9.5419847328244281</v>
      </c>
      <c r="AP55" s="223">
        <f>AN55/H55*100</f>
        <v>13.549618320610687</v>
      </c>
      <c r="AQ55" s="223">
        <f>AN55/AM55*100</f>
        <v>3.9576365663322184</v>
      </c>
      <c r="AR55" s="224">
        <f t="shared" ref="AR55:AR56" si="348">AK55/AM55*100</f>
        <v>28.037904124860646</v>
      </c>
      <c r="AS55" s="224">
        <f t="shared" si="339"/>
        <v>71.962095875139354</v>
      </c>
      <c r="AT55" s="224">
        <f t="shared" si="340"/>
        <v>0</v>
      </c>
      <c r="AU55" s="224">
        <f t="shared" si="341"/>
        <v>54.929577464788736</v>
      </c>
      <c r="AV55" s="224">
        <f t="shared" si="342"/>
        <v>15.492957746478872</v>
      </c>
      <c r="AW55" s="224">
        <f t="shared" si="343"/>
        <v>4.225352112676056</v>
      </c>
      <c r="AX55" s="224">
        <f t="shared" si="344"/>
        <v>23.943661971830984</v>
      </c>
      <c r="AY55" s="224">
        <f t="shared" si="345"/>
        <v>1.4084507042253522</v>
      </c>
      <c r="AZ55" s="224">
        <f t="shared" si="346"/>
        <v>0</v>
      </c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  <c r="CC55" s="66"/>
      <c r="CD55" s="66"/>
      <c r="CE55" s="66"/>
      <c r="CF55" s="66"/>
      <c r="CG55" s="66"/>
      <c r="CH55" s="66"/>
      <c r="CI55" s="66"/>
      <c r="CJ55" s="66"/>
      <c r="CK55" s="66"/>
      <c r="CL55" s="66"/>
      <c r="CM55" s="66"/>
      <c r="CN55" s="66"/>
      <c r="CO55" s="66"/>
      <c r="CP55" s="66"/>
      <c r="CQ55" s="66"/>
      <c r="CR55" s="66"/>
      <c r="CS55" s="66"/>
      <c r="CT55" s="66"/>
      <c r="CU55" s="66"/>
      <c r="CV55" s="66"/>
      <c r="CW55" s="66"/>
      <c r="CX55" s="66"/>
      <c r="CY55" s="66"/>
      <c r="CZ55" s="66"/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6"/>
      <c r="DL55" s="66"/>
      <c r="DM55" s="66"/>
      <c r="DN55" s="66"/>
      <c r="DO55" s="66"/>
      <c r="DP55" s="66"/>
      <c r="DQ55" s="66"/>
      <c r="DR55" s="66"/>
      <c r="DS55" s="66"/>
      <c r="DT55" s="66"/>
      <c r="DU55" s="66"/>
      <c r="DV55" s="66"/>
      <c r="DW55" s="66"/>
      <c r="DX55" s="66"/>
      <c r="DY55" s="66"/>
      <c r="DZ55" s="66"/>
      <c r="EA55" s="66"/>
      <c r="EB55" s="66"/>
      <c r="EC55" s="66"/>
      <c r="ED55" s="66"/>
      <c r="EE55" s="66"/>
      <c r="EF55" s="66"/>
      <c r="EG55" s="66"/>
      <c r="EH55" s="66"/>
      <c r="EI55" s="66"/>
      <c r="EJ55" s="66"/>
      <c r="EK55" s="66"/>
      <c r="EL55" s="66"/>
      <c r="EM55" s="66"/>
      <c r="EN55" s="66"/>
      <c r="EO55" s="66"/>
      <c r="EP55" s="66"/>
      <c r="EQ55" s="66"/>
      <c r="ER55" s="66"/>
      <c r="ES55" s="66"/>
      <c r="ET55" s="66"/>
      <c r="EU55" s="66"/>
      <c r="EV55" s="66"/>
      <c r="EW55" s="66"/>
      <c r="EX55" s="66"/>
      <c r="EY55" s="66"/>
      <c r="EZ55" s="66"/>
      <c r="FA55" s="66"/>
      <c r="FB55" s="66"/>
      <c r="FC55" s="66"/>
      <c r="FD55" s="66"/>
      <c r="FE55" s="66"/>
      <c r="FF55" s="66"/>
    </row>
    <row r="56" spans="1:162" s="162" customFormat="1" ht="20.25" customHeight="1">
      <c r="A56" s="366"/>
      <c r="B56" s="275" t="s">
        <v>210</v>
      </c>
      <c r="C56" s="208">
        <v>568</v>
      </c>
      <c r="D56" s="160">
        <v>45966</v>
      </c>
      <c r="E56" s="160">
        <v>45966</v>
      </c>
      <c r="F56" s="208">
        <v>188</v>
      </c>
      <c r="G56" s="208">
        <v>0</v>
      </c>
      <c r="H56" s="272">
        <f t="shared" ref="H56:H58" si="349">F56+G56</f>
        <v>188</v>
      </c>
      <c r="I56" s="208">
        <v>0</v>
      </c>
      <c r="J56" s="208">
        <v>0</v>
      </c>
      <c r="K56" s="272">
        <f t="shared" ref="K56:K58" si="350">H56+I56+J56</f>
        <v>188</v>
      </c>
      <c r="L56" s="208">
        <v>0</v>
      </c>
      <c r="M56" s="208">
        <v>0</v>
      </c>
      <c r="N56" s="208">
        <v>188</v>
      </c>
      <c r="O56" s="208">
        <v>16</v>
      </c>
      <c r="P56" s="208">
        <v>0</v>
      </c>
      <c r="Q56" s="208">
        <v>0</v>
      </c>
      <c r="R56" s="208">
        <v>0</v>
      </c>
      <c r="S56" s="208">
        <v>0</v>
      </c>
      <c r="T56" s="208">
        <v>367</v>
      </c>
      <c r="U56" s="208">
        <v>11</v>
      </c>
      <c r="V56" s="208">
        <v>4</v>
      </c>
      <c r="W56" s="208">
        <v>66</v>
      </c>
      <c r="X56" s="208">
        <v>8</v>
      </c>
      <c r="Y56" s="208">
        <v>2</v>
      </c>
      <c r="Z56" s="208">
        <v>13</v>
      </c>
      <c r="AA56" s="208">
        <v>2</v>
      </c>
      <c r="AB56" s="208">
        <v>77</v>
      </c>
      <c r="AC56" s="208">
        <v>24</v>
      </c>
      <c r="AD56" s="208">
        <v>2</v>
      </c>
      <c r="AE56" s="208">
        <v>241</v>
      </c>
      <c r="AF56" s="208">
        <v>13</v>
      </c>
      <c r="AG56" s="208">
        <v>1</v>
      </c>
      <c r="AH56" s="208">
        <v>0</v>
      </c>
      <c r="AI56" s="208">
        <v>0</v>
      </c>
      <c r="AJ56" s="208">
        <v>0</v>
      </c>
      <c r="AK56" s="105">
        <f t="shared" ref="AK56" si="351">P56+S56+V56+Y56+AB56+AE56+AH56</f>
        <v>324</v>
      </c>
      <c r="AL56" s="105">
        <f t="shared" ref="AL56" si="352">Q56+T56+W56+Z56+AC56+AF56+AI56</f>
        <v>483</v>
      </c>
      <c r="AM56" s="105">
        <f t="shared" ref="AM56" si="353">AK56+AL56</f>
        <v>807</v>
      </c>
      <c r="AN56" s="105">
        <f t="shared" ref="AN56" si="354">R56+U56+X56+AA56+AD56+AG56+AJ56</f>
        <v>24</v>
      </c>
      <c r="AO56" s="106">
        <f t="shared" ref="AO56" si="355">O56/H56*100</f>
        <v>8.5106382978723403</v>
      </c>
      <c r="AP56" s="106">
        <f t="shared" ref="AP56" si="356">AN56/H56*100</f>
        <v>12.76595744680851</v>
      </c>
      <c r="AQ56" s="106">
        <f t="shared" ref="AQ56" si="357">AN56/AM56*100</f>
        <v>2.9739776951672861</v>
      </c>
      <c r="AR56" s="106">
        <f t="shared" si="348"/>
        <v>40.148698884758367</v>
      </c>
      <c r="AS56" s="106">
        <f t="shared" si="339"/>
        <v>59.85130111524164</v>
      </c>
      <c r="AT56" s="106">
        <f t="shared" si="340"/>
        <v>0</v>
      </c>
      <c r="AU56" s="106">
        <f t="shared" si="341"/>
        <v>45.833333333333329</v>
      </c>
      <c r="AV56" s="106">
        <f t="shared" si="342"/>
        <v>33.333333333333329</v>
      </c>
      <c r="AW56" s="106">
        <f t="shared" si="343"/>
        <v>8.3333333333333321</v>
      </c>
      <c r="AX56" s="106">
        <f t="shared" si="344"/>
        <v>8.3333333333333321</v>
      </c>
      <c r="AY56" s="106">
        <f t="shared" si="345"/>
        <v>4.1666666666666661</v>
      </c>
      <c r="AZ56" s="106">
        <f t="shared" si="346"/>
        <v>0</v>
      </c>
      <c r="BA56" s="161"/>
      <c r="BB56" s="161"/>
      <c r="BC56" s="161"/>
      <c r="BD56" s="161"/>
      <c r="BE56" s="161"/>
      <c r="BF56" s="161"/>
      <c r="BG56" s="161"/>
      <c r="BH56" s="161"/>
      <c r="BI56" s="161"/>
      <c r="BJ56" s="161"/>
      <c r="BK56" s="161"/>
      <c r="BL56" s="161"/>
      <c r="BM56" s="161"/>
      <c r="BN56" s="161"/>
      <c r="BO56" s="161"/>
      <c r="BP56" s="161"/>
      <c r="BQ56" s="161"/>
      <c r="BR56" s="161"/>
      <c r="BS56" s="161"/>
      <c r="BT56" s="161"/>
      <c r="BU56" s="161"/>
      <c r="BV56" s="161"/>
      <c r="BW56" s="161"/>
      <c r="BX56" s="161"/>
      <c r="BY56" s="161"/>
      <c r="BZ56" s="161"/>
      <c r="CA56" s="161"/>
      <c r="CB56" s="161"/>
      <c r="CC56" s="161"/>
      <c r="CD56" s="161"/>
      <c r="CE56" s="161"/>
      <c r="CF56" s="161"/>
      <c r="CG56" s="161"/>
      <c r="CH56" s="161"/>
      <c r="CI56" s="161"/>
      <c r="CJ56" s="161"/>
      <c r="CK56" s="161"/>
      <c r="CL56" s="161"/>
      <c r="CM56" s="161"/>
      <c r="CN56" s="161"/>
      <c r="CO56" s="161"/>
      <c r="CP56" s="161"/>
      <c r="CQ56" s="161"/>
      <c r="CR56" s="161"/>
      <c r="CS56" s="161"/>
      <c r="CT56" s="161"/>
      <c r="CU56" s="161"/>
      <c r="CV56" s="161"/>
      <c r="CW56" s="161"/>
      <c r="CX56" s="161"/>
      <c r="CY56" s="161"/>
      <c r="CZ56" s="161"/>
      <c r="DA56" s="161"/>
      <c r="DB56" s="161"/>
      <c r="DC56" s="161"/>
      <c r="DD56" s="161"/>
      <c r="DE56" s="161"/>
      <c r="DF56" s="161"/>
      <c r="DG56" s="161"/>
      <c r="DH56" s="161"/>
      <c r="DI56" s="161"/>
      <c r="DJ56" s="161"/>
      <c r="DK56" s="161"/>
      <c r="DL56" s="161"/>
      <c r="DM56" s="161"/>
      <c r="DN56" s="161"/>
      <c r="DO56" s="161"/>
      <c r="DP56" s="161"/>
      <c r="DQ56" s="161"/>
      <c r="DR56" s="161"/>
      <c r="DS56" s="161"/>
      <c r="DT56" s="161"/>
      <c r="DU56" s="161"/>
      <c r="DV56" s="161"/>
      <c r="DW56" s="161"/>
      <c r="DX56" s="161"/>
      <c r="DY56" s="161"/>
      <c r="DZ56" s="161"/>
      <c r="EA56" s="161"/>
      <c r="EB56" s="161"/>
      <c r="EC56" s="161"/>
      <c r="ED56" s="161"/>
      <c r="EE56" s="161"/>
      <c r="EF56" s="161"/>
      <c r="EG56" s="161"/>
      <c r="EH56" s="161"/>
      <c r="EI56" s="161"/>
      <c r="EJ56" s="161"/>
      <c r="EK56" s="161"/>
      <c r="EL56" s="161"/>
      <c r="EM56" s="161"/>
      <c r="EN56" s="161"/>
      <c r="EO56" s="161"/>
      <c r="EP56" s="161"/>
      <c r="EQ56" s="161"/>
      <c r="ER56" s="161"/>
      <c r="ES56" s="161"/>
      <c r="ET56" s="161"/>
      <c r="EU56" s="161"/>
      <c r="EV56" s="161"/>
      <c r="EW56" s="161"/>
      <c r="EX56" s="161"/>
      <c r="EY56" s="161"/>
      <c r="EZ56" s="161"/>
      <c r="FA56" s="161"/>
      <c r="FB56" s="161"/>
      <c r="FC56" s="161"/>
      <c r="FD56" s="161"/>
      <c r="FE56" s="161"/>
      <c r="FF56" s="161"/>
    </row>
    <row r="57" spans="1:162" s="162" customFormat="1" ht="20.25" customHeight="1">
      <c r="A57" s="366"/>
      <c r="B57" s="275" t="s">
        <v>132</v>
      </c>
      <c r="C57" s="208">
        <v>469</v>
      </c>
      <c r="D57" s="160">
        <v>45972</v>
      </c>
      <c r="E57" s="160">
        <v>45982</v>
      </c>
      <c r="F57" s="208">
        <v>161</v>
      </c>
      <c r="G57" s="208">
        <v>0</v>
      </c>
      <c r="H57" s="272">
        <f t="shared" si="349"/>
        <v>161</v>
      </c>
      <c r="I57" s="208">
        <v>0</v>
      </c>
      <c r="J57" s="208">
        <v>0</v>
      </c>
      <c r="K57" s="272">
        <f t="shared" si="350"/>
        <v>161</v>
      </c>
      <c r="L57" s="208">
        <v>0</v>
      </c>
      <c r="M57" s="208">
        <v>0</v>
      </c>
      <c r="N57" s="208">
        <v>161</v>
      </c>
      <c r="O57" s="208">
        <v>15</v>
      </c>
      <c r="P57" s="208">
        <v>0</v>
      </c>
      <c r="Q57" s="208">
        <v>0</v>
      </c>
      <c r="R57" s="208">
        <v>0</v>
      </c>
      <c r="S57" s="208">
        <v>1</v>
      </c>
      <c r="T57" s="208">
        <v>343</v>
      </c>
      <c r="U57" s="208">
        <v>10</v>
      </c>
      <c r="V57" s="208">
        <v>12</v>
      </c>
      <c r="W57" s="208">
        <v>49</v>
      </c>
      <c r="X57" s="208">
        <v>2</v>
      </c>
      <c r="Y57" s="208">
        <v>0</v>
      </c>
      <c r="Z57" s="208">
        <v>25</v>
      </c>
      <c r="AA57" s="208">
        <v>1</v>
      </c>
      <c r="AB57" s="208">
        <v>43</v>
      </c>
      <c r="AC57" s="208">
        <v>18</v>
      </c>
      <c r="AD57" s="208">
        <v>12</v>
      </c>
      <c r="AE57" s="208">
        <v>54</v>
      </c>
      <c r="AF57" s="208">
        <v>0</v>
      </c>
      <c r="AG57" s="208">
        <v>0</v>
      </c>
      <c r="AH57" s="208">
        <v>0</v>
      </c>
      <c r="AI57" s="208">
        <v>0</v>
      </c>
      <c r="AJ57" s="208">
        <v>0</v>
      </c>
      <c r="AK57" s="105">
        <f t="shared" ref="AK57:AK58" si="358">P57+S57+V57+Y57+AB57+AE57+AH57</f>
        <v>110</v>
      </c>
      <c r="AL57" s="105">
        <f t="shared" ref="AL57:AL58" si="359">Q57+T57+W57+Z57+AC57+AF57+AI57</f>
        <v>435</v>
      </c>
      <c r="AM57" s="105">
        <f t="shared" ref="AM57:AM58" si="360">AK57+AL57</f>
        <v>545</v>
      </c>
      <c r="AN57" s="105">
        <f t="shared" ref="AN57:AN58" si="361">R57+U57+X57+AA57+AD57+AG57+AJ57</f>
        <v>25</v>
      </c>
      <c r="AO57" s="106">
        <f t="shared" ref="AO57:AO58" si="362">O57/H57*100</f>
        <v>9.316770186335404</v>
      </c>
      <c r="AP57" s="106">
        <f t="shared" ref="AP57:AP58" si="363">AN57/H57*100</f>
        <v>15.527950310559005</v>
      </c>
      <c r="AQ57" s="106">
        <f t="shared" ref="AQ57:AQ58" si="364">AN57/AM57*100</f>
        <v>4.5871559633027523</v>
      </c>
      <c r="AR57" s="106">
        <f t="shared" ref="AR57:AR58" si="365">AK57/AM57*100</f>
        <v>20.183486238532112</v>
      </c>
      <c r="AS57" s="106">
        <f t="shared" ref="AS57:AS58" si="366">AL57/AM57*100</f>
        <v>79.816513761467888</v>
      </c>
      <c r="AT57" s="106">
        <f t="shared" ref="AT57:AT58" si="367">R57/AN57*100</f>
        <v>0</v>
      </c>
      <c r="AU57" s="106">
        <f t="shared" ref="AU57:AU58" si="368">U57/AN57*100</f>
        <v>40</v>
      </c>
      <c r="AV57" s="106">
        <f t="shared" ref="AV57:AV58" si="369">X57/AN57*100</f>
        <v>8</v>
      </c>
      <c r="AW57" s="106">
        <f t="shared" ref="AW57:AW58" si="370">AA57/AN57*100</f>
        <v>4</v>
      </c>
      <c r="AX57" s="106">
        <f t="shared" ref="AX57:AX58" si="371">AD57/AN57*100</f>
        <v>48</v>
      </c>
      <c r="AY57" s="106">
        <f t="shared" ref="AY57:AY58" si="372">AG57/AN57*100</f>
        <v>0</v>
      </c>
      <c r="AZ57" s="106">
        <f t="shared" ref="AZ57:AZ58" si="373">AJ57/AN57*100</f>
        <v>0</v>
      </c>
      <c r="BA57" s="161"/>
      <c r="BB57" s="161"/>
      <c r="BC57" s="161"/>
      <c r="BD57" s="161"/>
      <c r="BE57" s="161"/>
      <c r="BF57" s="161"/>
      <c r="BG57" s="161"/>
      <c r="BH57" s="161"/>
      <c r="BI57" s="161"/>
      <c r="BJ57" s="161"/>
      <c r="BK57" s="161"/>
      <c r="BL57" s="161"/>
      <c r="BM57" s="161"/>
      <c r="BN57" s="161"/>
      <c r="BO57" s="161"/>
      <c r="BP57" s="161"/>
      <c r="BQ57" s="161"/>
      <c r="BR57" s="161"/>
      <c r="BS57" s="161"/>
      <c r="BT57" s="161"/>
      <c r="BU57" s="161"/>
      <c r="BV57" s="161"/>
      <c r="BW57" s="161"/>
      <c r="BX57" s="161"/>
      <c r="BY57" s="161"/>
      <c r="BZ57" s="161"/>
      <c r="CA57" s="161"/>
      <c r="CB57" s="161"/>
      <c r="CC57" s="161"/>
      <c r="CD57" s="161"/>
      <c r="CE57" s="161"/>
      <c r="CF57" s="161"/>
      <c r="CG57" s="161"/>
      <c r="CH57" s="161"/>
      <c r="CI57" s="161"/>
      <c r="CJ57" s="161"/>
      <c r="CK57" s="161"/>
      <c r="CL57" s="161"/>
      <c r="CM57" s="161"/>
      <c r="CN57" s="161"/>
      <c r="CO57" s="161"/>
      <c r="CP57" s="161"/>
      <c r="CQ57" s="161"/>
      <c r="CR57" s="161"/>
      <c r="CS57" s="161"/>
      <c r="CT57" s="161"/>
      <c r="CU57" s="161"/>
      <c r="CV57" s="161"/>
      <c r="CW57" s="161"/>
      <c r="CX57" s="161"/>
      <c r="CY57" s="161"/>
      <c r="CZ57" s="161"/>
      <c r="DA57" s="161"/>
      <c r="DB57" s="161"/>
      <c r="DC57" s="161"/>
      <c r="DD57" s="161"/>
      <c r="DE57" s="161"/>
      <c r="DF57" s="161"/>
      <c r="DG57" s="161"/>
      <c r="DH57" s="161"/>
      <c r="DI57" s="161"/>
      <c r="DJ57" s="161"/>
      <c r="DK57" s="161"/>
      <c r="DL57" s="161"/>
      <c r="DM57" s="161"/>
      <c r="DN57" s="161"/>
      <c r="DO57" s="161"/>
      <c r="DP57" s="161"/>
      <c r="DQ57" s="161"/>
      <c r="DR57" s="161"/>
      <c r="DS57" s="161"/>
      <c r="DT57" s="161"/>
      <c r="DU57" s="161"/>
      <c r="DV57" s="161"/>
      <c r="DW57" s="161"/>
      <c r="DX57" s="161"/>
      <c r="DY57" s="161"/>
      <c r="DZ57" s="161"/>
      <c r="EA57" s="161"/>
      <c r="EB57" s="161"/>
      <c r="EC57" s="161"/>
      <c r="ED57" s="161"/>
      <c r="EE57" s="161"/>
      <c r="EF57" s="161"/>
      <c r="EG57" s="161"/>
      <c r="EH57" s="161"/>
      <c r="EI57" s="161"/>
      <c r="EJ57" s="161"/>
      <c r="EK57" s="161"/>
      <c r="EL57" s="161"/>
      <c r="EM57" s="161"/>
      <c r="EN57" s="161"/>
      <c r="EO57" s="161"/>
      <c r="EP57" s="161"/>
      <c r="EQ57" s="161"/>
      <c r="ER57" s="161"/>
      <c r="ES57" s="161"/>
      <c r="ET57" s="161"/>
      <c r="EU57" s="161"/>
      <c r="EV57" s="161"/>
      <c r="EW57" s="161"/>
      <c r="EX57" s="161"/>
      <c r="EY57" s="161"/>
      <c r="EZ57" s="161"/>
      <c r="FA57" s="161"/>
      <c r="FB57" s="161"/>
      <c r="FC57" s="161"/>
      <c r="FD57" s="161"/>
      <c r="FE57" s="161"/>
      <c r="FF57" s="161"/>
    </row>
    <row r="58" spans="1:162" s="162" customFormat="1" ht="20.25" customHeight="1">
      <c r="A58" s="367"/>
      <c r="B58" s="275" t="s">
        <v>168</v>
      </c>
      <c r="C58" s="208">
        <v>513</v>
      </c>
      <c r="D58" s="160">
        <v>45982</v>
      </c>
      <c r="E58" s="160">
        <v>45988</v>
      </c>
      <c r="F58" s="208">
        <v>175</v>
      </c>
      <c r="G58" s="208">
        <v>0</v>
      </c>
      <c r="H58" s="272">
        <f t="shared" si="349"/>
        <v>175</v>
      </c>
      <c r="I58" s="208">
        <v>0</v>
      </c>
      <c r="J58" s="208">
        <v>0</v>
      </c>
      <c r="K58" s="272">
        <f t="shared" si="350"/>
        <v>175</v>
      </c>
      <c r="L58" s="208">
        <v>0</v>
      </c>
      <c r="M58" s="208">
        <v>0</v>
      </c>
      <c r="N58" s="208">
        <v>175</v>
      </c>
      <c r="O58" s="208">
        <v>19</v>
      </c>
      <c r="P58" s="208">
        <v>0</v>
      </c>
      <c r="Q58" s="208">
        <v>0</v>
      </c>
      <c r="R58" s="208">
        <v>0</v>
      </c>
      <c r="S58" s="208">
        <v>0</v>
      </c>
      <c r="T58" s="208">
        <v>320</v>
      </c>
      <c r="U58" s="208">
        <v>18</v>
      </c>
      <c r="V58" s="208">
        <v>61</v>
      </c>
      <c r="W58" s="208">
        <v>35</v>
      </c>
      <c r="X58" s="208">
        <v>1</v>
      </c>
      <c r="Y58" s="208">
        <v>0</v>
      </c>
      <c r="Z58" s="208">
        <v>11</v>
      </c>
      <c r="AA58" s="208">
        <v>0</v>
      </c>
      <c r="AB58" s="208">
        <v>2</v>
      </c>
      <c r="AC58" s="208">
        <v>7</v>
      </c>
      <c r="AD58" s="208">
        <v>3</v>
      </c>
      <c r="AE58" s="208">
        <v>6</v>
      </c>
      <c r="AF58" s="208">
        <v>0</v>
      </c>
      <c r="AG58" s="208">
        <v>0</v>
      </c>
      <c r="AH58" s="208">
        <v>0</v>
      </c>
      <c r="AI58" s="208">
        <v>0</v>
      </c>
      <c r="AJ58" s="208">
        <v>0</v>
      </c>
      <c r="AK58" s="105">
        <f t="shared" si="358"/>
        <v>69</v>
      </c>
      <c r="AL58" s="105">
        <f t="shared" si="359"/>
        <v>373</v>
      </c>
      <c r="AM58" s="105">
        <f t="shared" si="360"/>
        <v>442</v>
      </c>
      <c r="AN58" s="105">
        <f t="shared" si="361"/>
        <v>22</v>
      </c>
      <c r="AO58" s="106">
        <f t="shared" si="362"/>
        <v>10.857142857142858</v>
      </c>
      <c r="AP58" s="106">
        <f t="shared" si="363"/>
        <v>12.571428571428573</v>
      </c>
      <c r="AQ58" s="106">
        <f t="shared" si="364"/>
        <v>4.9773755656108598</v>
      </c>
      <c r="AR58" s="106">
        <f t="shared" si="365"/>
        <v>15.610859728506787</v>
      </c>
      <c r="AS58" s="106">
        <f t="shared" si="366"/>
        <v>84.389140271493218</v>
      </c>
      <c r="AT58" s="106">
        <f t="shared" si="367"/>
        <v>0</v>
      </c>
      <c r="AU58" s="106">
        <f t="shared" si="368"/>
        <v>81.818181818181827</v>
      </c>
      <c r="AV58" s="106">
        <f t="shared" si="369"/>
        <v>4.5454545454545459</v>
      </c>
      <c r="AW58" s="106">
        <f t="shared" si="370"/>
        <v>0</v>
      </c>
      <c r="AX58" s="106">
        <f t="shared" si="371"/>
        <v>13.636363636363635</v>
      </c>
      <c r="AY58" s="106">
        <f t="shared" si="372"/>
        <v>0</v>
      </c>
      <c r="AZ58" s="106">
        <f t="shared" si="373"/>
        <v>0</v>
      </c>
      <c r="BA58" s="161"/>
      <c r="BB58" s="161"/>
      <c r="BC58" s="161"/>
      <c r="BD58" s="161"/>
      <c r="BE58" s="161"/>
      <c r="BF58" s="161"/>
      <c r="BG58" s="161"/>
      <c r="BH58" s="161"/>
      <c r="BI58" s="161"/>
      <c r="BJ58" s="161"/>
      <c r="BK58" s="161"/>
      <c r="BL58" s="161"/>
      <c r="BM58" s="161"/>
      <c r="BN58" s="161"/>
      <c r="BO58" s="161"/>
      <c r="BP58" s="161"/>
      <c r="BQ58" s="161"/>
      <c r="BR58" s="161"/>
      <c r="BS58" s="161"/>
      <c r="BT58" s="161"/>
      <c r="BU58" s="161"/>
      <c r="BV58" s="161"/>
      <c r="BW58" s="161"/>
      <c r="BX58" s="161"/>
      <c r="BY58" s="161"/>
      <c r="BZ58" s="161"/>
      <c r="CA58" s="161"/>
      <c r="CB58" s="161"/>
      <c r="CC58" s="161"/>
      <c r="CD58" s="161"/>
      <c r="CE58" s="161"/>
      <c r="CF58" s="161"/>
      <c r="CG58" s="161"/>
      <c r="CH58" s="161"/>
      <c r="CI58" s="161"/>
      <c r="CJ58" s="161"/>
      <c r="CK58" s="161"/>
      <c r="CL58" s="161"/>
      <c r="CM58" s="161"/>
      <c r="CN58" s="161"/>
      <c r="CO58" s="161"/>
      <c r="CP58" s="161"/>
      <c r="CQ58" s="161"/>
      <c r="CR58" s="161"/>
      <c r="CS58" s="161"/>
      <c r="CT58" s="161"/>
      <c r="CU58" s="161"/>
      <c r="CV58" s="161"/>
      <c r="CW58" s="161"/>
      <c r="CX58" s="161"/>
      <c r="CY58" s="161"/>
      <c r="CZ58" s="161"/>
      <c r="DA58" s="161"/>
      <c r="DB58" s="161"/>
      <c r="DC58" s="161"/>
      <c r="DD58" s="161"/>
      <c r="DE58" s="161"/>
      <c r="DF58" s="161"/>
      <c r="DG58" s="161"/>
      <c r="DH58" s="161"/>
      <c r="DI58" s="161"/>
      <c r="DJ58" s="161"/>
      <c r="DK58" s="161"/>
      <c r="DL58" s="161"/>
      <c r="DM58" s="161"/>
      <c r="DN58" s="161"/>
      <c r="DO58" s="161"/>
      <c r="DP58" s="161"/>
      <c r="DQ58" s="161"/>
      <c r="DR58" s="161"/>
      <c r="DS58" s="161"/>
      <c r="DT58" s="161"/>
      <c r="DU58" s="161"/>
      <c r="DV58" s="161"/>
      <c r="DW58" s="161"/>
      <c r="DX58" s="161"/>
      <c r="DY58" s="161"/>
      <c r="DZ58" s="161"/>
      <c r="EA58" s="161"/>
      <c r="EB58" s="161"/>
      <c r="EC58" s="161"/>
      <c r="ED58" s="161"/>
      <c r="EE58" s="161"/>
      <c r="EF58" s="161"/>
      <c r="EG58" s="161"/>
      <c r="EH58" s="161"/>
      <c r="EI58" s="161"/>
      <c r="EJ58" s="161"/>
      <c r="EK58" s="161"/>
      <c r="EL58" s="161"/>
      <c r="EM58" s="161"/>
      <c r="EN58" s="161"/>
      <c r="EO58" s="161"/>
      <c r="EP58" s="161"/>
      <c r="EQ58" s="161"/>
      <c r="ER58" s="161"/>
      <c r="ES58" s="161"/>
      <c r="ET58" s="161"/>
      <c r="EU58" s="161"/>
      <c r="EV58" s="161"/>
      <c r="EW58" s="161"/>
      <c r="EX58" s="161"/>
      <c r="EY58" s="161"/>
      <c r="EZ58" s="161"/>
      <c r="FA58" s="161"/>
      <c r="FB58" s="161"/>
      <c r="FC58" s="161"/>
      <c r="FD58" s="161"/>
      <c r="FE58" s="161"/>
      <c r="FF58" s="161"/>
    </row>
    <row r="59" spans="1:162" s="67" customFormat="1" ht="20.25" customHeight="1">
      <c r="A59" s="70" t="s">
        <v>295</v>
      </c>
      <c r="B59" s="70">
        <f>COUNTA(B56:B58)</f>
        <v>3</v>
      </c>
      <c r="C59" s="71">
        <f>C55</f>
        <v>1550</v>
      </c>
      <c r="D59" s="68">
        <f>D55</f>
        <v>45966</v>
      </c>
      <c r="E59" s="68">
        <f>E55</f>
        <v>45988</v>
      </c>
      <c r="F59" s="71">
        <f>F55</f>
        <v>524</v>
      </c>
      <c r="G59" s="71">
        <f t="shared" ref="G59:AJ59" si="374">G55</f>
        <v>0</v>
      </c>
      <c r="H59" s="71">
        <f t="shared" si="374"/>
        <v>524</v>
      </c>
      <c r="I59" s="71">
        <f t="shared" si="374"/>
        <v>0</v>
      </c>
      <c r="J59" s="71">
        <f t="shared" si="374"/>
        <v>0</v>
      </c>
      <c r="K59" s="71">
        <f t="shared" si="374"/>
        <v>524</v>
      </c>
      <c r="L59" s="71">
        <f t="shared" si="374"/>
        <v>0</v>
      </c>
      <c r="M59" s="71">
        <f t="shared" si="374"/>
        <v>0</v>
      </c>
      <c r="N59" s="71">
        <f t="shared" si="374"/>
        <v>524</v>
      </c>
      <c r="O59" s="71">
        <f t="shared" si="374"/>
        <v>50</v>
      </c>
      <c r="P59" s="71">
        <f t="shared" si="374"/>
        <v>0</v>
      </c>
      <c r="Q59" s="71">
        <f t="shared" si="374"/>
        <v>0</v>
      </c>
      <c r="R59" s="71">
        <f t="shared" si="374"/>
        <v>0</v>
      </c>
      <c r="S59" s="71">
        <f t="shared" si="374"/>
        <v>1</v>
      </c>
      <c r="T59" s="71">
        <f t="shared" si="374"/>
        <v>1030</v>
      </c>
      <c r="U59" s="71">
        <f t="shared" si="374"/>
        <v>39</v>
      </c>
      <c r="V59" s="71">
        <f t="shared" si="374"/>
        <v>77</v>
      </c>
      <c r="W59" s="71">
        <f t="shared" si="374"/>
        <v>150</v>
      </c>
      <c r="X59" s="71">
        <f t="shared" si="374"/>
        <v>11</v>
      </c>
      <c r="Y59" s="71">
        <f t="shared" si="374"/>
        <v>2</v>
      </c>
      <c r="Z59" s="71">
        <f t="shared" si="374"/>
        <v>49</v>
      </c>
      <c r="AA59" s="71">
        <f t="shared" si="374"/>
        <v>3</v>
      </c>
      <c r="AB59" s="71">
        <f t="shared" si="374"/>
        <v>122</v>
      </c>
      <c r="AC59" s="71">
        <f t="shared" si="374"/>
        <v>49</v>
      </c>
      <c r="AD59" s="71">
        <f t="shared" si="374"/>
        <v>17</v>
      </c>
      <c r="AE59" s="71">
        <f t="shared" si="374"/>
        <v>301</v>
      </c>
      <c r="AF59" s="71">
        <f t="shared" si="374"/>
        <v>13</v>
      </c>
      <c r="AG59" s="71">
        <f t="shared" si="374"/>
        <v>1</v>
      </c>
      <c r="AH59" s="71">
        <f t="shared" si="374"/>
        <v>0</v>
      </c>
      <c r="AI59" s="71">
        <f t="shared" si="374"/>
        <v>0</v>
      </c>
      <c r="AJ59" s="71">
        <f t="shared" si="374"/>
        <v>0</v>
      </c>
      <c r="AK59" s="173">
        <f>P59+S59+V59+Y59+AB59+AE59+AH59</f>
        <v>503</v>
      </c>
      <c r="AL59" s="173">
        <f>Q59+T59+W59+Z59+AC59+AF59+AI59</f>
        <v>1291</v>
      </c>
      <c r="AM59" s="173">
        <f>AK59+AL59</f>
        <v>1794</v>
      </c>
      <c r="AN59" s="173">
        <f>R59+U59+X59+AA59+AD59+AG59+AJ59</f>
        <v>71</v>
      </c>
      <c r="AO59" s="185">
        <f>O59/H59*100</f>
        <v>9.5419847328244281</v>
      </c>
      <c r="AP59" s="185">
        <f t="shared" ref="AP59" si="375">AN59/H59*100</f>
        <v>13.549618320610687</v>
      </c>
      <c r="AQ59" s="185">
        <f t="shared" ref="AQ59" si="376">AN59/AM59*100</f>
        <v>3.9576365663322184</v>
      </c>
      <c r="AR59" s="174">
        <f>AK59/AM59*100</f>
        <v>28.037904124860646</v>
      </c>
      <c r="AS59" s="174">
        <f t="shared" ref="AS59:AS60" si="377">AL59/AM59*100</f>
        <v>71.962095875139354</v>
      </c>
      <c r="AT59" s="174">
        <f t="shared" ref="AT59:AT60" si="378">R59/AN59*100</f>
        <v>0</v>
      </c>
      <c r="AU59" s="174">
        <f t="shared" ref="AU59:AU60" si="379">U59/AN59*100</f>
        <v>54.929577464788736</v>
      </c>
      <c r="AV59" s="174">
        <f t="shared" ref="AV59:AV60" si="380">X59/AN59*100</f>
        <v>15.492957746478872</v>
      </c>
      <c r="AW59" s="174">
        <f t="shared" ref="AW59:AW60" si="381">AA59/AN59*100</f>
        <v>4.225352112676056</v>
      </c>
      <c r="AX59" s="174">
        <f t="shared" ref="AX59:AX60" si="382">AD59/AN59*100</f>
        <v>23.943661971830984</v>
      </c>
      <c r="AY59" s="174">
        <f t="shared" ref="AY59:AY60" si="383">AG59/AN59*100</f>
        <v>1.4084507042253522</v>
      </c>
      <c r="AZ59" s="174">
        <f t="shared" ref="AZ59:AZ60" si="384">AJ59/AN59*100</f>
        <v>0</v>
      </c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66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/>
      <c r="DL59" s="66"/>
      <c r="DM59" s="66"/>
      <c r="DN59" s="66"/>
      <c r="DO59" s="66"/>
      <c r="DP59" s="66"/>
      <c r="DQ59" s="66"/>
      <c r="DR59" s="66"/>
      <c r="DS59" s="66"/>
      <c r="DT59" s="66"/>
      <c r="DU59" s="66"/>
      <c r="DV59" s="66"/>
      <c r="DW59" s="66"/>
      <c r="DX59" s="66"/>
      <c r="DY59" s="66"/>
      <c r="DZ59" s="66"/>
      <c r="EA59" s="66"/>
      <c r="EB59" s="66"/>
      <c r="EC59" s="66"/>
      <c r="ED59" s="66"/>
      <c r="EE59" s="66"/>
      <c r="EF59" s="66"/>
      <c r="EG59" s="66"/>
      <c r="EH59" s="66"/>
      <c r="EI59" s="66"/>
      <c r="EJ59" s="66"/>
      <c r="EK59" s="66"/>
      <c r="EL59" s="66"/>
      <c r="EM59" s="66"/>
      <c r="EN59" s="66"/>
      <c r="EO59" s="66"/>
      <c r="EP59" s="66"/>
      <c r="EQ59" s="66"/>
      <c r="ER59" s="66"/>
      <c r="ES59" s="66"/>
      <c r="ET59" s="66"/>
      <c r="EU59" s="66"/>
      <c r="EV59" s="66"/>
      <c r="EW59" s="66"/>
      <c r="EX59" s="66"/>
      <c r="EY59" s="66"/>
      <c r="EZ59" s="66"/>
      <c r="FA59" s="66"/>
      <c r="FB59" s="66"/>
      <c r="FC59" s="66"/>
      <c r="FD59" s="66"/>
      <c r="FE59" s="66"/>
      <c r="FF59" s="66"/>
    </row>
    <row r="60" spans="1:162" s="162" customFormat="1" ht="20.25" customHeight="1">
      <c r="A60" s="311" t="s">
        <v>107</v>
      </c>
      <c r="B60" s="154" t="s">
        <v>142</v>
      </c>
      <c r="C60" s="208">
        <v>127</v>
      </c>
      <c r="D60" s="160">
        <v>46021</v>
      </c>
      <c r="E60" s="160">
        <v>46021</v>
      </c>
      <c r="F60" s="208">
        <v>45</v>
      </c>
      <c r="G60" s="208">
        <v>0</v>
      </c>
      <c r="H60" s="272">
        <f t="shared" ref="H60:H62" si="385">F60+G60</f>
        <v>45</v>
      </c>
      <c r="I60" s="208">
        <v>1</v>
      </c>
      <c r="J60" s="208">
        <v>0</v>
      </c>
      <c r="K60" s="272">
        <f t="shared" ref="K60:K62" si="386">H60+I60+J60</f>
        <v>46</v>
      </c>
      <c r="L60" s="208">
        <v>0</v>
      </c>
      <c r="M60" s="208">
        <v>0</v>
      </c>
      <c r="N60" s="208">
        <v>45</v>
      </c>
      <c r="O60" s="208">
        <v>5</v>
      </c>
      <c r="P60" s="208">
        <v>0</v>
      </c>
      <c r="Q60" s="208">
        <v>0</v>
      </c>
      <c r="R60" s="208">
        <v>0</v>
      </c>
      <c r="S60" s="208">
        <v>0</v>
      </c>
      <c r="T60" s="208">
        <v>68</v>
      </c>
      <c r="U60" s="208">
        <v>5</v>
      </c>
      <c r="V60" s="208">
        <v>0</v>
      </c>
      <c r="W60" s="208">
        <v>3</v>
      </c>
      <c r="X60" s="208">
        <v>0</v>
      </c>
      <c r="Y60" s="208">
        <v>0</v>
      </c>
      <c r="Z60" s="208">
        <v>4</v>
      </c>
      <c r="AA60" s="208">
        <v>0</v>
      </c>
      <c r="AB60" s="208">
        <v>0</v>
      </c>
      <c r="AC60" s="208">
        <v>0</v>
      </c>
      <c r="AD60" s="208">
        <v>0</v>
      </c>
      <c r="AE60" s="208">
        <v>29</v>
      </c>
      <c r="AF60" s="208">
        <v>5</v>
      </c>
      <c r="AG60" s="208">
        <v>0</v>
      </c>
      <c r="AH60" s="208">
        <v>0</v>
      </c>
      <c r="AI60" s="208">
        <v>0</v>
      </c>
      <c r="AJ60" s="208">
        <v>0</v>
      </c>
      <c r="AK60" s="105">
        <f t="shared" ref="AK60" si="387">P60+S60+V60+Y60+AB60+AE60+AH60</f>
        <v>29</v>
      </c>
      <c r="AL60" s="105">
        <f t="shared" ref="AL60" si="388">Q60+T60+W60+Z60+AC60+AF60+AI60</f>
        <v>80</v>
      </c>
      <c r="AM60" s="105">
        <f t="shared" ref="AM60" si="389">AK60+AL60</f>
        <v>109</v>
      </c>
      <c r="AN60" s="105">
        <f t="shared" ref="AN60" si="390">R60+U60+X60+AA60+AD60+AG60+AJ60</f>
        <v>5</v>
      </c>
      <c r="AO60" s="106">
        <f t="shared" ref="AO60" si="391">O60/H60*100</f>
        <v>11.111111111111111</v>
      </c>
      <c r="AP60" s="106">
        <f t="shared" ref="AP60" si="392">AN60/H60*100</f>
        <v>11.111111111111111</v>
      </c>
      <c r="AQ60" s="106">
        <f t="shared" ref="AQ60" si="393">AN60/AM60*100</f>
        <v>4.5871559633027523</v>
      </c>
      <c r="AR60" s="106">
        <f t="shared" ref="AR60" si="394">AK60/AM60*100</f>
        <v>26.605504587155966</v>
      </c>
      <c r="AS60" s="106">
        <f t="shared" si="377"/>
        <v>73.394495412844037</v>
      </c>
      <c r="AT60" s="106">
        <f t="shared" si="378"/>
        <v>0</v>
      </c>
      <c r="AU60" s="106">
        <f t="shared" si="379"/>
        <v>100</v>
      </c>
      <c r="AV60" s="106">
        <f t="shared" si="380"/>
        <v>0</v>
      </c>
      <c r="AW60" s="106">
        <f t="shared" si="381"/>
        <v>0</v>
      </c>
      <c r="AX60" s="106">
        <f t="shared" si="382"/>
        <v>0</v>
      </c>
      <c r="AY60" s="106">
        <f t="shared" si="383"/>
        <v>0</v>
      </c>
      <c r="AZ60" s="106">
        <f t="shared" si="384"/>
        <v>0</v>
      </c>
      <c r="BA60" s="161"/>
      <c r="BB60" s="161"/>
      <c r="BC60" s="161"/>
      <c r="BD60" s="161"/>
      <c r="BE60" s="161"/>
      <c r="BF60" s="161"/>
      <c r="BG60" s="161"/>
      <c r="BH60" s="161"/>
      <c r="BI60" s="161"/>
      <c r="BJ60" s="161"/>
      <c r="BK60" s="161"/>
      <c r="BL60" s="161"/>
      <c r="BM60" s="161"/>
      <c r="BN60" s="161"/>
      <c r="BO60" s="161"/>
      <c r="BP60" s="161"/>
      <c r="BQ60" s="161"/>
      <c r="BR60" s="161"/>
      <c r="BS60" s="161"/>
      <c r="BT60" s="161"/>
      <c r="BU60" s="161"/>
      <c r="BV60" s="161"/>
      <c r="BW60" s="161"/>
      <c r="BX60" s="161"/>
      <c r="BY60" s="161"/>
      <c r="BZ60" s="161"/>
      <c r="CA60" s="161"/>
      <c r="CB60" s="161"/>
      <c r="CC60" s="161"/>
      <c r="CD60" s="161"/>
      <c r="CE60" s="161"/>
      <c r="CF60" s="161"/>
      <c r="CG60" s="161"/>
      <c r="CH60" s="161"/>
      <c r="CI60" s="161"/>
      <c r="CJ60" s="161"/>
      <c r="CK60" s="161"/>
      <c r="CL60" s="161"/>
      <c r="CM60" s="161"/>
      <c r="CN60" s="161"/>
      <c r="CO60" s="161"/>
      <c r="CP60" s="161"/>
      <c r="CQ60" s="161"/>
      <c r="CR60" s="161"/>
      <c r="CS60" s="161"/>
      <c r="CT60" s="161"/>
      <c r="CU60" s="161"/>
      <c r="CV60" s="161"/>
      <c r="CW60" s="161"/>
      <c r="CX60" s="161"/>
      <c r="CY60" s="161"/>
      <c r="CZ60" s="161"/>
      <c r="DA60" s="161"/>
      <c r="DB60" s="161"/>
      <c r="DC60" s="161"/>
      <c r="DD60" s="161"/>
      <c r="DE60" s="161"/>
      <c r="DF60" s="161"/>
      <c r="DG60" s="161"/>
      <c r="DH60" s="161"/>
      <c r="DI60" s="161"/>
      <c r="DJ60" s="161"/>
      <c r="DK60" s="161"/>
      <c r="DL60" s="161"/>
      <c r="DM60" s="161"/>
      <c r="DN60" s="161"/>
      <c r="DO60" s="161"/>
      <c r="DP60" s="161"/>
      <c r="DQ60" s="161"/>
      <c r="DR60" s="161"/>
      <c r="DS60" s="161"/>
      <c r="DT60" s="161"/>
      <c r="DU60" s="161"/>
      <c r="DV60" s="161"/>
      <c r="DW60" s="161"/>
      <c r="DX60" s="161"/>
      <c r="DY60" s="161"/>
      <c r="DZ60" s="161"/>
      <c r="EA60" s="161"/>
      <c r="EB60" s="161"/>
      <c r="EC60" s="161"/>
      <c r="ED60" s="161"/>
      <c r="EE60" s="161"/>
      <c r="EF60" s="161"/>
      <c r="EG60" s="161"/>
      <c r="EH60" s="161"/>
      <c r="EI60" s="161"/>
      <c r="EJ60" s="161"/>
      <c r="EK60" s="161"/>
      <c r="EL60" s="161"/>
      <c r="EM60" s="161"/>
      <c r="EN60" s="161"/>
      <c r="EO60" s="161"/>
      <c r="EP60" s="161"/>
      <c r="EQ60" s="161"/>
      <c r="ER60" s="161"/>
      <c r="ES60" s="161"/>
      <c r="ET60" s="161"/>
      <c r="EU60" s="161"/>
      <c r="EV60" s="161"/>
      <c r="EW60" s="161"/>
      <c r="EX60" s="161"/>
      <c r="EY60" s="161"/>
      <c r="EZ60" s="161"/>
      <c r="FA60" s="161"/>
      <c r="FB60" s="161"/>
      <c r="FC60" s="161"/>
      <c r="FD60" s="161"/>
      <c r="FE60" s="161"/>
      <c r="FF60" s="161"/>
    </row>
    <row r="61" spans="1:162" s="162" customFormat="1" ht="20.25" customHeight="1">
      <c r="A61" s="154" t="s">
        <v>158</v>
      </c>
      <c r="B61" s="198" t="s">
        <v>157</v>
      </c>
      <c r="C61" s="208">
        <v>84</v>
      </c>
      <c r="D61" s="160">
        <v>45996</v>
      </c>
      <c r="E61" s="160">
        <v>45996</v>
      </c>
      <c r="F61" s="208">
        <v>31</v>
      </c>
      <c r="G61" s="208">
        <v>0</v>
      </c>
      <c r="H61" s="272">
        <f t="shared" si="385"/>
        <v>31</v>
      </c>
      <c r="I61" s="208">
        <v>0</v>
      </c>
      <c r="J61" s="208">
        <v>0</v>
      </c>
      <c r="K61" s="272">
        <f t="shared" si="386"/>
        <v>31</v>
      </c>
      <c r="L61" s="208">
        <v>0</v>
      </c>
      <c r="M61" s="208">
        <v>0</v>
      </c>
      <c r="N61" s="208">
        <v>31</v>
      </c>
      <c r="O61" s="208">
        <v>5</v>
      </c>
      <c r="P61" s="208">
        <v>0</v>
      </c>
      <c r="Q61" s="208">
        <v>0</v>
      </c>
      <c r="R61" s="208">
        <v>0</v>
      </c>
      <c r="S61" s="208">
        <v>0</v>
      </c>
      <c r="T61" s="208">
        <v>78</v>
      </c>
      <c r="U61" s="208">
        <v>6</v>
      </c>
      <c r="V61" s="208">
        <v>0</v>
      </c>
      <c r="W61" s="208">
        <v>0</v>
      </c>
      <c r="X61" s="208">
        <v>0</v>
      </c>
      <c r="Y61" s="208">
        <v>1</v>
      </c>
      <c r="Z61" s="208">
        <v>0</v>
      </c>
      <c r="AA61" s="208">
        <v>0</v>
      </c>
      <c r="AB61" s="208">
        <v>0</v>
      </c>
      <c r="AC61" s="208">
        <v>0</v>
      </c>
      <c r="AD61" s="208">
        <v>0</v>
      </c>
      <c r="AE61" s="208">
        <v>3</v>
      </c>
      <c r="AF61" s="208">
        <v>0</v>
      </c>
      <c r="AG61" s="208">
        <v>0</v>
      </c>
      <c r="AH61" s="208">
        <v>0</v>
      </c>
      <c r="AI61" s="208">
        <v>0</v>
      </c>
      <c r="AJ61" s="208">
        <v>0</v>
      </c>
      <c r="AK61" s="105">
        <f t="shared" ref="AK61:AK62" si="395">P61+S61+V61+Y61+AB61+AE61+AH61</f>
        <v>4</v>
      </c>
      <c r="AL61" s="105">
        <f t="shared" ref="AL61:AL62" si="396">Q61+T61+W61+Z61+AC61+AF61+AI61</f>
        <v>78</v>
      </c>
      <c r="AM61" s="105">
        <f t="shared" ref="AM61:AM62" si="397">AK61+AL61</f>
        <v>82</v>
      </c>
      <c r="AN61" s="105">
        <f t="shared" ref="AN61:AN62" si="398">R61+U61+X61+AA61+AD61+AG61+AJ61</f>
        <v>6</v>
      </c>
      <c r="AO61" s="106">
        <f t="shared" ref="AO61:AO62" si="399">O61/H61*100</f>
        <v>16.129032258064516</v>
      </c>
      <c r="AP61" s="106">
        <f t="shared" ref="AP61:AP62" si="400">AN61/H61*100</f>
        <v>19.35483870967742</v>
      </c>
      <c r="AQ61" s="106">
        <f t="shared" ref="AQ61:AQ62" si="401">AN61/AM61*100</f>
        <v>7.3170731707317067</v>
      </c>
      <c r="AR61" s="106">
        <f t="shared" ref="AR61:AR62" si="402">AK61/AM61*100</f>
        <v>4.8780487804878048</v>
      </c>
      <c r="AS61" s="106">
        <f t="shared" ref="AS61:AS62" si="403">AL61/AM61*100</f>
        <v>95.121951219512198</v>
      </c>
      <c r="AT61" s="106">
        <f t="shared" ref="AT61:AT62" si="404">R61/AN61*100</f>
        <v>0</v>
      </c>
      <c r="AU61" s="106">
        <f t="shared" ref="AU61:AU62" si="405">U61/AN61*100</f>
        <v>100</v>
      </c>
      <c r="AV61" s="106">
        <f t="shared" ref="AV61:AV62" si="406">X61/AN61*100</f>
        <v>0</v>
      </c>
      <c r="AW61" s="106">
        <f t="shared" ref="AW61:AW62" si="407">AA61/AN61*100</f>
        <v>0</v>
      </c>
      <c r="AX61" s="106">
        <f t="shared" ref="AX61:AX62" si="408">AD61/AN61*100</f>
        <v>0</v>
      </c>
      <c r="AY61" s="106">
        <f t="shared" ref="AY61:AY62" si="409">AG61/AN61*100</f>
        <v>0</v>
      </c>
      <c r="AZ61" s="106">
        <f t="shared" ref="AZ61:AZ62" si="410">AJ61/AN61*100</f>
        <v>0</v>
      </c>
      <c r="BA61" s="161"/>
      <c r="BB61" s="161"/>
      <c r="BC61" s="161"/>
      <c r="BD61" s="161"/>
      <c r="BE61" s="161"/>
      <c r="BF61" s="161"/>
      <c r="BG61" s="161"/>
      <c r="BH61" s="161"/>
      <c r="BI61" s="161"/>
      <c r="BJ61" s="161"/>
      <c r="BK61" s="161"/>
      <c r="BL61" s="161"/>
      <c r="BM61" s="161"/>
      <c r="BN61" s="161"/>
      <c r="BO61" s="161"/>
      <c r="BP61" s="161"/>
      <c r="BQ61" s="161"/>
      <c r="BR61" s="161"/>
      <c r="BS61" s="161"/>
      <c r="BT61" s="161"/>
      <c r="BU61" s="161"/>
      <c r="BV61" s="161"/>
      <c r="BW61" s="161"/>
      <c r="BX61" s="161"/>
      <c r="BY61" s="161"/>
      <c r="BZ61" s="161"/>
      <c r="CA61" s="161"/>
      <c r="CB61" s="161"/>
      <c r="CC61" s="161"/>
      <c r="CD61" s="161"/>
      <c r="CE61" s="161"/>
      <c r="CF61" s="161"/>
      <c r="CG61" s="161"/>
      <c r="CH61" s="161"/>
      <c r="CI61" s="161"/>
      <c r="CJ61" s="161"/>
      <c r="CK61" s="161"/>
      <c r="CL61" s="161"/>
      <c r="CM61" s="161"/>
      <c r="CN61" s="161"/>
      <c r="CO61" s="161"/>
      <c r="CP61" s="161"/>
      <c r="CQ61" s="161"/>
      <c r="CR61" s="161"/>
      <c r="CS61" s="161"/>
      <c r="CT61" s="161"/>
      <c r="CU61" s="161"/>
      <c r="CV61" s="161"/>
      <c r="CW61" s="161"/>
      <c r="CX61" s="161"/>
      <c r="CY61" s="161"/>
      <c r="CZ61" s="161"/>
      <c r="DA61" s="161"/>
      <c r="DB61" s="161"/>
      <c r="DC61" s="161"/>
      <c r="DD61" s="161"/>
      <c r="DE61" s="161"/>
      <c r="DF61" s="161"/>
      <c r="DG61" s="161"/>
      <c r="DH61" s="161"/>
      <c r="DI61" s="161"/>
      <c r="DJ61" s="161"/>
      <c r="DK61" s="161"/>
      <c r="DL61" s="161"/>
      <c r="DM61" s="161"/>
      <c r="DN61" s="161"/>
      <c r="DO61" s="161"/>
      <c r="DP61" s="161"/>
      <c r="DQ61" s="161"/>
      <c r="DR61" s="161"/>
      <c r="DS61" s="161"/>
      <c r="DT61" s="161"/>
      <c r="DU61" s="161"/>
      <c r="DV61" s="161"/>
      <c r="DW61" s="161"/>
      <c r="DX61" s="161"/>
      <c r="DY61" s="161"/>
      <c r="DZ61" s="161"/>
      <c r="EA61" s="161"/>
      <c r="EB61" s="161"/>
      <c r="EC61" s="161"/>
      <c r="ED61" s="161"/>
      <c r="EE61" s="161"/>
      <c r="EF61" s="161"/>
      <c r="EG61" s="161"/>
      <c r="EH61" s="161"/>
      <c r="EI61" s="161"/>
      <c r="EJ61" s="161"/>
      <c r="EK61" s="161"/>
      <c r="EL61" s="161"/>
      <c r="EM61" s="161"/>
      <c r="EN61" s="161"/>
      <c r="EO61" s="161"/>
      <c r="EP61" s="161"/>
      <c r="EQ61" s="161"/>
      <c r="ER61" s="161"/>
      <c r="ES61" s="161"/>
      <c r="ET61" s="161"/>
      <c r="EU61" s="161"/>
      <c r="EV61" s="161"/>
      <c r="EW61" s="161"/>
      <c r="EX61" s="161"/>
      <c r="EY61" s="161"/>
      <c r="EZ61" s="161"/>
      <c r="FA61" s="161"/>
      <c r="FB61" s="161"/>
      <c r="FC61" s="161"/>
      <c r="FD61" s="161"/>
      <c r="FE61" s="161"/>
      <c r="FF61" s="161"/>
    </row>
    <row r="62" spans="1:162" s="162" customFormat="1" ht="20.25" customHeight="1">
      <c r="A62" s="154" t="s">
        <v>155</v>
      </c>
      <c r="B62" s="154" t="s">
        <v>153</v>
      </c>
      <c r="C62" s="208">
        <v>221</v>
      </c>
      <c r="D62" s="160">
        <v>46013</v>
      </c>
      <c r="E62" s="160">
        <v>46014</v>
      </c>
      <c r="F62" s="208">
        <v>94</v>
      </c>
      <c r="G62" s="208">
        <v>0</v>
      </c>
      <c r="H62" s="272">
        <f t="shared" si="385"/>
        <v>94</v>
      </c>
      <c r="I62" s="208">
        <v>0</v>
      </c>
      <c r="J62" s="208">
        <v>0</v>
      </c>
      <c r="K62" s="272">
        <f t="shared" si="386"/>
        <v>94</v>
      </c>
      <c r="L62" s="208">
        <v>0</v>
      </c>
      <c r="M62" s="208">
        <v>0</v>
      </c>
      <c r="N62" s="208">
        <v>94</v>
      </c>
      <c r="O62" s="208">
        <v>15</v>
      </c>
      <c r="P62" s="208">
        <v>0</v>
      </c>
      <c r="Q62" s="208">
        <v>0</v>
      </c>
      <c r="R62" s="208">
        <v>0</v>
      </c>
      <c r="S62" s="208">
        <v>0</v>
      </c>
      <c r="T62" s="208">
        <v>150</v>
      </c>
      <c r="U62" s="208">
        <v>14</v>
      </c>
      <c r="V62" s="208">
        <v>26</v>
      </c>
      <c r="W62" s="208">
        <v>5</v>
      </c>
      <c r="X62" s="208">
        <v>0</v>
      </c>
      <c r="Y62" s="208">
        <v>1</v>
      </c>
      <c r="Z62" s="208">
        <v>3</v>
      </c>
      <c r="AA62" s="208">
        <v>0</v>
      </c>
      <c r="AB62" s="208">
        <v>1</v>
      </c>
      <c r="AC62" s="208">
        <v>1</v>
      </c>
      <c r="AD62" s="208">
        <v>0</v>
      </c>
      <c r="AE62" s="208">
        <v>42</v>
      </c>
      <c r="AF62" s="208">
        <v>15</v>
      </c>
      <c r="AG62" s="208">
        <v>1</v>
      </c>
      <c r="AH62" s="208">
        <v>0</v>
      </c>
      <c r="AI62" s="208">
        <v>0</v>
      </c>
      <c r="AJ62" s="208">
        <v>0</v>
      </c>
      <c r="AK62" s="105">
        <f t="shared" si="395"/>
        <v>70</v>
      </c>
      <c r="AL62" s="105">
        <f t="shared" si="396"/>
        <v>174</v>
      </c>
      <c r="AM62" s="105">
        <f t="shared" si="397"/>
        <v>244</v>
      </c>
      <c r="AN62" s="105">
        <f t="shared" si="398"/>
        <v>15</v>
      </c>
      <c r="AO62" s="106">
        <f t="shared" si="399"/>
        <v>15.957446808510639</v>
      </c>
      <c r="AP62" s="106">
        <f t="shared" si="400"/>
        <v>15.957446808510639</v>
      </c>
      <c r="AQ62" s="106">
        <f t="shared" si="401"/>
        <v>6.1475409836065573</v>
      </c>
      <c r="AR62" s="106">
        <f t="shared" si="402"/>
        <v>28.688524590163933</v>
      </c>
      <c r="AS62" s="106">
        <f t="shared" si="403"/>
        <v>71.311475409836063</v>
      </c>
      <c r="AT62" s="106">
        <f t="shared" si="404"/>
        <v>0</v>
      </c>
      <c r="AU62" s="106">
        <f t="shared" si="405"/>
        <v>93.333333333333329</v>
      </c>
      <c r="AV62" s="106">
        <f t="shared" si="406"/>
        <v>0</v>
      </c>
      <c r="AW62" s="106">
        <f t="shared" si="407"/>
        <v>0</v>
      </c>
      <c r="AX62" s="106">
        <f t="shared" si="408"/>
        <v>0</v>
      </c>
      <c r="AY62" s="106">
        <f t="shared" si="409"/>
        <v>6.666666666666667</v>
      </c>
      <c r="AZ62" s="106">
        <f t="shared" si="410"/>
        <v>0</v>
      </c>
      <c r="BA62" s="161"/>
      <c r="BB62" s="161"/>
      <c r="BC62" s="161"/>
      <c r="BD62" s="161"/>
      <c r="BE62" s="161"/>
      <c r="BF62" s="161"/>
      <c r="BG62" s="161"/>
      <c r="BH62" s="161"/>
      <c r="BI62" s="161"/>
      <c r="BJ62" s="161"/>
      <c r="BK62" s="161"/>
      <c r="BL62" s="161"/>
      <c r="BM62" s="161"/>
      <c r="BN62" s="161"/>
      <c r="BO62" s="161"/>
      <c r="BP62" s="161"/>
      <c r="BQ62" s="161"/>
      <c r="BR62" s="161"/>
      <c r="BS62" s="161"/>
      <c r="BT62" s="161"/>
      <c r="BU62" s="161"/>
      <c r="BV62" s="161"/>
      <c r="BW62" s="161"/>
      <c r="BX62" s="161"/>
      <c r="BY62" s="161"/>
      <c r="BZ62" s="161"/>
      <c r="CA62" s="161"/>
      <c r="CB62" s="161"/>
      <c r="CC62" s="161"/>
      <c r="CD62" s="161"/>
      <c r="CE62" s="161"/>
      <c r="CF62" s="161"/>
      <c r="CG62" s="161"/>
      <c r="CH62" s="161"/>
      <c r="CI62" s="161"/>
      <c r="CJ62" s="161"/>
      <c r="CK62" s="161"/>
      <c r="CL62" s="161"/>
      <c r="CM62" s="161"/>
      <c r="CN62" s="161"/>
      <c r="CO62" s="161"/>
      <c r="CP62" s="161"/>
      <c r="CQ62" s="161"/>
      <c r="CR62" s="161"/>
      <c r="CS62" s="161"/>
      <c r="CT62" s="161"/>
      <c r="CU62" s="161"/>
      <c r="CV62" s="161"/>
      <c r="CW62" s="161"/>
      <c r="CX62" s="161"/>
      <c r="CY62" s="161"/>
      <c r="CZ62" s="161"/>
      <c r="DA62" s="161"/>
      <c r="DB62" s="161"/>
      <c r="DC62" s="161"/>
      <c r="DD62" s="161"/>
      <c r="DE62" s="161"/>
      <c r="DF62" s="161"/>
      <c r="DG62" s="161"/>
      <c r="DH62" s="161"/>
      <c r="DI62" s="161"/>
      <c r="DJ62" s="161"/>
      <c r="DK62" s="161"/>
      <c r="DL62" s="161"/>
      <c r="DM62" s="161"/>
      <c r="DN62" s="161"/>
      <c r="DO62" s="161"/>
      <c r="DP62" s="161"/>
      <c r="DQ62" s="161"/>
      <c r="DR62" s="161"/>
      <c r="DS62" s="161"/>
      <c r="DT62" s="161"/>
      <c r="DU62" s="161"/>
      <c r="DV62" s="161"/>
      <c r="DW62" s="161"/>
      <c r="DX62" s="161"/>
      <c r="DY62" s="161"/>
      <c r="DZ62" s="161"/>
      <c r="EA62" s="161"/>
      <c r="EB62" s="161"/>
      <c r="EC62" s="161"/>
      <c r="ED62" s="161"/>
      <c r="EE62" s="161"/>
      <c r="EF62" s="161"/>
      <c r="EG62" s="161"/>
      <c r="EH62" s="161"/>
      <c r="EI62" s="161"/>
      <c r="EJ62" s="161"/>
      <c r="EK62" s="161"/>
      <c r="EL62" s="161"/>
      <c r="EM62" s="161"/>
      <c r="EN62" s="161"/>
      <c r="EO62" s="161"/>
      <c r="EP62" s="161"/>
      <c r="EQ62" s="161"/>
      <c r="ER62" s="161"/>
      <c r="ES62" s="161"/>
      <c r="ET62" s="161"/>
      <c r="EU62" s="161"/>
      <c r="EV62" s="161"/>
      <c r="EW62" s="161"/>
      <c r="EX62" s="161"/>
      <c r="EY62" s="161"/>
      <c r="EZ62" s="161"/>
      <c r="FA62" s="161"/>
      <c r="FB62" s="161"/>
      <c r="FC62" s="161"/>
      <c r="FD62" s="161"/>
      <c r="FE62" s="161"/>
      <c r="FF62" s="161"/>
    </row>
    <row r="63" spans="1:162" s="67" customFormat="1" ht="20.25" customHeight="1">
      <c r="A63" s="70" t="s">
        <v>295</v>
      </c>
      <c r="B63" s="70">
        <f>COUNTA(B60:B62)</f>
        <v>3</v>
      </c>
      <c r="C63" s="71">
        <f>SUM(C60:C62)</f>
        <v>432</v>
      </c>
      <c r="D63" s="68">
        <f>MIN(D60:D62)</f>
        <v>45996</v>
      </c>
      <c r="E63" s="68">
        <f>MAX(E60:E62)</f>
        <v>46021</v>
      </c>
      <c r="F63" s="71">
        <f>SUM(F60:F62)</f>
        <v>170</v>
      </c>
      <c r="G63" s="71">
        <f t="shared" ref="G63:AJ63" si="411">SUM(G60:G62)</f>
        <v>0</v>
      </c>
      <c r="H63" s="71">
        <f t="shared" si="411"/>
        <v>170</v>
      </c>
      <c r="I63" s="71">
        <f t="shared" si="411"/>
        <v>1</v>
      </c>
      <c r="J63" s="71">
        <f t="shared" si="411"/>
        <v>0</v>
      </c>
      <c r="K63" s="71">
        <f t="shared" si="411"/>
        <v>171</v>
      </c>
      <c r="L63" s="71">
        <f t="shared" si="411"/>
        <v>0</v>
      </c>
      <c r="M63" s="71">
        <f t="shared" si="411"/>
        <v>0</v>
      </c>
      <c r="N63" s="71">
        <f t="shared" si="411"/>
        <v>170</v>
      </c>
      <c r="O63" s="71">
        <f t="shared" si="411"/>
        <v>25</v>
      </c>
      <c r="P63" s="71">
        <f t="shared" si="411"/>
        <v>0</v>
      </c>
      <c r="Q63" s="71">
        <f t="shared" si="411"/>
        <v>0</v>
      </c>
      <c r="R63" s="71">
        <f t="shared" si="411"/>
        <v>0</v>
      </c>
      <c r="S63" s="71">
        <f t="shared" si="411"/>
        <v>0</v>
      </c>
      <c r="T63" s="71">
        <f t="shared" si="411"/>
        <v>296</v>
      </c>
      <c r="U63" s="71">
        <f t="shared" si="411"/>
        <v>25</v>
      </c>
      <c r="V63" s="71">
        <f t="shared" si="411"/>
        <v>26</v>
      </c>
      <c r="W63" s="71">
        <f t="shared" si="411"/>
        <v>8</v>
      </c>
      <c r="X63" s="71">
        <f t="shared" si="411"/>
        <v>0</v>
      </c>
      <c r="Y63" s="71">
        <f t="shared" si="411"/>
        <v>2</v>
      </c>
      <c r="Z63" s="71">
        <f t="shared" si="411"/>
        <v>7</v>
      </c>
      <c r="AA63" s="71">
        <f t="shared" si="411"/>
        <v>0</v>
      </c>
      <c r="AB63" s="71">
        <f t="shared" si="411"/>
        <v>1</v>
      </c>
      <c r="AC63" s="71">
        <f t="shared" si="411"/>
        <v>1</v>
      </c>
      <c r="AD63" s="71">
        <f t="shared" si="411"/>
        <v>0</v>
      </c>
      <c r="AE63" s="71">
        <f t="shared" si="411"/>
        <v>74</v>
      </c>
      <c r="AF63" s="71">
        <f t="shared" si="411"/>
        <v>20</v>
      </c>
      <c r="AG63" s="71">
        <f t="shared" si="411"/>
        <v>1</v>
      </c>
      <c r="AH63" s="71">
        <f t="shared" si="411"/>
        <v>0</v>
      </c>
      <c r="AI63" s="71">
        <f t="shared" si="411"/>
        <v>0</v>
      </c>
      <c r="AJ63" s="71">
        <f t="shared" si="411"/>
        <v>0</v>
      </c>
      <c r="AK63" s="173">
        <f>P63+S63+V63+Y63+AB63+AE63+AH63</f>
        <v>103</v>
      </c>
      <c r="AL63" s="173">
        <f>Q63+T63+W63+Z63+AC63+AF63+AI63</f>
        <v>332</v>
      </c>
      <c r="AM63" s="173">
        <f>AK63+AL63</f>
        <v>435</v>
      </c>
      <c r="AN63" s="173">
        <f>R63+U63+X63+AA63+AD63+AG63+AJ63</f>
        <v>26</v>
      </c>
      <c r="AO63" s="185">
        <f>O63/H63*100</f>
        <v>14.705882352941178</v>
      </c>
      <c r="AP63" s="185">
        <f t="shared" ref="AP63" si="412">AN63/H63*100</f>
        <v>15.294117647058824</v>
      </c>
      <c r="AQ63" s="185">
        <f t="shared" ref="AQ63" si="413">AN63/AM63*100</f>
        <v>5.9770114942528734</v>
      </c>
      <c r="AR63" s="174">
        <f>AK63/AM63*100</f>
        <v>23.678160919540232</v>
      </c>
      <c r="AS63" s="174">
        <f t="shared" ref="AS63" si="414">AL63/AM63*100</f>
        <v>76.321839080459768</v>
      </c>
      <c r="AT63" s="174">
        <f t="shared" ref="AT63" si="415">R63/AN63*100</f>
        <v>0</v>
      </c>
      <c r="AU63" s="174">
        <f t="shared" ref="AU63" si="416">U63/AN63*100</f>
        <v>96.15384615384616</v>
      </c>
      <c r="AV63" s="174">
        <f t="shared" ref="AV63" si="417">X63/AN63*100</f>
        <v>0</v>
      </c>
      <c r="AW63" s="174">
        <f t="shared" ref="AW63" si="418">AA63/AN63*100</f>
        <v>0</v>
      </c>
      <c r="AX63" s="174">
        <f t="shared" ref="AX63" si="419">AD63/AN63*100</f>
        <v>0</v>
      </c>
      <c r="AY63" s="174">
        <f t="shared" ref="AY63" si="420">AG63/AN63*100</f>
        <v>3.8461538461538463</v>
      </c>
      <c r="AZ63" s="174">
        <f t="shared" ref="AZ63" si="421">AJ63/AN63*100</f>
        <v>0</v>
      </c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66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66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66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66"/>
      <c r="EF63" s="66"/>
      <c r="EG63" s="66"/>
      <c r="EH63" s="66"/>
      <c r="EI63" s="66"/>
      <c r="EJ63" s="66"/>
      <c r="EK63" s="66"/>
      <c r="EL63" s="66"/>
      <c r="EM63" s="66"/>
      <c r="EN63" s="66"/>
      <c r="EO63" s="66"/>
      <c r="EP63" s="66"/>
      <c r="EQ63" s="66"/>
      <c r="ER63" s="66"/>
      <c r="ES63" s="66"/>
      <c r="ET63" s="66"/>
      <c r="EU63" s="66"/>
      <c r="EV63" s="66"/>
      <c r="EW63" s="66"/>
      <c r="EX63" s="66"/>
      <c r="EY63" s="66"/>
      <c r="EZ63" s="66"/>
      <c r="FA63" s="66"/>
      <c r="FB63" s="66"/>
      <c r="FC63" s="66"/>
      <c r="FD63" s="66"/>
      <c r="FE63" s="66"/>
      <c r="FF63" s="66"/>
    </row>
    <row r="64" spans="1:162" s="65" customFormat="1" ht="20.25" customHeight="1">
      <c r="A64" s="168" t="s">
        <v>38</v>
      </c>
      <c r="B64" s="168">
        <f>B14+B20+B26+B34+B37+B41+B45+B48+B51+B54+B59+B63</f>
        <v>36</v>
      </c>
      <c r="C64" s="170">
        <f>C14+C20+C26+C34+C37+C41+C45+C48+C51+C54+C59+C63</f>
        <v>12526</v>
      </c>
      <c r="D64" s="169">
        <f>MIN(D7:D48)</f>
        <v>45659</v>
      </c>
      <c r="E64" s="169">
        <f>MAX(E7:E63)</f>
        <v>46021</v>
      </c>
      <c r="F64" s="170">
        <f>F14+F20+F26+F34+F37+F41+F45+F48+F51+F54+F59+F63</f>
        <v>3258</v>
      </c>
      <c r="G64" s="170">
        <f t="shared" ref="G64:AJ64" si="422">G14+G20+G26+G34+G37+G41+G45+G48+G51+G54+G59+G63</f>
        <v>0</v>
      </c>
      <c r="H64" s="170">
        <f t="shared" si="422"/>
        <v>3258</v>
      </c>
      <c r="I64" s="170">
        <f t="shared" si="422"/>
        <v>50</v>
      </c>
      <c r="J64" s="170">
        <f t="shared" si="422"/>
        <v>0</v>
      </c>
      <c r="K64" s="170">
        <f t="shared" si="422"/>
        <v>3308</v>
      </c>
      <c r="L64" s="170">
        <f t="shared" si="422"/>
        <v>18</v>
      </c>
      <c r="M64" s="170">
        <f t="shared" si="422"/>
        <v>0</v>
      </c>
      <c r="N64" s="170">
        <f t="shared" si="422"/>
        <v>2193</v>
      </c>
      <c r="O64" s="170">
        <f t="shared" si="422"/>
        <v>591</v>
      </c>
      <c r="P64" s="170">
        <f t="shared" si="422"/>
        <v>3</v>
      </c>
      <c r="Q64" s="170">
        <f t="shared" si="422"/>
        <v>19</v>
      </c>
      <c r="R64" s="170">
        <f t="shared" si="422"/>
        <v>1</v>
      </c>
      <c r="S64" s="170">
        <f t="shared" si="422"/>
        <v>109</v>
      </c>
      <c r="T64" s="170">
        <f t="shared" si="422"/>
        <v>5385</v>
      </c>
      <c r="U64" s="170">
        <f t="shared" si="422"/>
        <v>438</v>
      </c>
      <c r="V64" s="170">
        <f t="shared" si="422"/>
        <v>172</v>
      </c>
      <c r="W64" s="170">
        <f t="shared" si="422"/>
        <v>1183</v>
      </c>
      <c r="X64" s="170">
        <f t="shared" si="422"/>
        <v>154</v>
      </c>
      <c r="Y64" s="170">
        <f t="shared" si="422"/>
        <v>25</v>
      </c>
      <c r="Z64" s="170">
        <f t="shared" si="422"/>
        <v>533</v>
      </c>
      <c r="AA64" s="170">
        <f t="shared" si="422"/>
        <v>112</v>
      </c>
      <c r="AB64" s="170">
        <f t="shared" si="422"/>
        <v>504</v>
      </c>
      <c r="AC64" s="170">
        <f t="shared" si="422"/>
        <v>578</v>
      </c>
      <c r="AD64" s="170">
        <f t="shared" si="422"/>
        <v>179</v>
      </c>
      <c r="AE64" s="170">
        <f t="shared" si="422"/>
        <v>2979</v>
      </c>
      <c r="AF64" s="170">
        <f t="shared" si="422"/>
        <v>987</v>
      </c>
      <c r="AG64" s="170">
        <f t="shared" si="422"/>
        <v>96</v>
      </c>
      <c r="AH64" s="170">
        <f t="shared" si="422"/>
        <v>0</v>
      </c>
      <c r="AI64" s="170">
        <f t="shared" si="422"/>
        <v>1</v>
      </c>
      <c r="AJ64" s="170">
        <f t="shared" si="422"/>
        <v>1</v>
      </c>
      <c r="AK64" s="170">
        <f>P64+S64+V64+Y64+AB64+AE64+AH64</f>
        <v>3792</v>
      </c>
      <c r="AL64" s="170">
        <f>Q64+T64+W64+Z64+AC64+AF64+AI64</f>
        <v>8686</v>
      </c>
      <c r="AM64" s="170">
        <f>AK64+AL64</f>
        <v>12478</v>
      </c>
      <c r="AN64" s="170">
        <f>R64+U64+X64+AA64+AD64+AG64+AJ64</f>
        <v>981</v>
      </c>
      <c r="AO64" s="186">
        <f>O64/H64*100</f>
        <v>18.139963167587478</v>
      </c>
      <c r="AP64" s="186">
        <f t="shared" ref="AP64" si="423">AN64/H64*100</f>
        <v>30.11049723756906</v>
      </c>
      <c r="AQ64" s="186">
        <f t="shared" si="75"/>
        <v>7.8618368328257731</v>
      </c>
      <c r="AR64" s="171">
        <f>AK64/AM64*100</f>
        <v>30.389485494470271</v>
      </c>
      <c r="AS64" s="171">
        <f>AL64/AM64*100</f>
        <v>69.610514505529736</v>
      </c>
      <c r="AT64" s="171">
        <f t="shared" ref="AT64" si="424">R64/AN64*100</f>
        <v>0.10193679918450561</v>
      </c>
      <c r="AU64" s="171">
        <f t="shared" si="78"/>
        <v>44.648318042813457</v>
      </c>
      <c r="AV64" s="171">
        <f t="shared" si="79"/>
        <v>15.698267074413863</v>
      </c>
      <c r="AW64" s="171">
        <f t="shared" si="14"/>
        <v>11.416921508664627</v>
      </c>
      <c r="AX64" s="171">
        <f t="shared" si="80"/>
        <v>18.246687054026502</v>
      </c>
      <c r="AY64" s="171">
        <f t="shared" si="81"/>
        <v>9.7859327217125376</v>
      </c>
      <c r="AZ64" s="171">
        <f t="shared" si="82"/>
        <v>0.10193679918450561</v>
      </c>
    </row>
    <row r="65" spans="3:51">
      <c r="C65" s="315"/>
      <c r="F65" s="316"/>
      <c r="H65" s="316"/>
      <c r="N65" s="316"/>
      <c r="T65" s="316"/>
      <c r="U65" s="316"/>
      <c r="AE65" s="316"/>
      <c r="AF65" t="s">
        <v>44</v>
      </c>
      <c r="AG65" t="s">
        <v>45</v>
      </c>
      <c r="AH65" t="s">
        <v>40</v>
      </c>
      <c r="AI65" t="s">
        <v>64</v>
      </c>
      <c r="AJ65" t="s">
        <v>41</v>
      </c>
      <c r="AK65" t="s">
        <v>42</v>
      </c>
      <c r="AL65" t="s">
        <v>43</v>
      </c>
      <c r="AM65" t="s">
        <v>53</v>
      </c>
      <c r="AN65" t="s">
        <v>54</v>
      </c>
      <c r="AO65" s="5" t="s">
        <v>279</v>
      </c>
      <c r="AP65" s="5" t="s">
        <v>55</v>
      </c>
      <c r="AQ65" s="5" t="s">
        <v>61</v>
      </c>
      <c r="AY65" s="72">
        <f>SUM(AY60:AY63)</f>
        <v>10.512820512820513</v>
      </c>
    </row>
    <row r="66" spans="3:51">
      <c r="AF66" s="316"/>
    </row>
  </sheetData>
  <mergeCells count="52">
    <mergeCell ref="AT3:AZ3"/>
    <mergeCell ref="AB4:AD4"/>
    <mergeCell ref="AO4:AQ4"/>
    <mergeCell ref="AR4:AS4"/>
    <mergeCell ref="AE4:AG4"/>
    <mergeCell ref="AH4:AJ4"/>
    <mergeCell ref="AK4:AK5"/>
    <mergeCell ref="AL4:AL5"/>
    <mergeCell ref="AM4:AM5"/>
    <mergeCell ref="AH3:AJ3"/>
    <mergeCell ref="AK3:AN3"/>
    <mergeCell ref="AO3:AS3"/>
    <mergeCell ref="AB3:AG3"/>
    <mergeCell ref="AX4:AY4"/>
    <mergeCell ref="AT4:AU4"/>
    <mergeCell ref="AN4:AN5"/>
    <mergeCell ref="A1:AP1"/>
    <mergeCell ref="A3:A5"/>
    <mergeCell ref="B3:B5"/>
    <mergeCell ref="C3:C5"/>
    <mergeCell ref="D3:E3"/>
    <mergeCell ref="F3:J3"/>
    <mergeCell ref="K3:K5"/>
    <mergeCell ref="L3:M3"/>
    <mergeCell ref="N3:O3"/>
    <mergeCell ref="P3:U3"/>
    <mergeCell ref="V3:X3"/>
    <mergeCell ref="Y3:AA3"/>
    <mergeCell ref="F4:G4"/>
    <mergeCell ref="D4:D5"/>
    <mergeCell ref="E4:E5"/>
    <mergeCell ref="V4:X4"/>
    <mergeCell ref="Y4:AA4"/>
    <mergeCell ref="L4:L5"/>
    <mergeCell ref="M4:M5"/>
    <mergeCell ref="N4:N5"/>
    <mergeCell ref="O4:O5"/>
    <mergeCell ref="P4:R4"/>
    <mergeCell ref="S4:U4"/>
    <mergeCell ref="J4:J5"/>
    <mergeCell ref="H4:H5"/>
    <mergeCell ref="A46:A47"/>
    <mergeCell ref="A38:A40"/>
    <mergeCell ref="A42:A44"/>
    <mergeCell ref="A27:A31"/>
    <mergeCell ref="A15:A16"/>
    <mergeCell ref="A21:A23"/>
    <mergeCell ref="A55:A58"/>
    <mergeCell ref="A49:A50"/>
    <mergeCell ref="A52:A53"/>
    <mergeCell ref="A6:A9"/>
    <mergeCell ref="I4:I5"/>
  </mergeCells>
  <pageMargins left="0.7" right="0.7" top="0.75" bottom="0.75" header="0.3" footer="0.3"/>
  <pageSetup scale="95" orientation="portrait" horizontalDpi="360" verticalDpi="360" r:id="rId1"/>
  <ignoredErrors>
    <ignoredError sqref="C34:AJ34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Z148"/>
  <sheetViews>
    <sheetView zoomScaleNormal="100" workbookViewId="0">
      <pane xSplit="1" ySplit="5" topLeftCell="B150" activePane="bottomRight" state="frozen"/>
      <selection pane="topRight" activeCell="B1" sqref="B1"/>
      <selection pane="bottomLeft" activeCell="A6" sqref="A6"/>
      <selection pane="bottomRight" activeCell="AT146" sqref="AT146"/>
    </sheetView>
  </sheetViews>
  <sheetFormatPr baseColWidth="10" defaultRowHeight="12.75"/>
  <cols>
    <col min="1" max="1" width="25.85546875" style="268" customWidth="1"/>
    <col min="2" max="2" width="26" customWidth="1"/>
    <col min="3" max="3" width="12" style="147" customWidth="1"/>
    <col min="4" max="4" width="12.7109375" style="147" customWidth="1"/>
    <col min="5" max="5" width="12.7109375" style="210" customWidth="1"/>
    <col min="6" max="6" width="12" style="147" customWidth="1"/>
    <col min="7" max="7" width="9.140625" style="147" customWidth="1"/>
    <col min="8" max="8" width="8.42578125" customWidth="1"/>
    <col min="9" max="9" width="5.5703125" customWidth="1"/>
    <col min="10" max="10" width="5.85546875" customWidth="1"/>
    <col min="11" max="11" width="8" customWidth="1"/>
    <col min="12" max="13" width="5.5703125" customWidth="1"/>
    <col min="14" max="14" width="8.7109375" customWidth="1"/>
    <col min="15" max="19" width="6.85546875" customWidth="1"/>
    <col min="20" max="22" width="5.5703125" customWidth="1"/>
    <col min="23" max="23" width="6.140625" customWidth="1"/>
    <col min="24" max="25" width="5.5703125" customWidth="1"/>
    <col min="26" max="26" width="6.140625" customWidth="1"/>
    <col min="27" max="29" width="5.5703125" customWidth="1"/>
    <col min="30" max="30" width="6.140625" customWidth="1"/>
    <col min="31" max="31" width="5.85546875" customWidth="1"/>
    <col min="32" max="32" width="6.28515625" customWidth="1"/>
    <col min="33" max="36" width="5.5703125" customWidth="1"/>
    <col min="37" max="40" width="8.42578125" customWidth="1"/>
    <col min="41" max="41" width="10.85546875" style="5" customWidth="1"/>
    <col min="42" max="42" width="9.85546875" style="5" customWidth="1"/>
    <col min="43" max="43" width="11.140625" style="5" customWidth="1"/>
    <col min="44" max="45" width="9.7109375" style="46" customWidth="1"/>
    <col min="46" max="47" width="7.7109375" style="72" customWidth="1"/>
    <col min="48" max="48" width="9.42578125" style="72" customWidth="1"/>
    <col min="49" max="49" width="8.140625" style="72" customWidth="1"/>
    <col min="50" max="52" width="7.85546875" style="72" customWidth="1"/>
  </cols>
  <sheetData>
    <row r="1" spans="1:52" ht="28.5" customHeight="1">
      <c r="A1" s="326" t="s">
        <v>175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  <c r="AO1" s="326"/>
      <c r="AP1" s="326"/>
      <c r="AQ1" s="179"/>
      <c r="AR1" s="48"/>
      <c r="AS1" s="48"/>
    </row>
    <row r="2" spans="1:52">
      <c r="A2" s="265"/>
      <c r="B2" s="2"/>
      <c r="C2" s="2"/>
      <c r="D2" s="2"/>
      <c r="E2" s="98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80"/>
      <c r="AP2" s="180"/>
      <c r="AQ2" s="180"/>
      <c r="AR2" s="49"/>
      <c r="AS2" s="49"/>
    </row>
    <row r="3" spans="1:52" s="11" customFormat="1" ht="51" customHeight="1">
      <c r="A3" s="327" t="s">
        <v>46</v>
      </c>
      <c r="B3" s="328" t="s">
        <v>47</v>
      </c>
      <c r="C3" s="329" t="s">
        <v>76</v>
      </c>
      <c r="D3" s="327" t="s">
        <v>0</v>
      </c>
      <c r="E3" s="327"/>
      <c r="F3" s="327" t="s">
        <v>4</v>
      </c>
      <c r="G3" s="327"/>
      <c r="H3" s="327"/>
      <c r="I3" s="327"/>
      <c r="J3" s="327"/>
      <c r="K3" s="332" t="s">
        <v>3</v>
      </c>
      <c r="L3" s="333" t="s">
        <v>8</v>
      </c>
      <c r="M3" s="333"/>
      <c r="N3" s="334" t="s">
        <v>71</v>
      </c>
      <c r="O3" s="334"/>
      <c r="P3" s="335" t="s">
        <v>60</v>
      </c>
      <c r="Q3" s="336"/>
      <c r="R3" s="336"/>
      <c r="S3" s="336"/>
      <c r="T3" s="336"/>
      <c r="U3" s="337"/>
      <c r="V3" s="335" t="s">
        <v>57</v>
      </c>
      <c r="W3" s="336"/>
      <c r="X3" s="337"/>
      <c r="Y3" s="335" t="s">
        <v>58</v>
      </c>
      <c r="Z3" s="336"/>
      <c r="AA3" s="337"/>
      <c r="AB3" s="348" t="s">
        <v>56</v>
      </c>
      <c r="AC3" s="349"/>
      <c r="AD3" s="349"/>
      <c r="AE3" s="349"/>
      <c r="AF3" s="349"/>
      <c r="AG3" s="350"/>
      <c r="AH3" s="335" t="s">
        <v>59</v>
      </c>
      <c r="AI3" s="336"/>
      <c r="AJ3" s="337"/>
      <c r="AK3" s="335" t="s">
        <v>2</v>
      </c>
      <c r="AL3" s="336"/>
      <c r="AM3" s="336"/>
      <c r="AN3" s="337"/>
      <c r="AO3" s="351" t="s">
        <v>90</v>
      </c>
      <c r="AP3" s="352"/>
      <c r="AQ3" s="352"/>
      <c r="AR3" s="352"/>
      <c r="AS3" s="353"/>
      <c r="AT3" s="344" t="s">
        <v>89</v>
      </c>
      <c r="AU3" s="344"/>
      <c r="AV3" s="344"/>
      <c r="AW3" s="344"/>
      <c r="AX3" s="344"/>
      <c r="AY3" s="344"/>
      <c r="AZ3" s="344"/>
    </row>
    <row r="4" spans="1:52" s="11" customFormat="1" ht="23.25" customHeight="1">
      <c r="A4" s="327"/>
      <c r="B4" s="328"/>
      <c r="C4" s="330"/>
      <c r="D4" s="327" t="s">
        <v>10</v>
      </c>
      <c r="E4" s="398" t="s">
        <v>9</v>
      </c>
      <c r="F4" s="345" t="s">
        <v>5</v>
      </c>
      <c r="G4" s="345"/>
      <c r="H4" s="346" t="s">
        <v>2</v>
      </c>
      <c r="I4" s="346" t="s">
        <v>13</v>
      </c>
      <c r="J4" s="346" t="s">
        <v>14</v>
      </c>
      <c r="K4" s="332"/>
      <c r="L4" s="347" t="s">
        <v>7</v>
      </c>
      <c r="M4" s="340" t="s">
        <v>6</v>
      </c>
      <c r="N4" s="347" t="s">
        <v>1</v>
      </c>
      <c r="O4" s="340" t="s">
        <v>6</v>
      </c>
      <c r="P4" s="335" t="s">
        <v>34</v>
      </c>
      <c r="Q4" s="336"/>
      <c r="R4" s="337"/>
      <c r="S4" s="341" t="s">
        <v>35</v>
      </c>
      <c r="T4" s="342"/>
      <c r="U4" s="343"/>
      <c r="V4" s="335" t="s">
        <v>31</v>
      </c>
      <c r="W4" s="336"/>
      <c r="X4" s="337"/>
      <c r="Y4" s="335" t="s">
        <v>32</v>
      </c>
      <c r="Z4" s="336"/>
      <c r="AA4" s="337"/>
      <c r="AB4" s="354" t="s">
        <v>36</v>
      </c>
      <c r="AC4" s="355"/>
      <c r="AD4" s="356"/>
      <c r="AE4" s="335" t="s">
        <v>37</v>
      </c>
      <c r="AF4" s="336"/>
      <c r="AG4" s="337"/>
      <c r="AH4" s="335" t="s">
        <v>33</v>
      </c>
      <c r="AI4" s="336"/>
      <c r="AJ4" s="337"/>
      <c r="AK4" s="357" t="s">
        <v>84</v>
      </c>
      <c r="AL4" s="357" t="s">
        <v>85</v>
      </c>
      <c r="AM4" s="357" t="s">
        <v>86</v>
      </c>
      <c r="AN4" s="338" t="s">
        <v>87</v>
      </c>
      <c r="AO4" s="360" t="s">
        <v>91</v>
      </c>
      <c r="AP4" s="361"/>
      <c r="AQ4" s="362"/>
      <c r="AR4" s="363" t="s">
        <v>92</v>
      </c>
      <c r="AS4" s="364"/>
      <c r="AT4" s="359" t="s">
        <v>97</v>
      </c>
      <c r="AU4" s="359" t="s">
        <v>88</v>
      </c>
      <c r="AV4" s="359" t="s">
        <v>80</v>
      </c>
      <c r="AW4" s="359" t="s">
        <v>81</v>
      </c>
      <c r="AX4" s="359" t="s">
        <v>294</v>
      </c>
      <c r="AY4" s="359" t="s">
        <v>82</v>
      </c>
      <c r="AZ4" s="359" t="s">
        <v>83</v>
      </c>
    </row>
    <row r="5" spans="1:52" s="11" customFormat="1" ht="57" customHeight="1">
      <c r="A5" s="327"/>
      <c r="B5" s="328"/>
      <c r="C5" s="331"/>
      <c r="D5" s="327"/>
      <c r="E5" s="398"/>
      <c r="F5" s="200" t="s">
        <v>11</v>
      </c>
      <c r="G5" s="200" t="s">
        <v>114</v>
      </c>
      <c r="H5" s="346"/>
      <c r="I5" s="346"/>
      <c r="J5" s="346"/>
      <c r="K5" s="332"/>
      <c r="L5" s="347"/>
      <c r="M5" s="340"/>
      <c r="N5" s="347"/>
      <c r="O5" s="340"/>
      <c r="P5" s="41" t="s">
        <v>77</v>
      </c>
      <c r="Q5" s="41" t="s">
        <v>78</v>
      </c>
      <c r="R5" s="45" t="s">
        <v>79</v>
      </c>
      <c r="S5" s="41" t="s">
        <v>77</v>
      </c>
      <c r="T5" s="41" t="s">
        <v>78</v>
      </c>
      <c r="U5" s="45" t="s">
        <v>79</v>
      </c>
      <c r="V5" s="41" t="s">
        <v>77</v>
      </c>
      <c r="W5" s="41" t="s">
        <v>78</v>
      </c>
      <c r="X5" s="45" t="s">
        <v>79</v>
      </c>
      <c r="Y5" s="41" t="s">
        <v>77</v>
      </c>
      <c r="Z5" s="41" t="s">
        <v>78</v>
      </c>
      <c r="AA5" s="45" t="s">
        <v>79</v>
      </c>
      <c r="AB5" s="41" t="s">
        <v>77</v>
      </c>
      <c r="AC5" s="41" t="s">
        <v>78</v>
      </c>
      <c r="AD5" s="45" t="s">
        <v>79</v>
      </c>
      <c r="AE5" s="41" t="s">
        <v>77</v>
      </c>
      <c r="AF5" s="41" t="s">
        <v>78</v>
      </c>
      <c r="AG5" s="45" t="s">
        <v>79</v>
      </c>
      <c r="AH5" s="41" t="s">
        <v>77</v>
      </c>
      <c r="AI5" s="41" t="s">
        <v>78</v>
      </c>
      <c r="AJ5" s="45" t="s">
        <v>79</v>
      </c>
      <c r="AK5" s="358"/>
      <c r="AL5" s="358"/>
      <c r="AM5" s="358"/>
      <c r="AN5" s="339"/>
      <c r="AO5" s="187" t="s">
        <v>93</v>
      </c>
      <c r="AP5" s="187" t="s">
        <v>94</v>
      </c>
      <c r="AQ5" s="187" t="s">
        <v>98</v>
      </c>
      <c r="AR5" s="50" t="s">
        <v>115</v>
      </c>
      <c r="AS5" s="50" t="s">
        <v>116</v>
      </c>
      <c r="AT5" s="359"/>
      <c r="AU5" s="359"/>
      <c r="AV5" s="359"/>
      <c r="AW5" s="359"/>
      <c r="AX5" s="359"/>
      <c r="AY5" s="359"/>
      <c r="AZ5" s="359"/>
    </row>
    <row r="6" spans="1:52" s="213" customFormat="1" ht="23.25" customHeight="1">
      <c r="A6" s="393" t="s">
        <v>246</v>
      </c>
      <c r="B6" s="75" t="s">
        <v>24</v>
      </c>
      <c r="C6" s="76">
        <f>SUM(C7:C12)</f>
        <v>1077</v>
      </c>
      <c r="D6" s="214">
        <f>MIN(D7:D12)</f>
        <v>45659</v>
      </c>
      <c r="E6" s="214">
        <f>MAX(E7:E12)</f>
        <v>45687</v>
      </c>
      <c r="F6" s="76">
        <f t="shared" ref="F6:AJ6" si="0">SUM(F7:F12)</f>
        <v>300</v>
      </c>
      <c r="G6" s="76">
        <f t="shared" si="0"/>
        <v>0</v>
      </c>
      <c r="H6" s="76">
        <f t="shared" si="0"/>
        <v>300</v>
      </c>
      <c r="I6" s="76">
        <f t="shared" si="0"/>
        <v>0</v>
      </c>
      <c r="J6" s="76">
        <f t="shared" si="0"/>
        <v>0</v>
      </c>
      <c r="K6" s="76">
        <f t="shared" si="0"/>
        <v>300</v>
      </c>
      <c r="L6" s="76">
        <f t="shared" si="0"/>
        <v>0</v>
      </c>
      <c r="M6" s="76">
        <f t="shared" si="0"/>
        <v>0</v>
      </c>
      <c r="N6" s="76">
        <f t="shared" si="0"/>
        <v>0</v>
      </c>
      <c r="O6" s="76">
        <f t="shared" si="0"/>
        <v>28</v>
      </c>
      <c r="P6" s="76">
        <f t="shared" si="0"/>
        <v>0</v>
      </c>
      <c r="Q6" s="76">
        <f t="shared" si="0"/>
        <v>1</v>
      </c>
      <c r="R6" s="76">
        <f t="shared" si="0"/>
        <v>0</v>
      </c>
      <c r="S6" s="76">
        <f t="shared" si="0"/>
        <v>0</v>
      </c>
      <c r="T6" s="76">
        <f t="shared" si="0"/>
        <v>6</v>
      </c>
      <c r="U6" s="76">
        <f t="shared" si="0"/>
        <v>5</v>
      </c>
      <c r="V6" s="76">
        <f t="shared" si="0"/>
        <v>5</v>
      </c>
      <c r="W6" s="76">
        <f t="shared" si="0"/>
        <v>87</v>
      </c>
      <c r="X6" s="76">
        <f t="shared" si="0"/>
        <v>15</v>
      </c>
      <c r="Y6" s="76">
        <f t="shared" si="0"/>
        <v>0</v>
      </c>
      <c r="Z6" s="76">
        <f t="shared" si="0"/>
        <v>26</v>
      </c>
      <c r="AA6" s="76">
        <f t="shared" si="0"/>
        <v>1</v>
      </c>
      <c r="AB6" s="76">
        <f t="shared" si="0"/>
        <v>2</v>
      </c>
      <c r="AC6" s="76">
        <f t="shared" si="0"/>
        <v>66</v>
      </c>
      <c r="AD6" s="76">
        <f t="shared" si="0"/>
        <v>10</v>
      </c>
      <c r="AE6" s="76">
        <f t="shared" si="0"/>
        <v>7</v>
      </c>
      <c r="AF6" s="76">
        <f t="shared" si="0"/>
        <v>142</v>
      </c>
      <c r="AG6" s="76">
        <f t="shared" si="0"/>
        <v>2</v>
      </c>
      <c r="AH6" s="76">
        <f t="shared" si="0"/>
        <v>0</v>
      </c>
      <c r="AI6" s="76">
        <f t="shared" si="0"/>
        <v>0</v>
      </c>
      <c r="AJ6" s="76">
        <f t="shared" si="0"/>
        <v>0</v>
      </c>
      <c r="AK6" s="77">
        <f>P6+S6+V6+Y6+AB6+AE6+AH6</f>
        <v>14</v>
      </c>
      <c r="AL6" s="77">
        <f>Q6+T6+W6+Z6+AC6+AF6+AI6</f>
        <v>328</v>
      </c>
      <c r="AM6" s="77">
        <f>AK6+AL6</f>
        <v>342</v>
      </c>
      <c r="AN6" s="77">
        <f>R6+U6+X6+AA6+AD6+AG6+AJ6</f>
        <v>33</v>
      </c>
      <c r="AO6" s="188">
        <f>O6/H6*100</f>
        <v>9.3333333333333339</v>
      </c>
      <c r="AP6" s="188">
        <f>AN6/H6*100</f>
        <v>11</v>
      </c>
      <c r="AQ6" s="188">
        <f>AN6/AM6*100</f>
        <v>9.6491228070175428</v>
      </c>
      <c r="AR6" s="88">
        <f t="shared" ref="AR6" si="1">AK6/AM6*100</f>
        <v>4.0935672514619883</v>
      </c>
      <c r="AS6" s="88">
        <f t="shared" ref="AS6" si="2">AL6/AM6*100</f>
        <v>95.906432748538009</v>
      </c>
      <c r="AT6" s="88">
        <f t="shared" ref="AT6" si="3">R6/AN6*100</f>
        <v>0</v>
      </c>
      <c r="AU6" s="88">
        <f t="shared" ref="AU6" si="4">U6/AN6*100</f>
        <v>15.151515151515152</v>
      </c>
      <c r="AV6" s="88">
        <f t="shared" ref="AV6" si="5">X6/AN6*100</f>
        <v>45.454545454545453</v>
      </c>
      <c r="AW6" s="88">
        <f t="shared" ref="AW6" si="6">AA6/AN6*100</f>
        <v>3.0303030303030303</v>
      </c>
      <c r="AX6" s="88">
        <f t="shared" ref="AX6" si="7">AD6/AN6*100</f>
        <v>30.303030303030305</v>
      </c>
      <c r="AY6" s="88">
        <f t="shared" ref="AY6" si="8">AG6/AN6*100</f>
        <v>6.0606060606060606</v>
      </c>
      <c r="AZ6" s="88">
        <f t="shared" ref="AZ6" si="9">AJ6/AN6*100</f>
        <v>0</v>
      </c>
    </row>
    <row r="7" spans="1:52" s="132" customFormat="1" ht="21" customHeight="1">
      <c r="A7" s="391"/>
      <c r="B7" s="211" t="s">
        <v>143</v>
      </c>
      <c r="C7" s="212">
        <v>73</v>
      </c>
      <c r="D7" s="164">
        <v>45659</v>
      </c>
      <c r="E7" s="164">
        <v>45659</v>
      </c>
      <c r="F7" s="120">
        <v>20</v>
      </c>
      <c r="G7" s="120">
        <v>0</v>
      </c>
      <c r="H7" s="203">
        <f t="shared" ref="H7:H11" si="10">F7+G7</f>
        <v>20</v>
      </c>
      <c r="I7" s="120">
        <v>0</v>
      </c>
      <c r="J7" s="120">
        <v>0</v>
      </c>
      <c r="K7" s="203">
        <f t="shared" ref="K7:K11" si="11">H7+I7+J7</f>
        <v>20</v>
      </c>
      <c r="L7" s="120">
        <v>0</v>
      </c>
      <c r="M7" s="120">
        <v>0</v>
      </c>
      <c r="N7" s="120">
        <v>0</v>
      </c>
      <c r="O7" s="120">
        <v>0</v>
      </c>
      <c r="P7" s="120">
        <v>0</v>
      </c>
      <c r="Q7" s="120">
        <v>0</v>
      </c>
      <c r="R7" s="120">
        <v>0</v>
      </c>
      <c r="S7" s="120">
        <v>0</v>
      </c>
      <c r="T7" s="120">
        <v>0</v>
      </c>
      <c r="U7" s="120">
        <v>0</v>
      </c>
      <c r="V7" s="120">
        <v>0</v>
      </c>
      <c r="W7" s="120">
        <v>0</v>
      </c>
      <c r="X7" s="120">
        <v>0</v>
      </c>
      <c r="Y7" s="120">
        <v>0</v>
      </c>
      <c r="Z7" s="120">
        <v>0</v>
      </c>
      <c r="AA7" s="120">
        <v>0</v>
      </c>
      <c r="AB7" s="120">
        <v>0</v>
      </c>
      <c r="AC7" s="120">
        <v>1</v>
      </c>
      <c r="AD7" s="120">
        <v>0</v>
      </c>
      <c r="AE7" s="120">
        <v>2</v>
      </c>
      <c r="AF7" s="120">
        <v>41</v>
      </c>
      <c r="AG7" s="120">
        <v>0</v>
      </c>
      <c r="AH7" s="120">
        <v>0</v>
      </c>
      <c r="AI7" s="120">
        <v>0</v>
      </c>
      <c r="AJ7" s="120">
        <v>0</v>
      </c>
      <c r="AK7" s="203">
        <f t="shared" ref="AK7:AL12" si="12">P7+S7+V7+Y7+AB7+AE7+AH7</f>
        <v>2</v>
      </c>
      <c r="AL7" s="203">
        <f t="shared" si="12"/>
        <v>42</v>
      </c>
      <c r="AM7" s="203">
        <f t="shared" ref="AM7:AM11" si="13">AK7+AL7</f>
        <v>44</v>
      </c>
      <c r="AN7" s="203">
        <f t="shared" ref="AN7:AN11" si="14">R7+U7+X7+AA7+AD7+AG7+AJ7</f>
        <v>0</v>
      </c>
      <c r="AO7" s="189">
        <f t="shared" ref="AO7:AO11" si="15">O7/H7*100</f>
        <v>0</v>
      </c>
      <c r="AP7" s="189">
        <f t="shared" ref="AP7:AP11" si="16">AN7/H7*100</f>
        <v>0</v>
      </c>
      <c r="AQ7" s="189">
        <f t="shared" ref="AQ7:AQ11" si="17">AN7/AM7*100</f>
        <v>0</v>
      </c>
      <c r="AR7" s="81">
        <f t="shared" ref="AR7:AR11" si="18">AK7/AM7*100</f>
        <v>4.5454545454545459</v>
      </c>
      <c r="AS7" s="81">
        <f t="shared" ref="AS7:AS11" si="19">AL7/AM7*100</f>
        <v>95.454545454545453</v>
      </c>
      <c r="AT7" s="81" t="e">
        <f t="shared" ref="AT7:AT11" si="20">R7/AN7*100</f>
        <v>#DIV/0!</v>
      </c>
      <c r="AU7" s="81" t="e">
        <f t="shared" ref="AU7:AU11" si="21">U7/AN7*100</f>
        <v>#DIV/0!</v>
      </c>
      <c r="AV7" s="81" t="e">
        <f t="shared" ref="AV7:AV11" si="22">X7/AN7*100</f>
        <v>#DIV/0!</v>
      </c>
      <c r="AW7" s="81" t="e">
        <f t="shared" ref="AW7:AW11" si="23">AA7/AN7*100</f>
        <v>#DIV/0!</v>
      </c>
      <c r="AX7" s="81" t="e">
        <f t="shared" ref="AX7:AX11" si="24">AD7/AN7*100</f>
        <v>#DIV/0!</v>
      </c>
      <c r="AY7" s="81" t="e">
        <f t="shared" ref="AY7:AY11" si="25">AG7/AN7*100</f>
        <v>#DIV/0!</v>
      </c>
      <c r="AZ7" s="81" t="e">
        <f t="shared" ref="AZ7:AZ11" si="26">AJ7/AN7*100</f>
        <v>#DIV/0!</v>
      </c>
    </row>
    <row r="8" spans="1:52" s="132" customFormat="1" ht="21" customHeight="1">
      <c r="A8" s="391"/>
      <c r="B8" s="211" t="s">
        <v>166</v>
      </c>
      <c r="C8" s="212">
        <v>166</v>
      </c>
      <c r="D8" s="164">
        <v>45666</v>
      </c>
      <c r="E8" s="164">
        <v>45666</v>
      </c>
      <c r="F8" s="120">
        <v>40</v>
      </c>
      <c r="G8" s="120">
        <v>0</v>
      </c>
      <c r="H8" s="203">
        <f t="shared" si="10"/>
        <v>40</v>
      </c>
      <c r="I8" s="120">
        <v>0</v>
      </c>
      <c r="J8" s="120">
        <v>0</v>
      </c>
      <c r="K8" s="203">
        <f t="shared" si="11"/>
        <v>40</v>
      </c>
      <c r="L8" s="120">
        <v>0</v>
      </c>
      <c r="M8" s="120">
        <v>0</v>
      </c>
      <c r="N8" s="120">
        <v>0</v>
      </c>
      <c r="O8" s="120">
        <v>4</v>
      </c>
      <c r="P8" s="120">
        <v>0</v>
      </c>
      <c r="Q8" s="120">
        <v>0</v>
      </c>
      <c r="R8" s="120">
        <v>0</v>
      </c>
      <c r="S8" s="120">
        <v>0</v>
      </c>
      <c r="T8" s="120">
        <v>1</v>
      </c>
      <c r="U8" s="120">
        <v>1</v>
      </c>
      <c r="V8" s="120">
        <v>1</v>
      </c>
      <c r="W8" s="120">
        <v>10</v>
      </c>
      <c r="X8" s="120">
        <v>1</v>
      </c>
      <c r="Y8" s="120">
        <v>0</v>
      </c>
      <c r="Z8" s="120">
        <v>1</v>
      </c>
      <c r="AA8" s="120">
        <v>1</v>
      </c>
      <c r="AB8" s="120">
        <v>0</v>
      </c>
      <c r="AC8" s="120">
        <v>3</v>
      </c>
      <c r="AD8" s="120">
        <v>1</v>
      </c>
      <c r="AE8" s="120">
        <v>0</v>
      </c>
      <c r="AF8" s="120">
        <v>5</v>
      </c>
      <c r="AG8" s="120">
        <v>0</v>
      </c>
      <c r="AH8" s="120">
        <v>0</v>
      </c>
      <c r="AI8" s="120">
        <v>0</v>
      </c>
      <c r="AJ8" s="120">
        <v>0</v>
      </c>
      <c r="AK8" s="203">
        <f>P8+S8+V8+Y8+AB8+AE8+AH8</f>
        <v>1</v>
      </c>
      <c r="AL8" s="203">
        <f t="shared" si="12"/>
        <v>20</v>
      </c>
      <c r="AM8" s="203">
        <f t="shared" si="13"/>
        <v>21</v>
      </c>
      <c r="AN8" s="203">
        <f t="shared" si="14"/>
        <v>4</v>
      </c>
      <c r="AO8" s="189">
        <f t="shared" si="15"/>
        <v>10</v>
      </c>
      <c r="AP8" s="189">
        <f t="shared" si="16"/>
        <v>10</v>
      </c>
      <c r="AQ8" s="189">
        <f t="shared" si="17"/>
        <v>19.047619047619047</v>
      </c>
      <c r="AR8" s="81">
        <f t="shared" si="18"/>
        <v>4.7619047619047619</v>
      </c>
      <c r="AS8" s="81">
        <f t="shared" si="19"/>
        <v>95.238095238095227</v>
      </c>
      <c r="AT8" s="81">
        <f t="shared" si="20"/>
        <v>0</v>
      </c>
      <c r="AU8" s="81">
        <f t="shared" si="21"/>
        <v>25</v>
      </c>
      <c r="AV8" s="81">
        <f t="shared" si="22"/>
        <v>25</v>
      </c>
      <c r="AW8" s="81">
        <f t="shared" si="23"/>
        <v>25</v>
      </c>
      <c r="AX8" s="81">
        <f t="shared" si="24"/>
        <v>25</v>
      </c>
      <c r="AY8" s="81">
        <f t="shared" si="25"/>
        <v>0</v>
      </c>
      <c r="AZ8" s="81">
        <f t="shared" si="26"/>
        <v>0</v>
      </c>
    </row>
    <row r="9" spans="1:52" s="132" customFormat="1" ht="21" customHeight="1">
      <c r="A9" s="391"/>
      <c r="B9" s="211" t="s">
        <v>146</v>
      </c>
      <c r="C9" s="212">
        <v>71</v>
      </c>
      <c r="D9" s="164">
        <v>45671</v>
      </c>
      <c r="E9" s="164">
        <v>45671</v>
      </c>
      <c r="F9" s="120">
        <v>20</v>
      </c>
      <c r="G9" s="120">
        <v>0</v>
      </c>
      <c r="H9" s="203">
        <f t="shared" si="10"/>
        <v>20</v>
      </c>
      <c r="I9" s="120">
        <v>0</v>
      </c>
      <c r="J9" s="120">
        <v>0</v>
      </c>
      <c r="K9" s="203">
        <f t="shared" si="11"/>
        <v>20</v>
      </c>
      <c r="L9" s="120">
        <v>0</v>
      </c>
      <c r="M9" s="120">
        <v>0</v>
      </c>
      <c r="N9" s="120">
        <v>0</v>
      </c>
      <c r="O9" s="120">
        <v>0</v>
      </c>
      <c r="P9" s="120">
        <v>0</v>
      </c>
      <c r="Q9" s="120">
        <v>0</v>
      </c>
      <c r="R9" s="120">
        <v>0</v>
      </c>
      <c r="S9" s="120">
        <v>0</v>
      </c>
      <c r="T9" s="120">
        <v>0</v>
      </c>
      <c r="U9" s="120">
        <v>0</v>
      </c>
      <c r="V9" s="120">
        <v>0</v>
      </c>
      <c r="W9" s="120">
        <v>6</v>
      </c>
      <c r="X9" s="120">
        <v>0</v>
      </c>
      <c r="Y9" s="120">
        <v>0</v>
      </c>
      <c r="Z9" s="120">
        <v>3</v>
      </c>
      <c r="AA9" s="120">
        <v>0</v>
      </c>
      <c r="AB9" s="120">
        <v>0</v>
      </c>
      <c r="AC9" s="120">
        <v>12</v>
      </c>
      <c r="AD9" s="120">
        <v>0</v>
      </c>
      <c r="AE9" s="120">
        <v>0</v>
      </c>
      <c r="AF9" s="120">
        <v>0</v>
      </c>
      <c r="AG9" s="120">
        <v>0</v>
      </c>
      <c r="AH9" s="120">
        <v>0</v>
      </c>
      <c r="AI9" s="120">
        <v>0</v>
      </c>
      <c r="AJ9" s="120">
        <v>0</v>
      </c>
      <c r="AK9" s="203">
        <f t="shared" si="12"/>
        <v>0</v>
      </c>
      <c r="AL9" s="203">
        <f t="shared" si="12"/>
        <v>21</v>
      </c>
      <c r="AM9" s="203">
        <f t="shared" si="13"/>
        <v>21</v>
      </c>
      <c r="AN9" s="203">
        <f t="shared" si="14"/>
        <v>0</v>
      </c>
      <c r="AO9" s="189">
        <f t="shared" si="15"/>
        <v>0</v>
      </c>
      <c r="AP9" s="189">
        <f t="shared" si="16"/>
        <v>0</v>
      </c>
      <c r="AQ9" s="189">
        <f t="shared" si="17"/>
        <v>0</v>
      </c>
      <c r="AR9" s="81">
        <f t="shared" si="18"/>
        <v>0</v>
      </c>
      <c r="AS9" s="81">
        <f t="shared" si="19"/>
        <v>100</v>
      </c>
      <c r="AT9" s="81" t="e">
        <f t="shared" si="20"/>
        <v>#DIV/0!</v>
      </c>
      <c r="AU9" s="81" t="e">
        <f t="shared" si="21"/>
        <v>#DIV/0!</v>
      </c>
      <c r="AV9" s="81" t="e">
        <f t="shared" si="22"/>
        <v>#DIV/0!</v>
      </c>
      <c r="AW9" s="81" t="e">
        <f t="shared" si="23"/>
        <v>#DIV/0!</v>
      </c>
      <c r="AX9" s="81" t="e">
        <f t="shared" si="24"/>
        <v>#DIV/0!</v>
      </c>
      <c r="AY9" s="81" t="e">
        <f t="shared" si="25"/>
        <v>#DIV/0!</v>
      </c>
      <c r="AZ9" s="81" t="e">
        <f t="shared" si="26"/>
        <v>#DIV/0!</v>
      </c>
    </row>
    <row r="10" spans="1:52" s="132" customFormat="1" ht="21" customHeight="1">
      <c r="A10" s="391"/>
      <c r="B10" s="211" t="s">
        <v>211</v>
      </c>
      <c r="C10" s="212">
        <v>144</v>
      </c>
      <c r="D10" s="164">
        <v>45671</v>
      </c>
      <c r="E10" s="164">
        <v>45671</v>
      </c>
      <c r="F10" s="120">
        <v>40</v>
      </c>
      <c r="G10" s="120">
        <v>0</v>
      </c>
      <c r="H10" s="203">
        <f t="shared" si="10"/>
        <v>40</v>
      </c>
      <c r="I10" s="120">
        <v>0</v>
      </c>
      <c r="J10" s="120">
        <v>0</v>
      </c>
      <c r="K10" s="203">
        <f t="shared" si="11"/>
        <v>40</v>
      </c>
      <c r="L10" s="120">
        <v>0</v>
      </c>
      <c r="M10" s="120">
        <v>0</v>
      </c>
      <c r="N10" s="120">
        <v>0</v>
      </c>
      <c r="O10" s="120">
        <v>9</v>
      </c>
      <c r="P10" s="120">
        <v>0</v>
      </c>
      <c r="Q10" s="120">
        <v>0</v>
      </c>
      <c r="R10" s="120">
        <v>0</v>
      </c>
      <c r="S10" s="120">
        <v>0</v>
      </c>
      <c r="T10" s="120">
        <v>1</v>
      </c>
      <c r="U10" s="120">
        <v>3</v>
      </c>
      <c r="V10" s="120">
        <v>1</v>
      </c>
      <c r="W10" s="120">
        <v>26</v>
      </c>
      <c r="X10" s="120">
        <v>5</v>
      </c>
      <c r="Y10" s="120">
        <v>0</v>
      </c>
      <c r="Z10" s="120">
        <v>0</v>
      </c>
      <c r="AA10" s="120">
        <v>0</v>
      </c>
      <c r="AB10" s="120">
        <v>2</v>
      </c>
      <c r="AC10" s="120">
        <v>12</v>
      </c>
      <c r="AD10" s="120">
        <v>2</v>
      </c>
      <c r="AE10" s="120">
        <v>0</v>
      </c>
      <c r="AF10" s="120">
        <v>6</v>
      </c>
      <c r="AG10" s="120">
        <v>1</v>
      </c>
      <c r="AH10" s="120">
        <v>0</v>
      </c>
      <c r="AI10" s="120">
        <v>0</v>
      </c>
      <c r="AJ10" s="120">
        <v>0</v>
      </c>
      <c r="AK10" s="203">
        <f t="shared" si="12"/>
        <v>3</v>
      </c>
      <c r="AL10" s="203">
        <f t="shared" si="12"/>
        <v>45</v>
      </c>
      <c r="AM10" s="203">
        <f t="shared" si="13"/>
        <v>48</v>
      </c>
      <c r="AN10" s="203">
        <f t="shared" si="14"/>
        <v>11</v>
      </c>
      <c r="AO10" s="189">
        <f t="shared" si="15"/>
        <v>22.5</v>
      </c>
      <c r="AP10" s="189">
        <f t="shared" si="16"/>
        <v>27.500000000000004</v>
      </c>
      <c r="AQ10" s="189">
        <f t="shared" si="17"/>
        <v>22.916666666666664</v>
      </c>
      <c r="AR10" s="81">
        <f t="shared" si="18"/>
        <v>6.25</v>
      </c>
      <c r="AS10" s="81">
        <f t="shared" si="19"/>
        <v>93.75</v>
      </c>
      <c r="AT10" s="81">
        <f t="shared" si="20"/>
        <v>0</v>
      </c>
      <c r="AU10" s="81">
        <f t="shared" si="21"/>
        <v>27.27272727272727</v>
      </c>
      <c r="AV10" s="81">
        <f t="shared" si="22"/>
        <v>45.454545454545453</v>
      </c>
      <c r="AW10" s="81">
        <f t="shared" si="23"/>
        <v>0</v>
      </c>
      <c r="AX10" s="81">
        <f t="shared" si="24"/>
        <v>18.181818181818183</v>
      </c>
      <c r="AY10" s="81">
        <f t="shared" si="25"/>
        <v>9.0909090909090917</v>
      </c>
      <c r="AZ10" s="81">
        <f t="shared" si="26"/>
        <v>0</v>
      </c>
    </row>
    <row r="11" spans="1:52" s="132" customFormat="1" ht="21" customHeight="1">
      <c r="A11" s="391"/>
      <c r="B11" s="211" t="s">
        <v>164</v>
      </c>
      <c r="C11" s="212">
        <v>277</v>
      </c>
      <c r="D11" s="164">
        <v>45672</v>
      </c>
      <c r="E11" s="164">
        <v>45673</v>
      </c>
      <c r="F11" s="120">
        <v>80</v>
      </c>
      <c r="G11" s="120">
        <v>0</v>
      </c>
      <c r="H11" s="203">
        <f t="shared" si="10"/>
        <v>80</v>
      </c>
      <c r="I11" s="120">
        <v>0</v>
      </c>
      <c r="J11" s="120">
        <v>0</v>
      </c>
      <c r="K11" s="203">
        <f t="shared" si="11"/>
        <v>80</v>
      </c>
      <c r="L11" s="120">
        <v>0</v>
      </c>
      <c r="M11" s="120">
        <v>0</v>
      </c>
      <c r="N11" s="120">
        <v>0</v>
      </c>
      <c r="O11" s="120">
        <v>8</v>
      </c>
      <c r="P11" s="120">
        <v>0</v>
      </c>
      <c r="Q11" s="120">
        <v>1</v>
      </c>
      <c r="R11" s="120">
        <v>0</v>
      </c>
      <c r="S11" s="120">
        <v>0</v>
      </c>
      <c r="T11" s="120">
        <v>3</v>
      </c>
      <c r="U11" s="120">
        <v>0</v>
      </c>
      <c r="V11" s="120">
        <v>3</v>
      </c>
      <c r="W11" s="120">
        <v>38</v>
      </c>
      <c r="X11" s="120">
        <v>8</v>
      </c>
      <c r="Y11" s="120">
        <v>0</v>
      </c>
      <c r="Z11" s="120">
        <v>5</v>
      </c>
      <c r="AA11" s="120">
        <v>0</v>
      </c>
      <c r="AB11" s="120">
        <v>0</v>
      </c>
      <c r="AC11" s="120">
        <v>16</v>
      </c>
      <c r="AD11" s="120">
        <v>2</v>
      </c>
      <c r="AE11" s="120">
        <v>0</v>
      </c>
      <c r="AF11" s="120">
        <v>3</v>
      </c>
      <c r="AG11" s="120">
        <v>1</v>
      </c>
      <c r="AH11" s="120">
        <v>0</v>
      </c>
      <c r="AI11" s="120">
        <v>0</v>
      </c>
      <c r="AJ11" s="120">
        <v>0</v>
      </c>
      <c r="AK11" s="203">
        <f t="shared" si="12"/>
        <v>3</v>
      </c>
      <c r="AL11" s="203">
        <f t="shared" si="12"/>
        <v>66</v>
      </c>
      <c r="AM11" s="203">
        <f t="shared" si="13"/>
        <v>69</v>
      </c>
      <c r="AN11" s="203">
        <f t="shared" si="14"/>
        <v>11</v>
      </c>
      <c r="AO11" s="189">
        <f t="shared" si="15"/>
        <v>10</v>
      </c>
      <c r="AP11" s="189">
        <f t="shared" si="16"/>
        <v>13.750000000000002</v>
      </c>
      <c r="AQ11" s="189">
        <f t="shared" si="17"/>
        <v>15.942028985507244</v>
      </c>
      <c r="AR11" s="81">
        <f t="shared" si="18"/>
        <v>4.3478260869565215</v>
      </c>
      <c r="AS11" s="81">
        <f t="shared" si="19"/>
        <v>95.652173913043484</v>
      </c>
      <c r="AT11" s="81">
        <f t="shared" si="20"/>
        <v>0</v>
      </c>
      <c r="AU11" s="81">
        <f t="shared" si="21"/>
        <v>0</v>
      </c>
      <c r="AV11" s="81">
        <f t="shared" si="22"/>
        <v>72.727272727272734</v>
      </c>
      <c r="AW11" s="81">
        <f t="shared" si="23"/>
        <v>0</v>
      </c>
      <c r="AX11" s="81">
        <f t="shared" si="24"/>
        <v>18.181818181818183</v>
      </c>
      <c r="AY11" s="81">
        <f t="shared" si="25"/>
        <v>9.0909090909090917</v>
      </c>
      <c r="AZ11" s="81">
        <f t="shared" si="26"/>
        <v>0</v>
      </c>
    </row>
    <row r="12" spans="1:52" s="63" customFormat="1" ht="20.25" customHeight="1">
      <c r="A12" s="392"/>
      <c r="B12" s="202" t="s">
        <v>165</v>
      </c>
      <c r="C12" s="203">
        <v>346</v>
      </c>
      <c r="D12" s="103">
        <v>45684</v>
      </c>
      <c r="E12" s="103">
        <v>45687</v>
      </c>
      <c r="F12" s="203">
        <v>100</v>
      </c>
      <c r="G12" s="203">
        <v>0</v>
      </c>
      <c r="H12" s="203">
        <f>F12+G12</f>
        <v>100</v>
      </c>
      <c r="I12" s="203">
        <v>0</v>
      </c>
      <c r="J12" s="203">
        <v>0</v>
      </c>
      <c r="K12" s="203">
        <f>H12+I12+J12</f>
        <v>100</v>
      </c>
      <c r="L12" s="203">
        <v>0</v>
      </c>
      <c r="M12" s="203">
        <v>0</v>
      </c>
      <c r="N12" s="203">
        <v>0</v>
      </c>
      <c r="O12" s="203">
        <v>7</v>
      </c>
      <c r="P12" s="203">
        <v>0</v>
      </c>
      <c r="Q12" s="203">
        <v>0</v>
      </c>
      <c r="R12" s="203">
        <v>0</v>
      </c>
      <c r="S12" s="203">
        <v>0</v>
      </c>
      <c r="T12" s="203">
        <v>1</v>
      </c>
      <c r="U12" s="203">
        <v>1</v>
      </c>
      <c r="V12" s="203">
        <v>0</v>
      </c>
      <c r="W12" s="203">
        <v>7</v>
      </c>
      <c r="X12" s="203">
        <v>1</v>
      </c>
      <c r="Y12" s="203">
        <v>0</v>
      </c>
      <c r="Z12" s="203">
        <v>17</v>
      </c>
      <c r="AA12" s="203">
        <v>0</v>
      </c>
      <c r="AB12" s="203">
        <v>0</v>
      </c>
      <c r="AC12" s="203">
        <v>22</v>
      </c>
      <c r="AD12" s="203">
        <v>5</v>
      </c>
      <c r="AE12" s="203">
        <v>5</v>
      </c>
      <c r="AF12" s="203">
        <v>87</v>
      </c>
      <c r="AG12" s="203">
        <v>0</v>
      </c>
      <c r="AH12" s="203">
        <v>0</v>
      </c>
      <c r="AI12" s="203">
        <v>0</v>
      </c>
      <c r="AJ12" s="203">
        <v>0</v>
      </c>
      <c r="AK12" s="203">
        <f t="shared" si="12"/>
        <v>5</v>
      </c>
      <c r="AL12" s="203">
        <f t="shared" si="12"/>
        <v>134</v>
      </c>
      <c r="AM12" s="203">
        <f>AK12+AL12</f>
        <v>139</v>
      </c>
      <c r="AN12" s="203">
        <f>R12+U12+X12+AA12+AD12+AG12+AJ12</f>
        <v>7</v>
      </c>
      <c r="AO12" s="189">
        <f t="shared" ref="AO12:AO22" si="27">O12/H12*100</f>
        <v>7.0000000000000009</v>
      </c>
      <c r="AP12" s="189">
        <f t="shared" ref="AP12:AP17" si="28">AN12/H12*100</f>
        <v>7.0000000000000009</v>
      </c>
      <c r="AQ12" s="189">
        <f>AN12/AM12*100</f>
        <v>5.0359712230215825</v>
      </c>
      <c r="AR12" s="81">
        <f>AK12/AM12*100</f>
        <v>3.5971223021582732</v>
      </c>
      <c r="AS12" s="81">
        <f>AL12/AM12*100</f>
        <v>96.402877697841731</v>
      </c>
      <c r="AT12" s="81">
        <f t="shared" ref="AT12:AT18" si="29">R12/AN12*100</f>
        <v>0</v>
      </c>
      <c r="AU12" s="81">
        <f>U12/AN12*100</f>
        <v>14.285714285714285</v>
      </c>
      <c r="AV12" s="81">
        <f>X12/AN12*100</f>
        <v>14.285714285714285</v>
      </c>
      <c r="AW12" s="81">
        <f t="shared" ref="AW12:AW49" si="30">AA12/AN12*100</f>
        <v>0</v>
      </c>
      <c r="AX12" s="81">
        <f>AD12/AN12*100</f>
        <v>71.428571428571431</v>
      </c>
      <c r="AY12" s="81">
        <f>AG12/AN12*100</f>
        <v>0</v>
      </c>
      <c r="AZ12" s="81">
        <f>AJ12/AN12*100</f>
        <v>0</v>
      </c>
    </row>
    <row r="13" spans="1:52" s="40" customFormat="1" ht="20.25" customHeight="1">
      <c r="A13" s="393" t="s">
        <v>215</v>
      </c>
      <c r="B13" s="215" t="s">
        <v>247</v>
      </c>
      <c r="C13" s="216">
        <f>SUM(C14:C17)</f>
        <v>1161</v>
      </c>
      <c r="D13" s="217">
        <f>SUM(D14:D17)</f>
        <v>182686</v>
      </c>
      <c r="E13" s="217">
        <f>MAX(E14:E17)</f>
        <v>45684</v>
      </c>
      <c r="F13" s="77">
        <f>SUM(F14:F17)</f>
        <v>319</v>
      </c>
      <c r="G13" s="77">
        <f t="shared" ref="G13:AJ13" si="31">SUM(G14:G17)</f>
        <v>1</v>
      </c>
      <c r="H13" s="77">
        <f t="shared" si="31"/>
        <v>320</v>
      </c>
      <c r="I13" s="77">
        <f t="shared" si="31"/>
        <v>0</v>
      </c>
      <c r="J13" s="77">
        <f t="shared" si="31"/>
        <v>0</v>
      </c>
      <c r="K13" s="77">
        <f t="shared" si="31"/>
        <v>320</v>
      </c>
      <c r="L13" s="77">
        <f t="shared" si="31"/>
        <v>0</v>
      </c>
      <c r="M13" s="77">
        <f t="shared" si="31"/>
        <v>0</v>
      </c>
      <c r="N13" s="77">
        <f t="shared" si="31"/>
        <v>0</v>
      </c>
      <c r="O13" s="77">
        <f t="shared" si="31"/>
        <v>21</v>
      </c>
      <c r="P13" s="77">
        <f t="shared" si="31"/>
        <v>0</v>
      </c>
      <c r="Q13" s="77">
        <f t="shared" si="31"/>
        <v>0</v>
      </c>
      <c r="R13" s="77">
        <f t="shared" si="31"/>
        <v>0</v>
      </c>
      <c r="S13" s="77">
        <f t="shared" si="31"/>
        <v>0</v>
      </c>
      <c r="T13" s="77">
        <f t="shared" si="31"/>
        <v>22</v>
      </c>
      <c r="U13" s="77">
        <f t="shared" si="31"/>
        <v>0</v>
      </c>
      <c r="V13" s="77">
        <f t="shared" si="31"/>
        <v>0</v>
      </c>
      <c r="W13" s="77">
        <f t="shared" si="31"/>
        <v>0</v>
      </c>
      <c r="X13" s="77">
        <f t="shared" si="31"/>
        <v>0</v>
      </c>
      <c r="Y13" s="77">
        <f t="shared" si="31"/>
        <v>0</v>
      </c>
      <c r="Z13" s="77">
        <f t="shared" si="31"/>
        <v>5</v>
      </c>
      <c r="AA13" s="77">
        <f t="shared" si="31"/>
        <v>1</v>
      </c>
      <c r="AB13" s="77">
        <f t="shared" si="31"/>
        <v>1</v>
      </c>
      <c r="AC13" s="77">
        <f t="shared" si="31"/>
        <v>76</v>
      </c>
      <c r="AD13" s="77">
        <f t="shared" si="31"/>
        <v>34</v>
      </c>
      <c r="AE13" s="77">
        <f t="shared" si="31"/>
        <v>22</v>
      </c>
      <c r="AF13" s="77">
        <f t="shared" si="31"/>
        <v>397</v>
      </c>
      <c r="AG13" s="77">
        <f t="shared" si="31"/>
        <v>3</v>
      </c>
      <c r="AH13" s="77">
        <f t="shared" si="31"/>
        <v>0</v>
      </c>
      <c r="AI13" s="77">
        <f t="shared" si="31"/>
        <v>0</v>
      </c>
      <c r="AJ13" s="77">
        <f t="shared" si="31"/>
        <v>0</v>
      </c>
      <c r="AK13" s="77">
        <f>P13+S13+V13+Y13+AB13+AE13+AH13</f>
        <v>23</v>
      </c>
      <c r="AL13" s="77">
        <f>Q13+T13+W13+Z13+AC13+AF13+AI13</f>
        <v>500</v>
      </c>
      <c r="AM13" s="77">
        <f>AK13+AL13</f>
        <v>523</v>
      </c>
      <c r="AN13" s="77">
        <f>R13+U13+X13+AA13+AD13+AG13+AJ13</f>
        <v>38</v>
      </c>
      <c r="AO13" s="188">
        <f>O13/H13*100</f>
        <v>6.5625</v>
      </c>
      <c r="AP13" s="188">
        <f>AN13/H13*100</f>
        <v>11.875</v>
      </c>
      <c r="AQ13" s="188">
        <f>AN13/AM13*100</f>
        <v>7.2657743785850863</v>
      </c>
      <c r="AR13" s="88">
        <f t="shared" ref="AR13" si="32">AK13/AM13*100</f>
        <v>4.3977055449330784</v>
      </c>
      <c r="AS13" s="88">
        <f t="shared" ref="AS13" si="33">AL13/AM13*100</f>
        <v>95.602294455066911</v>
      </c>
      <c r="AT13" s="88">
        <f t="shared" si="29"/>
        <v>0</v>
      </c>
      <c r="AU13" s="88">
        <f t="shared" ref="AU13" si="34">U13/AN13*100</f>
        <v>0</v>
      </c>
      <c r="AV13" s="88">
        <f t="shared" ref="AV13" si="35">X13/AN13*100</f>
        <v>0</v>
      </c>
      <c r="AW13" s="88">
        <f t="shared" si="30"/>
        <v>2.6315789473684208</v>
      </c>
      <c r="AX13" s="88">
        <f t="shared" ref="AX13" si="36">AD13/AN13*100</f>
        <v>89.473684210526315</v>
      </c>
      <c r="AY13" s="88">
        <f t="shared" ref="AY13" si="37">AG13/AN13*100</f>
        <v>7.8947368421052628</v>
      </c>
      <c r="AZ13" s="88">
        <f t="shared" ref="AZ13" si="38">AJ13/AN13*100</f>
        <v>0</v>
      </c>
    </row>
    <row r="14" spans="1:52" s="132" customFormat="1" ht="21" customHeight="1">
      <c r="A14" s="391"/>
      <c r="B14" s="211" t="s">
        <v>245</v>
      </c>
      <c r="C14" s="212">
        <v>506</v>
      </c>
      <c r="D14" s="164">
        <v>45660</v>
      </c>
      <c r="E14" s="164">
        <v>45670</v>
      </c>
      <c r="F14" s="120">
        <v>140</v>
      </c>
      <c r="G14" s="120">
        <v>0</v>
      </c>
      <c r="H14" s="203">
        <f t="shared" ref="H14" si="39">F14+G14</f>
        <v>140</v>
      </c>
      <c r="I14" s="120">
        <v>0</v>
      </c>
      <c r="J14" s="120">
        <v>0</v>
      </c>
      <c r="K14" s="203">
        <f t="shared" ref="K14:K17" si="40">H14+I14+J14</f>
        <v>140</v>
      </c>
      <c r="L14" s="120">
        <v>0</v>
      </c>
      <c r="M14" s="120">
        <v>0</v>
      </c>
      <c r="N14" s="120">
        <v>0</v>
      </c>
      <c r="O14" s="120">
        <v>9</v>
      </c>
      <c r="P14" s="120">
        <v>0</v>
      </c>
      <c r="Q14" s="120">
        <v>0</v>
      </c>
      <c r="R14" s="120">
        <v>0</v>
      </c>
      <c r="S14" s="120">
        <v>0</v>
      </c>
      <c r="T14" s="120">
        <v>8</v>
      </c>
      <c r="U14" s="120">
        <v>0</v>
      </c>
      <c r="V14" s="120">
        <v>0</v>
      </c>
      <c r="W14" s="120">
        <v>0</v>
      </c>
      <c r="X14" s="120">
        <v>0</v>
      </c>
      <c r="Y14" s="120">
        <v>0</v>
      </c>
      <c r="Z14" s="120">
        <v>2</v>
      </c>
      <c r="AA14" s="120">
        <v>0</v>
      </c>
      <c r="AB14" s="120">
        <v>1</v>
      </c>
      <c r="AC14" s="120">
        <v>42</v>
      </c>
      <c r="AD14" s="120">
        <v>15</v>
      </c>
      <c r="AE14" s="120">
        <v>22</v>
      </c>
      <c r="AF14" s="120">
        <v>196</v>
      </c>
      <c r="AG14" s="120">
        <v>0</v>
      </c>
      <c r="AH14" s="120">
        <v>0</v>
      </c>
      <c r="AI14" s="120">
        <v>0</v>
      </c>
      <c r="AJ14" s="120">
        <v>0</v>
      </c>
      <c r="AK14" s="203">
        <f t="shared" ref="AK14:AK17" si="41">P14+S14+V14+Y14+AB14+AE14+AH14</f>
        <v>23</v>
      </c>
      <c r="AL14" s="203">
        <f t="shared" ref="AL14:AL17" si="42">Q14+T14+W14+Z14+AC14+AF14+AI14</f>
        <v>248</v>
      </c>
      <c r="AM14" s="203">
        <f t="shared" ref="AM14:AM17" si="43">AK14+AL14</f>
        <v>271</v>
      </c>
      <c r="AN14" s="203">
        <f t="shared" ref="AN14:AN17" si="44">R14+U14+X14+AA14+AD14+AG14+AJ14</f>
        <v>15</v>
      </c>
      <c r="AO14" s="189">
        <f t="shared" si="27"/>
        <v>6.4285714285714279</v>
      </c>
      <c r="AP14" s="189">
        <f t="shared" si="28"/>
        <v>10.714285714285714</v>
      </c>
      <c r="AQ14" s="189">
        <f t="shared" ref="AQ14:AQ17" si="45">AN14/AM14*100</f>
        <v>5.5350553505535052</v>
      </c>
      <c r="AR14" s="81">
        <f t="shared" ref="AR14:AR19" si="46">AK14/AM14*100</f>
        <v>8.4870848708487081</v>
      </c>
      <c r="AS14" s="81">
        <f t="shared" ref="AS14:AS19" si="47">AL14/AM14*100</f>
        <v>91.512915129151295</v>
      </c>
      <c r="AT14" s="81">
        <f t="shared" si="29"/>
        <v>0</v>
      </c>
      <c r="AU14" s="81">
        <f t="shared" ref="AU14:AU19" si="48">U14/AN14*100</f>
        <v>0</v>
      </c>
      <c r="AV14" s="81">
        <f t="shared" ref="AV14:AV19" si="49">X14/AN14*100</f>
        <v>0</v>
      </c>
      <c r="AW14" s="81">
        <f t="shared" si="30"/>
        <v>0</v>
      </c>
      <c r="AX14" s="81">
        <f t="shared" ref="AX14:AX19" si="50">AD14/AN14*100</f>
        <v>100</v>
      </c>
      <c r="AY14" s="81">
        <f t="shared" ref="AY14:AY19" si="51">AG14/AN14*100</f>
        <v>0</v>
      </c>
      <c r="AZ14" s="81">
        <f t="shared" ref="AZ14:AZ19" si="52">AJ14/AN14*100</f>
        <v>0</v>
      </c>
    </row>
    <row r="15" spans="1:52" s="132" customFormat="1" ht="21" customHeight="1">
      <c r="A15" s="391"/>
      <c r="B15" s="211" t="s">
        <v>144</v>
      </c>
      <c r="C15" s="212">
        <v>221</v>
      </c>
      <c r="D15" s="164">
        <v>45671</v>
      </c>
      <c r="E15" s="164">
        <v>45673</v>
      </c>
      <c r="F15" s="120">
        <v>60</v>
      </c>
      <c r="G15" s="120">
        <v>0</v>
      </c>
      <c r="H15" s="203">
        <v>60</v>
      </c>
      <c r="I15" s="120">
        <v>0</v>
      </c>
      <c r="J15" s="120">
        <v>0</v>
      </c>
      <c r="K15" s="203">
        <f t="shared" si="40"/>
        <v>60</v>
      </c>
      <c r="L15" s="120">
        <v>0</v>
      </c>
      <c r="M15" s="120">
        <v>0</v>
      </c>
      <c r="N15" s="120">
        <v>0</v>
      </c>
      <c r="O15" s="120">
        <v>6</v>
      </c>
      <c r="P15" s="120">
        <v>0</v>
      </c>
      <c r="Q15" s="120">
        <v>0</v>
      </c>
      <c r="R15" s="120">
        <v>0</v>
      </c>
      <c r="S15" s="120">
        <v>0</v>
      </c>
      <c r="T15" s="120">
        <v>5</v>
      </c>
      <c r="U15" s="120">
        <v>0</v>
      </c>
      <c r="V15" s="120">
        <v>0</v>
      </c>
      <c r="W15" s="120">
        <v>0</v>
      </c>
      <c r="X15" s="120">
        <v>0</v>
      </c>
      <c r="Y15" s="120">
        <v>0</v>
      </c>
      <c r="Z15" s="120">
        <v>2</v>
      </c>
      <c r="AA15" s="120">
        <v>1</v>
      </c>
      <c r="AB15" s="120">
        <v>0</v>
      </c>
      <c r="AC15" s="120">
        <v>13</v>
      </c>
      <c r="AD15" s="120">
        <v>6</v>
      </c>
      <c r="AE15" s="120">
        <v>0</v>
      </c>
      <c r="AF15" s="120">
        <v>66</v>
      </c>
      <c r="AG15" s="120">
        <v>3</v>
      </c>
      <c r="AH15" s="120">
        <v>0</v>
      </c>
      <c r="AI15" s="120">
        <v>0</v>
      </c>
      <c r="AJ15" s="120">
        <v>0</v>
      </c>
      <c r="AK15" s="203">
        <f t="shared" si="41"/>
        <v>0</v>
      </c>
      <c r="AL15" s="203">
        <f t="shared" si="42"/>
        <v>86</v>
      </c>
      <c r="AM15" s="203">
        <f t="shared" si="43"/>
        <v>86</v>
      </c>
      <c r="AN15" s="203">
        <f t="shared" si="44"/>
        <v>10</v>
      </c>
      <c r="AO15" s="189">
        <f t="shared" si="27"/>
        <v>10</v>
      </c>
      <c r="AP15" s="189">
        <f t="shared" si="28"/>
        <v>16.666666666666664</v>
      </c>
      <c r="AQ15" s="189">
        <f t="shared" si="45"/>
        <v>11.627906976744185</v>
      </c>
      <c r="AR15" s="81">
        <f t="shared" si="46"/>
        <v>0</v>
      </c>
      <c r="AS15" s="81">
        <f t="shared" si="47"/>
        <v>100</v>
      </c>
      <c r="AT15" s="81">
        <f t="shared" si="29"/>
        <v>0</v>
      </c>
      <c r="AU15" s="81">
        <f t="shared" si="48"/>
        <v>0</v>
      </c>
      <c r="AV15" s="81">
        <f t="shared" si="49"/>
        <v>0</v>
      </c>
      <c r="AW15" s="81">
        <f t="shared" si="30"/>
        <v>10</v>
      </c>
      <c r="AX15" s="81">
        <f t="shared" si="50"/>
        <v>60</v>
      </c>
      <c r="AY15" s="81">
        <f t="shared" si="51"/>
        <v>30</v>
      </c>
      <c r="AZ15" s="81">
        <f t="shared" si="52"/>
        <v>0</v>
      </c>
    </row>
    <row r="16" spans="1:52" s="132" customFormat="1" ht="21" customHeight="1">
      <c r="A16" s="391"/>
      <c r="B16" s="211" t="s">
        <v>147</v>
      </c>
      <c r="C16" s="212">
        <v>297</v>
      </c>
      <c r="D16" s="164">
        <v>45674</v>
      </c>
      <c r="E16" s="164">
        <v>45680</v>
      </c>
      <c r="F16" s="120">
        <v>80</v>
      </c>
      <c r="G16" s="120">
        <v>0</v>
      </c>
      <c r="H16" s="203">
        <f t="shared" ref="H16:H17" si="53">F16+G16</f>
        <v>80</v>
      </c>
      <c r="I16" s="120">
        <v>0</v>
      </c>
      <c r="J16" s="120">
        <v>0</v>
      </c>
      <c r="K16" s="203">
        <f t="shared" si="40"/>
        <v>80</v>
      </c>
      <c r="L16" s="120">
        <v>0</v>
      </c>
      <c r="M16" s="120">
        <v>0</v>
      </c>
      <c r="N16" s="120">
        <v>0</v>
      </c>
      <c r="O16" s="120">
        <v>4</v>
      </c>
      <c r="P16" s="120">
        <v>0</v>
      </c>
      <c r="Q16" s="120">
        <v>0</v>
      </c>
      <c r="R16" s="120">
        <v>0</v>
      </c>
      <c r="S16" s="120">
        <v>0</v>
      </c>
      <c r="T16" s="120">
        <v>5</v>
      </c>
      <c r="U16" s="120">
        <v>0</v>
      </c>
      <c r="V16" s="120">
        <v>0</v>
      </c>
      <c r="W16" s="120">
        <v>0</v>
      </c>
      <c r="X16" s="120">
        <v>0</v>
      </c>
      <c r="Y16" s="120">
        <v>0</v>
      </c>
      <c r="Z16" s="120">
        <v>1</v>
      </c>
      <c r="AA16" s="120">
        <v>0</v>
      </c>
      <c r="AB16" s="120">
        <v>0</v>
      </c>
      <c r="AC16" s="120">
        <v>17</v>
      </c>
      <c r="AD16" s="120">
        <v>10</v>
      </c>
      <c r="AE16" s="120">
        <v>0</v>
      </c>
      <c r="AF16" s="120">
        <v>90</v>
      </c>
      <c r="AG16" s="120">
        <v>0</v>
      </c>
      <c r="AH16" s="120">
        <v>0</v>
      </c>
      <c r="AI16" s="120">
        <v>0</v>
      </c>
      <c r="AJ16" s="120">
        <v>0</v>
      </c>
      <c r="AK16" s="203">
        <f t="shared" si="41"/>
        <v>0</v>
      </c>
      <c r="AL16" s="203">
        <f t="shared" si="42"/>
        <v>113</v>
      </c>
      <c r="AM16" s="203">
        <f t="shared" si="43"/>
        <v>113</v>
      </c>
      <c r="AN16" s="203">
        <f t="shared" si="44"/>
        <v>10</v>
      </c>
      <c r="AO16" s="189">
        <f t="shared" si="27"/>
        <v>5</v>
      </c>
      <c r="AP16" s="189">
        <f t="shared" si="28"/>
        <v>12.5</v>
      </c>
      <c r="AQ16" s="189">
        <f t="shared" si="45"/>
        <v>8.8495575221238933</v>
      </c>
      <c r="AR16" s="81">
        <f t="shared" si="46"/>
        <v>0</v>
      </c>
      <c r="AS16" s="81">
        <f t="shared" si="47"/>
        <v>100</v>
      </c>
      <c r="AT16" s="81">
        <f t="shared" si="29"/>
        <v>0</v>
      </c>
      <c r="AU16" s="81">
        <f t="shared" si="48"/>
        <v>0</v>
      </c>
      <c r="AV16" s="81">
        <f t="shared" si="49"/>
        <v>0</v>
      </c>
      <c r="AW16" s="81">
        <f t="shared" si="30"/>
        <v>0</v>
      </c>
      <c r="AX16" s="81">
        <f t="shared" si="50"/>
        <v>100</v>
      </c>
      <c r="AY16" s="81">
        <f t="shared" si="51"/>
        <v>0</v>
      </c>
      <c r="AZ16" s="81">
        <f t="shared" si="52"/>
        <v>0</v>
      </c>
    </row>
    <row r="17" spans="1:52" s="132" customFormat="1" ht="21" customHeight="1">
      <c r="A17" s="392"/>
      <c r="B17" s="211" t="s">
        <v>172</v>
      </c>
      <c r="C17" s="212">
        <v>137</v>
      </c>
      <c r="D17" s="164">
        <v>45681</v>
      </c>
      <c r="E17" s="164">
        <v>45684</v>
      </c>
      <c r="F17" s="120">
        <v>39</v>
      </c>
      <c r="G17" s="120">
        <v>1</v>
      </c>
      <c r="H17" s="203">
        <f t="shared" si="53"/>
        <v>40</v>
      </c>
      <c r="I17" s="120">
        <v>0</v>
      </c>
      <c r="J17" s="120">
        <v>0</v>
      </c>
      <c r="K17" s="203">
        <f t="shared" si="40"/>
        <v>40</v>
      </c>
      <c r="L17" s="120">
        <v>0</v>
      </c>
      <c r="M17" s="120">
        <v>0</v>
      </c>
      <c r="N17" s="120">
        <v>0</v>
      </c>
      <c r="O17" s="120">
        <v>2</v>
      </c>
      <c r="P17" s="120">
        <v>0</v>
      </c>
      <c r="Q17" s="120">
        <v>0</v>
      </c>
      <c r="R17" s="120">
        <v>0</v>
      </c>
      <c r="S17" s="120">
        <v>0</v>
      </c>
      <c r="T17" s="120">
        <v>4</v>
      </c>
      <c r="U17" s="120">
        <v>0</v>
      </c>
      <c r="V17" s="120">
        <v>0</v>
      </c>
      <c r="W17" s="120">
        <v>0</v>
      </c>
      <c r="X17" s="120">
        <v>0</v>
      </c>
      <c r="Y17" s="120">
        <v>0</v>
      </c>
      <c r="Z17" s="120">
        <v>0</v>
      </c>
      <c r="AA17" s="120">
        <v>0</v>
      </c>
      <c r="AB17" s="120">
        <v>0</v>
      </c>
      <c r="AC17" s="120">
        <v>4</v>
      </c>
      <c r="AD17" s="120">
        <v>3</v>
      </c>
      <c r="AE17" s="120">
        <v>0</v>
      </c>
      <c r="AF17" s="120">
        <v>45</v>
      </c>
      <c r="AG17" s="120">
        <v>0</v>
      </c>
      <c r="AH17" s="120">
        <v>0</v>
      </c>
      <c r="AI17" s="120">
        <v>0</v>
      </c>
      <c r="AJ17" s="120">
        <v>0</v>
      </c>
      <c r="AK17" s="203">
        <f t="shared" si="41"/>
        <v>0</v>
      </c>
      <c r="AL17" s="203">
        <f t="shared" si="42"/>
        <v>53</v>
      </c>
      <c r="AM17" s="203">
        <f t="shared" si="43"/>
        <v>53</v>
      </c>
      <c r="AN17" s="203">
        <f t="shared" si="44"/>
        <v>3</v>
      </c>
      <c r="AO17" s="189">
        <f t="shared" si="27"/>
        <v>5</v>
      </c>
      <c r="AP17" s="189">
        <f t="shared" si="28"/>
        <v>7.5</v>
      </c>
      <c r="AQ17" s="189">
        <f t="shared" si="45"/>
        <v>5.6603773584905666</v>
      </c>
      <c r="AR17" s="81">
        <f t="shared" si="46"/>
        <v>0</v>
      </c>
      <c r="AS17" s="81">
        <f t="shared" si="47"/>
        <v>100</v>
      </c>
      <c r="AT17" s="81">
        <f t="shared" si="29"/>
        <v>0</v>
      </c>
      <c r="AU17" s="81">
        <f t="shared" si="48"/>
        <v>0</v>
      </c>
      <c r="AV17" s="81">
        <f t="shared" si="49"/>
        <v>0</v>
      </c>
      <c r="AW17" s="81">
        <f t="shared" si="30"/>
        <v>0</v>
      </c>
      <c r="AX17" s="81">
        <f t="shared" si="50"/>
        <v>100</v>
      </c>
      <c r="AY17" s="81">
        <f t="shared" si="51"/>
        <v>0</v>
      </c>
      <c r="AZ17" s="81">
        <f t="shared" si="52"/>
        <v>0</v>
      </c>
    </row>
    <row r="18" spans="1:52" s="40" customFormat="1" ht="20.25" customHeight="1">
      <c r="A18" s="266" t="s">
        <v>62</v>
      </c>
      <c r="B18" s="83">
        <v>10</v>
      </c>
      <c r="C18" s="83">
        <f>C6+C13</f>
        <v>2238</v>
      </c>
      <c r="D18" s="104">
        <f>MIN(D7:D17)</f>
        <v>45659</v>
      </c>
      <c r="E18" s="104">
        <f>MAX(E7:E17)</f>
        <v>45687</v>
      </c>
      <c r="F18" s="83">
        <f>F6+F13</f>
        <v>619</v>
      </c>
      <c r="G18" s="83">
        <f t="shared" ref="G18:AJ18" si="54">G6+G13</f>
        <v>1</v>
      </c>
      <c r="H18" s="83">
        <f t="shared" si="54"/>
        <v>620</v>
      </c>
      <c r="I18" s="83">
        <f t="shared" si="54"/>
        <v>0</v>
      </c>
      <c r="J18" s="83">
        <f t="shared" si="54"/>
        <v>0</v>
      </c>
      <c r="K18" s="83">
        <f t="shared" si="54"/>
        <v>620</v>
      </c>
      <c r="L18" s="83">
        <f t="shared" si="54"/>
        <v>0</v>
      </c>
      <c r="M18" s="83">
        <f t="shared" si="54"/>
        <v>0</v>
      </c>
      <c r="N18" s="83">
        <f t="shared" si="54"/>
        <v>0</v>
      </c>
      <c r="O18" s="83">
        <f t="shared" si="54"/>
        <v>49</v>
      </c>
      <c r="P18" s="83">
        <f t="shared" si="54"/>
        <v>0</v>
      </c>
      <c r="Q18" s="83">
        <f t="shared" si="54"/>
        <v>1</v>
      </c>
      <c r="R18" s="83">
        <f t="shared" si="54"/>
        <v>0</v>
      </c>
      <c r="S18" s="83">
        <f t="shared" si="54"/>
        <v>0</v>
      </c>
      <c r="T18" s="83">
        <f t="shared" si="54"/>
        <v>28</v>
      </c>
      <c r="U18" s="83">
        <f t="shared" si="54"/>
        <v>5</v>
      </c>
      <c r="V18" s="83">
        <f t="shared" si="54"/>
        <v>5</v>
      </c>
      <c r="W18" s="83">
        <f t="shared" si="54"/>
        <v>87</v>
      </c>
      <c r="X18" s="83">
        <f t="shared" si="54"/>
        <v>15</v>
      </c>
      <c r="Y18" s="83">
        <f t="shared" si="54"/>
        <v>0</v>
      </c>
      <c r="Z18" s="83">
        <f t="shared" si="54"/>
        <v>31</v>
      </c>
      <c r="AA18" s="83">
        <f t="shared" si="54"/>
        <v>2</v>
      </c>
      <c r="AB18" s="83">
        <f t="shared" si="54"/>
        <v>3</v>
      </c>
      <c r="AC18" s="83">
        <f t="shared" si="54"/>
        <v>142</v>
      </c>
      <c r="AD18" s="83">
        <f t="shared" si="54"/>
        <v>44</v>
      </c>
      <c r="AE18" s="83">
        <f t="shared" si="54"/>
        <v>29</v>
      </c>
      <c r="AF18" s="83">
        <f t="shared" si="54"/>
        <v>539</v>
      </c>
      <c r="AG18" s="83">
        <f t="shared" si="54"/>
        <v>5</v>
      </c>
      <c r="AH18" s="83">
        <f t="shared" si="54"/>
        <v>0</v>
      </c>
      <c r="AI18" s="83">
        <f t="shared" si="54"/>
        <v>0</v>
      </c>
      <c r="AJ18" s="83">
        <f t="shared" si="54"/>
        <v>0</v>
      </c>
      <c r="AK18" s="83">
        <f>P18+S18+V18+Y18+AB18+AE18+AH18</f>
        <v>37</v>
      </c>
      <c r="AL18" s="83">
        <f>Q18+T18+W18+Z18+AC18+AF18+AI18</f>
        <v>828</v>
      </c>
      <c r="AM18" s="83">
        <f>AK18+AL18</f>
        <v>865</v>
      </c>
      <c r="AN18" s="83">
        <f>R18+U18+X18+AA18+AD18+AG18+AJ18</f>
        <v>71</v>
      </c>
      <c r="AO18" s="190">
        <f>O18/H18*100</f>
        <v>7.9032258064516121</v>
      </c>
      <c r="AP18" s="190">
        <f>AN18/H18*100</f>
        <v>11.451612903225806</v>
      </c>
      <c r="AQ18" s="190">
        <f>AN18/AM18*100</f>
        <v>8.2080924855491322</v>
      </c>
      <c r="AR18" s="85">
        <f t="shared" si="46"/>
        <v>4.2774566473988438</v>
      </c>
      <c r="AS18" s="85">
        <f t="shared" si="47"/>
        <v>95.72254335260115</v>
      </c>
      <c r="AT18" s="85">
        <f t="shared" si="29"/>
        <v>0</v>
      </c>
      <c r="AU18" s="85">
        <f t="shared" si="48"/>
        <v>7.042253521126761</v>
      </c>
      <c r="AV18" s="85">
        <f t="shared" si="49"/>
        <v>21.12676056338028</v>
      </c>
      <c r="AW18" s="85">
        <f t="shared" ref="AW18:AW19" si="55">AA18/AN18*100</f>
        <v>2.8169014084507045</v>
      </c>
      <c r="AX18" s="85">
        <f t="shared" si="50"/>
        <v>61.971830985915489</v>
      </c>
      <c r="AY18" s="85">
        <f t="shared" si="51"/>
        <v>7.042253521126761</v>
      </c>
      <c r="AZ18" s="85">
        <f t="shared" si="52"/>
        <v>0</v>
      </c>
    </row>
    <row r="19" spans="1:52" s="218" customFormat="1" ht="20.25" customHeight="1">
      <c r="A19" s="393" t="s">
        <v>246</v>
      </c>
      <c r="B19" s="77" t="s">
        <v>24</v>
      </c>
      <c r="C19" s="77">
        <f>SUM(C20:C24)</f>
        <v>662</v>
      </c>
      <c r="D19" s="217">
        <f>MIN(D20:D24)</f>
        <v>45693</v>
      </c>
      <c r="E19" s="217">
        <f>MAX(E20:E24)</f>
        <v>45701</v>
      </c>
      <c r="F19" s="77">
        <f>SUM(F20:F24)</f>
        <v>173</v>
      </c>
      <c r="G19" s="77">
        <f t="shared" ref="G19:AJ19" si="56">SUM(G20:G24)</f>
        <v>0</v>
      </c>
      <c r="H19" s="77">
        <f t="shared" si="56"/>
        <v>173</v>
      </c>
      <c r="I19" s="77">
        <f t="shared" si="56"/>
        <v>6</v>
      </c>
      <c r="J19" s="77">
        <f t="shared" si="56"/>
        <v>0</v>
      </c>
      <c r="K19" s="77">
        <f t="shared" si="56"/>
        <v>179</v>
      </c>
      <c r="L19" s="77">
        <f t="shared" si="56"/>
        <v>0</v>
      </c>
      <c r="M19" s="77">
        <f t="shared" si="56"/>
        <v>0</v>
      </c>
      <c r="N19" s="77">
        <f t="shared" si="56"/>
        <v>0</v>
      </c>
      <c r="O19" s="77">
        <f t="shared" si="56"/>
        <v>31</v>
      </c>
      <c r="P19" s="77">
        <f t="shared" si="56"/>
        <v>3</v>
      </c>
      <c r="Q19" s="77">
        <f t="shared" si="56"/>
        <v>1</v>
      </c>
      <c r="R19" s="77">
        <f t="shared" si="56"/>
        <v>0</v>
      </c>
      <c r="S19" s="77">
        <f t="shared" si="56"/>
        <v>3</v>
      </c>
      <c r="T19" s="77">
        <f t="shared" si="56"/>
        <v>12</v>
      </c>
      <c r="U19" s="77">
        <f t="shared" si="56"/>
        <v>3</v>
      </c>
      <c r="V19" s="77">
        <f t="shared" si="56"/>
        <v>14</v>
      </c>
      <c r="W19" s="77">
        <f t="shared" si="56"/>
        <v>51</v>
      </c>
      <c r="X19" s="77">
        <f t="shared" si="56"/>
        <v>9</v>
      </c>
      <c r="Y19" s="77">
        <f t="shared" si="56"/>
        <v>1</v>
      </c>
      <c r="Z19" s="77">
        <f t="shared" si="56"/>
        <v>8</v>
      </c>
      <c r="AA19" s="77">
        <f t="shared" si="56"/>
        <v>2</v>
      </c>
      <c r="AB19" s="77">
        <f t="shared" si="56"/>
        <v>6</v>
      </c>
      <c r="AC19" s="77">
        <f t="shared" si="56"/>
        <v>64</v>
      </c>
      <c r="AD19" s="77">
        <f t="shared" si="56"/>
        <v>30</v>
      </c>
      <c r="AE19" s="77">
        <f t="shared" si="56"/>
        <v>53</v>
      </c>
      <c r="AF19" s="77">
        <f t="shared" si="56"/>
        <v>42</v>
      </c>
      <c r="AG19" s="77">
        <f t="shared" si="56"/>
        <v>3</v>
      </c>
      <c r="AH19" s="77">
        <f t="shared" si="56"/>
        <v>0</v>
      </c>
      <c r="AI19" s="77">
        <f t="shared" si="56"/>
        <v>0</v>
      </c>
      <c r="AJ19" s="77">
        <f t="shared" si="56"/>
        <v>0</v>
      </c>
      <c r="AK19" s="77">
        <f>P19+S19+V19+Y19+AB19+AE19+AH19</f>
        <v>80</v>
      </c>
      <c r="AL19" s="77">
        <f>Q19+T19+W19+Z19+AC19+AF19+AI19</f>
        <v>178</v>
      </c>
      <c r="AM19" s="77">
        <f>AK19+AL19</f>
        <v>258</v>
      </c>
      <c r="AN19" s="77">
        <f>R19+U19+X19+AA19+AD19+AG19+AJ19</f>
        <v>47</v>
      </c>
      <c r="AO19" s="188">
        <f>O19/H19*100</f>
        <v>17.919075144508671</v>
      </c>
      <c r="AP19" s="188">
        <f>AN19/H19*100</f>
        <v>27.167630057803464</v>
      </c>
      <c r="AQ19" s="188">
        <f>AN19/AM19*100</f>
        <v>18.217054263565892</v>
      </c>
      <c r="AR19" s="88">
        <f t="shared" si="46"/>
        <v>31.007751937984494</v>
      </c>
      <c r="AS19" s="88">
        <f t="shared" si="47"/>
        <v>68.992248062015506</v>
      </c>
      <c r="AT19" s="88">
        <f t="shared" ref="AT19" si="57">R19/AN19*100</f>
        <v>0</v>
      </c>
      <c r="AU19" s="88">
        <f t="shared" si="48"/>
        <v>6.3829787234042552</v>
      </c>
      <c r="AV19" s="88">
        <f t="shared" si="49"/>
        <v>19.148936170212767</v>
      </c>
      <c r="AW19" s="88">
        <f t="shared" si="55"/>
        <v>4.2553191489361701</v>
      </c>
      <c r="AX19" s="88">
        <f t="shared" si="50"/>
        <v>63.829787234042556</v>
      </c>
      <c r="AY19" s="88">
        <f t="shared" si="51"/>
        <v>6.3829787234042552</v>
      </c>
      <c r="AZ19" s="88">
        <f t="shared" si="52"/>
        <v>0</v>
      </c>
    </row>
    <row r="20" spans="1:52" s="63" customFormat="1" ht="20.25" customHeight="1">
      <c r="A20" s="391"/>
      <c r="B20" s="175" t="s">
        <v>187</v>
      </c>
      <c r="C20" s="120">
        <v>92</v>
      </c>
      <c r="D20" s="164" t="s">
        <v>189</v>
      </c>
      <c r="E20" s="164">
        <v>45699</v>
      </c>
      <c r="F20" s="120">
        <v>24</v>
      </c>
      <c r="G20" s="120">
        <v>0</v>
      </c>
      <c r="H20" s="140">
        <f t="shared" ref="H20:H22" si="58">F20+G20</f>
        <v>24</v>
      </c>
      <c r="I20" s="140">
        <v>0</v>
      </c>
      <c r="J20" s="140">
        <v>0</v>
      </c>
      <c r="K20" s="140">
        <f t="shared" ref="K20:K22" si="59">H20+I20+J20</f>
        <v>24</v>
      </c>
      <c r="L20" s="120">
        <v>0</v>
      </c>
      <c r="M20" s="120">
        <v>0</v>
      </c>
      <c r="N20" s="120">
        <v>0</v>
      </c>
      <c r="O20" s="120">
        <v>8</v>
      </c>
      <c r="P20" s="120">
        <v>0</v>
      </c>
      <c r="Q20" s="120">
        <v>0</v>
      </c>
      <c r="R20" s="120">
        <v>0</v>
      </c>
      <c r="S20" s="120">
        <v>0</v>
      </c>
      <c r="T20" s="120">
        <v>3</v>
      </c>
      <c r="U20" s="120">
        <v>2</v>
      </c>
      <c r="V20" s="120">
        <v>0</v>
      </c>
      <c r="W20" s="120">
        <v>14</v>
      </c>
      <c r="X20" s="120">
        <v>3</v>
      </c>
      <c r="Y20" s="120">
        <v>0</v>
      </c>
      <c r="Z20" s="120">
        <v>2</v>
      </c>
      <c r="AA20" s="120">
        <v>0</v>
      </c>
      <c r="AB20" s="120">
        <v>3</v>
      </c>
      <c r="AC20" s="120">
        <v>18</v>
      </c>
      <c r="AD20" s="120">
        <v>14</v>
      </c>
      <c r="AE20" s="120">
        <v>0</v>
      </c>
      <c r="AF20" s="120">
        <v>12</v>
      </c>
      <c r="AG20" s="120">
        <v>1</v>
      </c>
      <c r="AH20" s="120">
        <v>0</v>
      </c>
      <c r="AI20" s="120">
        <v>0</v>
      </c>
      <c r="AJ20" s="120">
        <v>0</v>
      </c>
      <c r="AK20" s="140">
        <f t="shared" ref="AK20:AK24" si="60">P20+S20+V20+Y20+AB20+AE20+AH20</f>
        <v>3</v>
      </c>
      <c r="AL20" s="140">
        <f t="shared" ref="AL20:AL22" si="61">Q20+T20+W20+Z20+AC20+AF20+AI20</f>
        <v>49</v>
      </c>
      <c r="AM20" s="140">
        <f t="shared" ref="AM20:AM22" si="62">AK20+AL20</f>
        <v>52</v>
      </c>
      <c r="AN20" s="140">
        <f t="shared" ref="AN20:AN22" si="63">R20+U20+X20+AA20+AD20+AG20+AJ20</f>
        <v>20</v>
      </c>
      <c r="AO20" s="189">
        <f t="shared" si="27"/>
        <v>33.333333333333329</v>
      </c>
      <c r="AP20" s="189">
        <f t="shared" ref="AP20:AP22" si="64">AN20/H20*100</f>
        <v>83.333333333333343</v>
      </c>
      <c r="AQ20" s="189">
        <f t="shared" ref="AQ20:AQ22" si="65">AN20/AM20*100</f>
        <v>38.461538461538467</v>
      </c>
      <c r="AR20" s="81">
        <f t="shared" ref="AR20:AR22" si="66">AK20/AM20*100</f>
        <v>5.7692307692307692</v>
      </c>
      <c r="AS20" s="81">
        <f t="shared" ref="AS20:AS22" si="67">AL20/AM20*100</f>
        <v>94.230769230769226</v>
      </c>
      <c r="AT20" s="81">
        <f t="shared" ref="AT20:AT22" si="68">R20/AN20*100</f>
        <v>0</v>
      </c>
      <c r="AU20" s="81">
        <f t="shared" ref="AU20:AU22" si="69">U20/AN20*100</f>
        <v>10</v>
      </c>
      <c r="AV20" s="81">
        <f t="shared" ref="AV20:AV22" si="70">X20/AN20*100</f>
        <v>15</v>
      </c>
      <c r="AW20" s="81">
        <f t="shared" ref="AW20:AW22" si="71">AA20/AN20*100</f>
        <v>0</v>
      </c>
      <c r="AX20" s="81">
        <f t="shared" ref="AX20:AX22" si="72">AD20/AN20*100</f>
        <v>70</v>
      </c>
      <c r="AY20" s="81">
        <f t="shared" ref="AY20:AY22" si="73">AG20/AN20*100</f>
        <v>5</v>
      </c>
      <c r="AZ20" s="81">
        <f t="shared" ref="AZ20:AZ22" si="74">AJ20/AN20*100</f>
        <v>0</v>
      </c>
    </row>
    <row r="21" spans="1:52" s="63" customFormat="1" ht="20.25" customHeight="1">
      <c r="A21" s="391"/>
      <c r="B21" s="175" t="s">
        <v>188</v>
      </c>
      <c r="C21" s="120">
        <v>172</v>
      </c>
      <c r="D21" s="164">
        <v>45693</v>
      </c>
      <c r="E21" s="164">
        <v>45699</v>
      </c>
      <c r="F21" s="120">
        <v>41</v>
      </c>
      <c r="G21" s="120">
        <v>0</v>
      </c>
      <c r="H21" s="140">
        <f t="shared" si="58"/>
        <v>41</v>
      </c>
      <c r="I21" s="140">
        <v>0</v>
      </c>
      <c r="J21" s="140">
        <v>0</v>
      </c>
      <c r="K21" s="140">
        <f t="shared" si="59"/>
        <v>41</v>
      </c>
      <c r="L21" s="120">
        <v>0</v>
      </c>
      <c r="M21" s="120">
        <v>0</v>
      </c>
      <c r="N21" s="120">
        <v>0</v>
      </c>
      <c r="O21" s="120">
        <v>7</v>
      </c>
      <c r="P21" s="120">
        <v>0</v>
      </c>
      <c r="Q21" s="120">
        <v>0</v>
      </c>
      <c r="R21" s="120">
        <v>0</v>
      </c>
      <c r="S21" s="120">
        <v>0</v>
      </c>
      <c r="T21" s="120">
        <v>6</v>
      </c>
      <c r="U21" s="120">
        <v>0</v>
      </c>
      <c r="V21" s="120">
        <v>2</v>
      </c>
      <c r="W21" s="120">
        <v>9</v>
      </c>
      <c r="X21" s="120">
        <v>2</v>
      </c>
      <c r="Y21" s="120">
        <v>0</v>
      </c>
      <c r="Z21" s="120">
        <v>0</v>
      </c>
      <c r="AA21" s="120">
        <v>0</v>
      </c>
      <c r="AB21" s="120">
        <v>0</v>
      </c>
      <c r="AC21" s="120">
        <v>13</v>
      </c>
      <c r="AD21" s="120">
        <v>6</v>
      </c>
      <c r="AE21" s="120">
        <v>23</v>
      </c>
      <c r="AF21" s="120">
        <v>9</v>
      </c>
      <c r="AG21" s="120">
        <v>1</v>
      </c>
      <c r="AH21" s="120">
        <v>0</v>
      </c>
      <c r="AI21" s="120">
        <v>0</v>
      </c>
      <c r="AJ21" s="120">
        <v>0</v>
      </c>
      <c r="AK21" s="140">
        <f t="shared" si="60"/>
        <v>25</v>
      </c>
      <c r="AL21" s="140">
        <f t="shared" si="61"/>
        <v>37</v>
      </c>
      <c r="AM21" s="140">
        <f t="shared" si="62"/>
        <v>62</v>
      </c>
      <c r="AN21" s="140">
        <f t="shared" si="63"/>
        <v>9</v>
      </c>
      <c r="AO21" s="189">
        <f t="shared" si="27"/>
        <v>17.073170731707318</v>
      </c>
      <c r="AP21" s="189">
        <f t="shared" si="64"/>
        <v>21.951219512195124</v>
      </c>
      <c r="AQ21" s="189">
        <f t="shared" si="65"/>
        <v>14.516129032258066</v>
      </c>
      <c r="AR21" s="81">
        <f t="shared" si="66"/>
        <v>40.322580645161288</v>
      </c>
      <c r="AS21" s="81">
        <f t="shared" si="67"/>
        <v>59.677419354838712</v>
      </c>
      <c r="AT21" s="81">
        <f t="shared" si="68"/>
        <v>0</v>
      </c>
      <c r="AU21" s="81">
        <f t="shared" si="69"/>
        <v>0</v>
      </c>
      <c r="AV21" s="81">
        <f t="shared" si="70"/>
        <v>22.222222222222221</v>
      </c>
      <c r="AW21" s="81">
        <f t="shared" si="71"/>
        <v>0</v>
      </c>
      <c r="AX21" s="81">
        <f t="shared" si="72"/>
        <v>66.666666666666657</v>
      </c>
      <c r="AY21" s="81">
        <f t="shared" si="73"/>
        <v>11.111111111111111</v>
      </c>
      <c r="AZ21" s="81">
        <f t="shared" si="74"/>
        <v>0</v>
      </c>
    </row>
    <row r="22" spans="1:52" s="63" customFormat="1" ht="20.25" customHeight="1">
      <c r="A22" s="391"/>
      <c r="B22" s="175" t="s">
        <v>165</v>
      </c>
      <c r="C22" s="120">
        <v>40</v>
      </c>
      <c r="D22" s="164">
        <v>45699</v>
      </c>
      <c r="E22" s="164">
        <v>45699</v>
      </c>
      <c r="F22" s="120">
        <v>10</v>
      </c>
      <c r="G22" s="120">
        <v>0</v>
      </c>
      <c r="H22" s="140">
        <f t="shared" si="58"/>
        <v>10</v>
      </c>
      <c r="I22" s="140">
        <v>0</v>
      </c>
      <c r="J22" s="140">
        <v>0</v>
      </c>
      <c r="K22" s="140">
        <f t="shared" si="59"/>
        <v>10</v>
      </c>
      <c r="L22" s="120">
        <v>0</v>
      </c>
      <c r="M22" s="120">
        <v>0</v>
      </c>
      <c r="N22" s="120">
        <v>0</v>
      </c>
      <c r="O22" s="120">
        <v>1</v>
      </c>
      <c r="P22" s="120">
        <v>0</v>
      </c>
      <c r="Q22" s="120">
        <v>0</v>
      </c>
      <c r="R22" s="120">
        <v>0</v>
      </c>
      <c r="S22" s="120">
        <v>0</v>
      </c>
      <c r="T22" s="120">
        <v>0</v>
      </c>
      <c r="U22" s="120">
        <v>0</v>
      </c>
      <c r="V22" s="120">
        <v>3</v>
      </c>
      <c r="W22" s="120">
        <v>3</v>
      </c>
      <c r="X22" s="120">
        <v>0</v>
      </c>
      <c r="Y22" s="120">
        <v>0</v>
      </c>
      <c r="Z22" s="120">
        <v>1</v>
      </c>
      <c r="AA22" s="120">
        <v>1</v>
      </c>
      <c r="AB22" s="120">
        <v>0</v>
      </c>
      <c r="AC22" s="120">
        <v>0</v>
      </c>
      <c r="AD22" s="120">
        <v>0</v>
      </c>
      <c r="AE22" s="120">
        <v>0</v>
      </c>
      <c r="AF22" s="120">
        <v>0</v>
      </c>
      <c r="AG22" s="120">
        <v>0</v>
      </c>
      <c r="AH22" s="120">
        <v>0</v>
      </c>
      <c r="AI22" s="120">
        <v>0</v>
      </c>
      <c r="AJ22" s="120">
        <v>0</v>
      </c>
      <c r="AK22" s="140">
        <f t="shared" si="60"/>
        <v>3</v>
      </c>
      <c r="AL22" s="140">
        <f t="shared" si="61"/>
        <v>4</v>
      </c>
      <c r="AM22" s="140">
        <f t="shared" si="62"/>
        <v>7</v>
      </c>
      <c r="AN22" s="140">
        <f t="shared" si="63"/>
        <v>1</v>
      </c>
      <c r="AO22" s="189">
        <f t="shared" si="27"/>
        <v>10</v>
      </c>
      <c r="AP22" s="189">
        <f t="shared" si="64"/>
        <v>10</v>
      </c>
      <c r="AQ22" s="189">
        <f t="shared" si="65"/>
        <v>14.285714285714285</v>
      </c>
      <c r="AR22" s="81">
        <f t="shared" si="66"/>
        <v>42.857142857142854</v>
      </c>
      <c r="AS22" s="81">
        <f t="shared" si="67"/>
        <v>57.142857142857139</v>
      </c>
      <c r="AT22" s="81">
        <f t="shared" si="68"/>
        <v>0</v>
      </c>
      <c r="AU22" s="81">
        <f t="shared" si="69"/>
        <v>0</v>
      </c>
      <c r="AV22" s="81">
        <f t="shared" si="70"/>
        <v>0</v>
      </c>
      <c r="AW22" s="81">
        <f t="shared" si="71"/>
        <v>100</v>
      </c>
      <c r="AX22" s="81">
        <f t="shared" si="72"/>
        <v>0</v>
      </c>
      <c r="AY22" s="81">
        <f t="shared" si="73"/>
        <v>0</v>
      </c>
      <c r="AZ22" s="81">
        <f t="shared" si="74"/>
        <v>0</v>
      </c>
    </row>
    <row r="23" spans="1:52" s="63" customFormat="1" ht="20.25" customHeight="1">
      <c r="A23" s="391"/>
      <c r="B23" s="152" t="s">
        <v>131</v>
      </c>
      <c r="C23" s="203">
        <v>80</v>
      </c>
      <c r="D23" s="103">
        <v>45701</v>
      </c>
      <c r="E23" s="103">
        <v>45701</v>
      </c>
      <c r="F23" s="203">
        <v>18</v>
      </c>
      <c r="G23" s="203">
        <v>0</v>
      </c>
      <c r="H23" s="140">
        <f>F23+G23</f>
        <v>18</v>
      </c>
      <c r="I23" s="140">
        <v>0</v>
      </c>
      <c r="J23" s="140">
        <v>0</v>
      </c>
      <c r="K23" s="140">
        <f>H23+I23+J23</f>
        <v>18</v>
      </c>
      <c r="L23" s="120">
        <v>0</v>
      </c>
      <c r="M23" s="120">
        <v>0</v>
      </c>
      <c r="N23" s="120">
        <v>0</v>
      </c>
      <c r="O23" s="140">
        <v>4</v>
      </c>
      <c r="P23" s="120">
        <v>0</v>
      </c>
      <c r="Q23" s="120">
        <v>0</v>
      </c>
      <c r="R23" s="120">
        <v>0</v>
      </c>
      <c r="S23" s="120">
        <v>0</v>
      </c>
      <c r="T23" s="140">
        <v>1</v>
      </c>
      <c r="U23" s="140">
        <v>0</v>
      </c>
      <c r="V23" s="140">
        <v>0</v>
      </c>
      <c r="W23" s="140">
        <v>4</v>
      </c>
      <c r="X23" s="140">
        <v>2</v>
      </c>
      <c r="Y23" s="140">
        <v>0</v>
      </c>
      <c r="Z23" s="140">
        <v>2</v>
      </c>
      <c r="AA23" s="140">
        <v>0</v>
      </c>
      <c r="AB23" s="140">
        <v>0</v>
      </c>
      <c r="AC23" s="140">
        <v>3</v>
      </c>
      <c r="AD23" s="140">
        <v>2</v>
      </c>
      <c r="AE23" s="140">
        <v>0</v>
      </c>
      <c r="AF23" s="140">
        <v>8</v>
      </c>
      <c r="AG23" s="140">
        <v>0</v>
      </c>
      <c r="AH23" s="140">
        <v>0</v>
      </c>
      <c r="AI23" s="140">
        <v>0</v>
      </c>
      <c r="AJ23" s="140">
        <v>0</v>
      </c>
      <c r="AK23" s="140">
        <f t="shared" si="60"/>
        <v>0</v>
      </c>
      <c r="AL23" s="140">
        <f t="shared" ref="AL23:AL24" si="75">Q23+T23+W23+Z23+AC23+AF23+AI23</f>
        <v>18</v>
      </c>
      <c r="AM23" s="140">
        <f t="shared" ref="AM23:AM24" si="76">AK23+AL23</f>
        <v>18</v>
      </c>
      <c r="AN23" s="140">
        <f t="shared" ref="AN23:AN24" si="77">R23+U23+X23+AA23+AD23+AG23+AJ23</f>
        <v>4</v>
      </c>
      <c r="AO23" s="189">
        <f t="shared" ref="AO23:AO24" si="78">O23/H23*100</f>
        <v>22.222222222222221</v>
      </c>
      <c r="AP23" s="189">
        <f t="shared" ref="AP23:AP24" si="79">AN23/H23*100</f>
        <v>22.222222222222221</v>
      </c>
      <c r="AQ23" s="189">
        <f t="shared" ref="AQ23:AQ24" si="80">AN23/AM23*100</f>
        <v>22.222222222222221</v>
      </c>
      <c r="AR23" s="81">
        <f t="shared" ref="AR23:AR25" si="81">AK23/AM23*100</f>
        <v>0</v>
      </c>
      <c r="AS23" s="81">
        <f t="shared" ref="AS23:AS25" si="82">AL23/AM23*100</f>
        <v>100</v>
      </c>
      <c r="AT23" s="81">
        <f t="shared" ref="AT23:AT25" si="83">R23/AN23*100</f>
        <v>0</v>
      </c>
      <c r="AU23" s="81">
        <f t="shared" ref="AU23:AU25" si="84">U23/AN23*100</f>
        <v>0</v>
      </c>
      <c r="AV23" s="81">
        <f t="shared" ref="AV23:AV25" si="85">X23/AN23*100</f>
        <v>50</v>
      </c>
      <c r="AW23" s="81">
        <f t="shared" si="30"/>
        <v>0</v>
      </c>
      <c r="AX23" s="81">
        <f t="shared" ref="AX23:AX25" si="86">AD23/AN23*100</f>
        <v>50</v>
      </c>
      <c r="AY23" s="81">
        <f t="shared" ref="AY23:AY25" si="87">AG23/AN23*100</f>
        <v>0</v>
      </c>
      <c r="AZ23" s="81">
        <f t="shared" ref="AZ23:AZ25" si="88">AJ23/AN23*100</f>
        <v>0</v>
      </c>
    </row>
    <row r="24" spans="1:52" s="63" customFormat="1" ht="20.25" customHeight="1">
      <c r="A24" s="392"/>
      <c r="B24" s="152" t="s">
        <v>211</v>
      </c>
      <c r="C24" s="203">
        <v>278</v>
      </c>
      <c r="D24" s="103">
        <v>45693</v>
      </c>
      <c r="E24" s="103">
        <v>45693</v>
      </c>
      <c r="F24" s="203">
        <v>80</v>
      </c>
      <c r="G24" s="203">
        <v>0</v>
      </c>
      <c r="H24" s="140">
        <f>F24+G24</f>
        <v>80</v>
      </c>
      <c r="I24" s="140">
        <v>6</v>
      </c>
      <c r="J24" s="140">
        <v>0</v>
      </c>
      <c r="K24" s="140">
        <f>H24+I24+J24</f>
        <v>86</v>
      </c>
      <c r="L24" s="120">
        <v>0</v>
      </c>
      <c r="M24" s="120">
        <v>0</v>
      </c>
      <c r="N24" s="120">
        <v>0</v>
      </c>
      <c r="O24" s="140">
        <v>11</v>
      </c>
      <c r="P24" s="120">
        <v>3</v>
      </c>
      <c r="Q24" s="120">
        <v>1</v>
      </c>
      <c r="R24" s="120">
        <v>0</v>
      </c>
      <c r="S24" s="120">
        <v>3</v>
      </c>
      <c r="T24" s="140">
        <v>2</v>
      </c>
      <c r="U24" s="140">
        <v>1</v>
      </c>
      <c r="V24" s="140">
        <v>9</v>
      </c>
      <c r="W24" s="140">
        <v>21</v>
      </c>
      <c r="X24" s="140">
        <v>2</v>
      </c>
      <c r="Y24" s="140">
        <v>1</v>
      </c>
      <c r="Z24" s="140">
        <v>3</v>
      </c>
      <c r="AA24" s="140">
        <v>1</v>
      </c>
      <c r="AB24" s="140">
        <v>3</v>
      </c>
      <c r="AC24" s="140">
        <v>30</v>
      </c>
      <c r="AD24" s="140">
        <v>8</v>
      </c>
      <c r="AE24" s="140">
        <v>30</v>
      </c>
      <c r="AF24" s="140">
        <v>13</v>
      </c>
      <c r="AG24" s="140">
        <v>1</v>
      </c>
      <c r="AH24" s="140">
        <v>0</v>
      </c>
      <c r="AI24" s="140">
        <v>0</v>
      </c>
      <c r="AJ24" s="140">
        <v>0</v>
      </c>
      <c r="AK24" s="140">
        <f t="shared" si="60"/>
        <v>49</v>
      </c>
      <c r="AL24" s="140">
        <f t="shared" si="75"/>
        <v>70</v>
      </c>
      <c r="AM24" s="140">
        <f t="shared" si="76"/>
        <v>119</v>
      </c>
      <c r="AN24" s="140">
        <f t="shared" si="77"/>
        <v>13</v>
      </c>
      <c r="AO24" s="189">
        <f t="shared" si="78"/>
        <v>13.750000000000002</v>
      </c>
      <c r="AP24" s="189">
        <f t="shared" si="79"/>
        <v>16.25</v>
      </c>
      <c r="AQ24" s="189">
        <f t="shared" si="80"/>
        <v>10.92436974789916</v>
      </c>
      <c r="AR24" s="81">
        <f t="shared" si="81"/>
        <v>41.17647058823529</v>
      </c>
      <c r="AS24" s="81">
        <f t="shared" si="82"/>
        <v>58.82352941176471</v>
      </c>
      <c r="AT24" s="81">
        <f t="shared" si="83"/>
        <v>0</v>
      </c>
      <c r="AU24" s="81">
        <f t="shared" si="84"/>
        <v>7.6923076923076925</v>
      </c>
      <c r="AV24" s="81">
        <f t="shared" si="85"/>
        <v>15.384615384615385</v>
      </c>
      <c r="AW24" s="81">
        <f t="shared" si="30"/>
        <v>7.6923076923076925</v>
      </c>
      <c r="AX24" s="81">
        <f t="shared" si="86"/>
        <v>61.53846153846154</v>
      </c>
      <c r="AY24" s="81">
        <f t="shared" si="87"/>
        <v>7.6923076923076925</v>
      </c>
      <c r="AZ24" s="81">
        <f t="shared" si="88"/>
        <v>0</v>
      </c>
    </row>
    <row r="25" spans="1:52" s="40" customFormat="1" ht="20.25" customHeight="1">
      <c r="A25" s="393" t="s">
        <v>215</v>
      </c>
      <c r="B25" s="215" t="s">
        <v>247</v>
      </c>
      <c r="C25" s="77">
        <f>SUM(C26:C28)</f>
        <v>565</v>
      </c>
      <c r="D25" s="217">
        <f>MIN(D26:D28)</f>
        <v>45694</v>
      </c>
      <c r="E25" s="217">
        <f>MAX(E26:E28)</f>
        <v>45705</v>
      </c>
      <c r="F25" s="77">
        <f>SUM(F26:F28)</f>
        <v>180</v>
      </c>
      <c r="G25" s="77">
        <f t="shared" ref="G25:AJ25" si="89">SUM(G26:G28)</f>
        <v>0</v>
      </c>
      <c r="H25" s="77">
        <f t="shared" si="89"/>
        <v>180</v>
      </c>
      <c r="I25" s="77">
        <f t="shared" si="89"/>
        <v>0</v>
      </c>
      <c r="J25" s="77">
        <f t="shared" si="89"/>
        <v>0</v>
      </c>
      <c r="K25" s="77">
        <f t="shared" si="89"/>
        <v>180</v>
      </c>
      <c r="L25" s="77">
        <f t="shared" si="89"/>
        <v>0</v>
      </c>
      <c r="M25" s="77">
        <f t="shared" si="89"/>
        <v>0</v>
      </c>
      <c r="N25" s="77">
        <f t="shared" si="89"/>
        <v>0</v>
      </c>
      <c r="O25" s="77">
        <f t="shared" si="89"/>
        <v>21</v>
      </c>
      <c r="P25" s="77">
        <f t="shared" si="89"/>
        <v>0</v>
      </c>
      <c r="Q25" s="77">
        <f t="shared" si="89"/>
        <v>3</v>
      </c>
      <c r="R25" s="77">
        <f t="shared" si="89"/>
        <v>0</v>
      </c>
      <c r="S25" s="77">
        <f t="shared" si="89"/>
        <v>0</v>
      </c>
      <c r="T25" s="77">
        <f t="shared" si="89"/>
        <v>0</v>
      </c>
      <c r="U25" s="77">
        <f t="shared" si="89"/>
        <v>1</v>
      </c>
      <c r="V25" s="77">
        <f t="shared" si="89"/>
        <v>9</v>
      </c>
      <c r="W25" s="77">
        <f t="shared" si="89"/>
        <v>48</v>
      </c>
      <c r="X25" s="77">
        <f t="shared" si="89"/>
        <v>9</v>
      </c>
      <c r="Y25" s="77">
        <f t="shared" si="89"/>
        <v>0</v>
      </c>
      <c r="Z25" s="77">
        <f t="shared" si="89"/>
        <v>24</v>
      </c>
      <c r="AA25" s="77">
        <f t="shared" si="89"/>
        <v>2</v>
      </c>
      <c r="AB25" s="77">
        <f t="shared" si="89"/>
        <v>2</v>
      </c>
      <c r="AC25" s="77">
        <f t="shared" si="89"/>
        <v>84</v>
      </c>
      <c r="AD25" s="77">
        <f t="shared" si="89"/>
        <v>23</v>
      </c>
      <c r="AE25" s="77">
        <f t="shared" si="89"/>
        <v>15</v>
      </c>
      <c r="AF25" s="77">
        <f t="shared" si="89"/>
        <v>24</v>
      </c>
      <c r="AG25" s="77">
        <f t="shared" si="89"/>
        <v>1</v>
      </c>
      <c r="AH25" s="77">
        <f t="shared" si="89"/>
        <v>0</v>
      </c>
      <c r="AI25" s="77">
        <f t="shared" si="89"/>
        <v>0</v>
      </c>
      <c r="AJ25" s="77">
        <f t="shared" si="89"/>
        <v>0</v>
      </c>
      <c r="AK25" s="77">
        <f>P25+S25+V25+Y25+AB25+AE25+AH25</f>
        <v>26</v>
      </c>
      <c r="AL25" s="77">
        <f>Q25+T25+W25+Z25+AC25+AF25+AI25</f>
        <v>183</v>
      </c>
      <c r="AM25" s="77">
        <f>AK25+AL25</f>
        <v>209</v>
      </c>
      <c r="AN25" s="77">
        <f>R25+U25+X25+AA25+AD25+AG25+AJ25</f>
        <v>36</v>
      </c>
      <c r="AO25" s="188">
        <f>O25/H25*100</f>
        <v>11.666666666666666</v>
      </c>
      <c r="AP25" s="188">
        <f>AN25/H25*100</f>
        <v>20</v>
      </c>
      <c r="AQ25" s="188">
        <f>AN25/AM25*100</f>
        <v>17.224880382775119</v>
      </c>
      <c r="AR25" s="88">
        <f t="shared" si="81"/>
        <v>12.440191387559809</v>
      </c>
      <c r="AS25" s="88">
        <f t="shared" si="82"/>
        <v>87.559808612440193</v>
      </c>
      <c r="AT25" s="88">
        <f t="shared" si="83"/>
        <v>0</v>
      </c>
      <c r="AU25" s="88">
        <f t="shared" si="84"/>
        <v>2.7777777777777777</v>
      </c>
      <c r="AV25" s="88">
        <f t="shared" si="85"/>
        <v>25</v>
      </c>
      <c r="AW25" s="88">
        <f t="shared" si="30"/>
        <v>5.5555555555555554</v>
      </c>
      <c r="AX25" s="88">
        <f t="shared" si="86"/>
        <v>63.888888888888886</v>
      </c>
      <c r="AY25" s="88">
        <f t="shared" si="87"/>
        <v>2.7777777777777777</v>
      </c>
      <c r="AZ25" s="88">
        <f t="shared" si="88"/>
        <v>0</v>
      </c>
    </row>
    <row r="26" spans="1:52" s="63" customFormat="1" ht="20.25" customHeight="1">
      <c r="A26" s="391"/>
      <c r="B26" s="152" t="s">
        <v>144</v>
      </c>
      <c r="C26" s="143">
        <v>193</v>
      </c>
      <c r="D26" s="103">
        <v>45694</v>
      </c>
      <c r="E26" s="103">
        <v>45699</v>
      </c>
      <c r="F26" s="203">
        <v>60</v>
      </c>
      <c r="G26" s="203">
        <v>0</v>
      </c>
      <c r="H26" s="140">
        <f t="shared" ref="H26:H28" si="90">F26+G26</f>
        <v>60</v>
      </c>
      <c r="I26" s="140">
        <v>0</v>
      </c>
      <c r="J26" s="140">
        <v>0</v>
      </c>
      <c r="K26" s="140">
        <f t="shared" ref="K26:K28" si="91">H26+I26+J26</f>
        <v>60</v>
      </c>
      <c r="L26" s="120">
        <v>0</v>
      </c>
      <c r="M26" s="120">
        <v>0</v>
      </c>
      <c r="N26" s="120">
        <v>0</v>
      </c>
      <c r="O26" s="140">
        <v>4</v>
      </c>
      <c r="P26" s="140">
        <v>0</v>
      </c>
      <c r="Q26" s="140">
        <v>0</v>
      </c>
      <c r="R26" s="140">
        <v>0</v>
      </c>
      <c r="S26" s="140">
        <v>0</v>
      </c>
      <c r="T26" s="140">
        <v>0</v>
      </c>
      <c r="U26" s="140">
        <v>0</v>
      </c>
      <c r="V26" s="140">
        <v>0</v>
      </c>
      <c r="W26" s="140">
        <v>13</v>
      </c>
      <c r="X26" s="140">
        <v>2</v>
      </c>
      <c r="Y26" s="140">
        <v>0</v>
      </c>
      <c r="Z26" s="140">
        <v>17</v>
      </c>
      <c r="AA26" s="140">
        <v>2</v>
      </c>
      <c r="AB26" s="140">
        <v>0</v>
      </c>
      <c r="AC26" s="140">
        <v>23</v>
      </c>
      <c r="AD26" s="140">
        <v>1</v>
      </c>
      <c r="AE26" s="140">
        <v>0</v>
      </c>
      <c r="AF26" s="140">
        <v>0</v>
      </c>
      <c r="AG26" s="140">
        <v>0</v>
      </c>
      <c r="AH26" s="140">
        <v>0</v>
      </c>
      <c r="AI26" s="140">
        <v>0</v>
      </c>
      <c r="AJ26" s="140">
        <v>0</v>
      </c>
      <c r="AK26" s="140">
        <f t="shared" ref="AK26:AK27" si="92">P26+S26+V26+Y26+AB26+AE26+AH26</f>
        <v>0</v>
      </c>
      <c r="AL26" s="140">
        <f t="shared" ref="AL26:AL28" si="93">Q26+T26+W26+Z26+AC26+AF26+AI26</f>
        <v>53</v>
      </c>
      <c r="AM26" s="140">
        <f t="shared" ref="AM26:AM28" si="94">AK26+AL26</f>
        <v>53</v>
      </c>
      <c r="AN26" s="140">
        <f t="shared" ref="AN26:AN28" si="95">R26+U26+X26+AA26+AD26+AG26+AJ26</f>
        <v>5</v>
      </c>
      <c r="AO26" s="189">
        <f t="shared" ref="AO26:AO28" si="96">O26/H26*100</f>
        <v>6.666666666666667</v>
      </c>
      <c r="AP26" s="189">
        <f t="shared" ref="AP26:AP28" si="97">AN26/H26*100</f>
        <v>8.3333333333333321</v>
      </c>
      <c r="AQ26" s="189">
        <f t="shared" ref="AQ26:AQ28" si="98">AN26/AM26*100</f>
        <v>9.433962264150944</v>
      </c>
      <c r="AR26" s="81">
        <f t="shared" ref="AR26:AR28" si="99">AK26/AM26*100</f>
        <v>0</v>
      </c>
      <c r="AS26" s="81">
        <f t="shared" ref="AS26:AS28" si="100">AL26/AM26*100</f>
        <v>100</v>
      </c>
      <c r="AT26" s="81">
        <f t="shared" ref="AT26:AT28" si="101">R26/AN26*100</f>
        <v>0</v>
      </c>
      <c r="AU26" s="81">
        <f t="shared" ref="AU26:AU28" si="102">U26/AN26*100</f>
        <v>0</v>
      </c>
      <c r="AV26" s="81">
        <f t="shared" ref="AV26:AV28" si="103">X26/AN26*100</f>
        <v>40</v>
      </c>
      <c r="AW26" s="81">
        <f t="shared" ref="AW26:AW28" si="104">AA26/AN26*100</f>
        <v>40</v>
      </c>
      <c r="AX26" s="81">
        <f t="shared" ref="AX26:AX28" si="105">AD26/AN26*100</f>
        <v>20</v>
      </c>
      <c r="AY26" s="81">
        <f t="shared" ref="AY26:AY28" si="106">AG26/AN26*100</f>
        <v>0</v>
      </c>
      <c r="AZ26" s="81">
        <f t="shared" ref="AZ26:AZ28" si="107">AJ26/AN26*100</f>
        <v>0</v>
      </c>
    </row>
    <row r="27" spans="1:52" s="63" customFormat="1" ht="20.25" customHeight="1">
      <c r="A27" s="391"/>
      <c r="B27" s="152" t="s">
        <v>147</v>
      </c>
      <c r="C27" s="143">
        <v>259</v>
      </c>
      <c r="D27" s="103">
        <v>45700</v>
      </c>
      <c r="E27" s="103">
        <v>45700</v>
      </c>
      <c r="F27" s="203">
        <v>80</v>
      </c>
      <c r="G27" s="203">
        <v>0</v>
      </c>
      <c r="H27" s="140">
        <f t="shared" si="90"/>
        <v>80</v>
      </c>
      <c r="I27" s="140">
        <v>0</v>
      </c>
      <c r="J27" s="140">
        <v>0</v>
      </c>
      <c r="K27" s="140">
        <f t="shared" si="91"/>
        <v>80</v>
      </c>
      <c r="L27" s="120">
        <v>0</v>
      </c>
      <c r="M27" s="120">
        <v>0</v>
      </c>
      <c r="N27" s="120">
        <v>0</v>
      </c>
      <c r="O27" s="140">
        <v>17</v>
      </c>
      <c r="P27" s="140">
        <v>0</v>
      </c>
      <c r="Q27" s="140">
        <v>3</v>
      </c>
      <c r="R27" s="140">
        <v>0</v>
      </c>
      <c r="S27" s="140">
        <v>0</v>
      </c>
      <c r="T27" s="140">
        <v>0</v>
      </c>
      <c r="U27" s="140">
        <v>1</v>
      </c>
      <c r="V27" s="140">
        <v>9</v>
      </c>
      <c r="W27" s="140">
        <v>16</v>
      </c>
      <c r="X27" s="140">
        <v>7</v>
      </c>
      <c r="Y27" s="140">
        <v>0</v>
      </c>
      <c r="Z27" s="140">
        <v>4</v>
      </c>
      <c r="AA27" s="140">
        <v>0</v>
      </c>
      <c r="AB27" s="140">
        <v>2</v>
      </c>
      <c r="AC27" s="140">
        <v>48</v>
      </c>
      <c r="AD27" s="140">
        <v>22</v>
      </c>
      <c r="AE27" s="140">
        <v>15</v>
      </c>
      <c r="AF27" s="140">
        <v>24</v>
      </c>
      <c r="AG27" s="140">
        <v>1</v>
      </c>
      <c r="AH27" s="140">
        <v>0</v>
      </c>
      <c r="AI27" s="140">
        <v>0</v>
      </c>
      <c r="AJ27" s="140">
        <v>0</v>
      </c>
      <c r="AK27" s="140">
        <f t="shared" si="92"/>
        <v>26</v>
      </c>
      <c r="AL27" s="140">
        <f t="shared" si="93"/>
        <v>95</v>
      </c>
      <c r="AM27" s="140">
        <f t="shared" si="94"/>
        <v>121</v>
      </c>
      <c r="AN27" s="140">
        <f t="shared" si="95"/>
        <v>31</v>
      </c>
      <c r="AO27" s="189">
        <f t="shared" si="96"/>
        <v>21.25</v>
      </c>
      <c r="AP27" s="189">
        <f t="shared" si="97"/>
        <v>38.75</v>
      </c>
      <c r="AQ27" s="189">
        <f t="shared" si="98"/>
        <v>25.619834710743799</v>
      </c>
      <c r="AR27" s="81">
        <f t="shared" si="99"/>
        <v>21.487603305785125</v>
      </c>
      <c r="AS27" s="81">
        <f t="shared" si="100"/>
        <v>78.512396694214885</v>
      </c>
      <c r="AT27" s="81">
        <f t="shared" si="101"/>
        <v>0</v>
      </c>
      <c r="AU27" s="81">
        <f t="shared" si="102"/>
        <v>3.225806451612903</v>
      </c>
      <c r="AV27" s="81">
        <f t="shared" si="103"/>
        <v>22.58064516129032</v>
      </c>
      <c r="AW27" s="81">
        <f t="shared" si="104"/>
        <v>0</v>
      </c>
      <c r="AX27" s="81">
        <f t="shared" si="105"/>
        <v>70.967741935483872</v>
      </c>
      <c r="AY27" s="81">
        <f t="shared" si="106"/>
        <v>3.225806451612903</v>
      </c>
      <c r="AZ27" s="81">
        <f t="shared" si="107"/>
        <v>0</v>
      </c>
    </row>
    <row r="28" spans="1:52" s="63" customFormat="1" ht="20.25" customHeight="1">
      <c r="A28" s="392"/>
      <c r="B28" s="152" t="s">
        <v>172</v>
      </c>
      <c r="C28" s="143">
        <v>113</v>
      </c>
      <c r="D28" s="103">
        <v>45701</v>
      </c>
      <c r="E28" s="103">
        <v>45705</v>
      </c>
      <c r="F28" s="203">
        <v>40</v>
      </c>
      <c r="G28" s="203">
        <v>0</v>
      </c>
      <c r="H28" s="140">
        <f t="shared" si="90"/>
        <v>40</v>
      </c>
      <c r="I28" s="140">
        <v>0</v>
      </c>
      <c r="J28" s="140">
        <v>0</v>
      </c>
      <c r="K28" s="140">
        <f t="shared" si="91"/>
        <v>40</v>
      </c>
      <c r="L28" s="120">
        <v>0</v>
      </c>
      <c r="M28" s="120">
        <v>0</v>
      </c>
      <c r="N28" s="120">
        <v>0</v>
      </c>
      <c r="O28" s="140">
        <v>0</v>
      </c>
      <c r="P28" s="140">
        <v>0</v>
      </c>
      <c r="Q28" s="140">
        <v>0</v>
      </c>
      <c r="R28" s="140">
        <v>0</v>
      </c>
      <c r="S28" s="140">
        <v>0</v>
      </c>
      <c r="T28" s="140">
        <v>0</v>
      </c>
      <c r="U28" s="140">
        <v>0</v>
      </c>
      <c r="V28" s="140">
        <v>0</v>
      </c>
      <c r="W28" s="140">
        <v>19</v>
      </c>
      <c r="X28" s="140">
        <v>0</v>
      </c>
      <c r="Y28" s="140">
        <v>0</v>
      </c>
      <c r="Z28" s="140">
        <v>3</v>
      </c>
      <c r="AA28" s="140">
        <v>0</v>
      </c>
      <c r="AB28" s="140">
        <v>0</v>
      </c>
      <c r="AC28" s="140">
        <v>13</v>
      </c>
      <c r="AD28" s="140">
        <v>0</v>
      </c>
      <c r="AE28" s="140">
        <v>0</v>
      </c>
      <c r="AF28" s="140">
        <v>0</v>
      </c>
      <c r="AG28" s="140">
        <v>0</v>
      </c>
      <c r="AH28" s="140">
        <v>0</v>
      </c>
      <c r="AI28" s="140">
        <v>0</v>
      </c>
      <c r="AJ28" s="140">
        <v>0</v>
      </c>
      <c r="AK28" s="140">
        <f>P28+S28+V28+Y28+AB28+AE28+AH28</f>
        <v>0</v>
      </c>
      <c r="AL28" s="140">
        <f t="shared" si="93"/>
        <v>35</v>
      </c>
      <c r="AM28" s="140">
        <f t="shared" si="94"/>
        <v>35</v>
      </c>
      <c r="AN28" s="140">
        <f t="shared" si="95"/>
        <v>0</v>
      </c>
      <c r="AO28" s="189">
        <f t="shared" si="96"/>
        <v>0</v>
      </c>
      <c r="AP28" s="189">
        <f t="shared" si="97"/>
        <v>0</v>
      </c>
      <c r="AQ28" s="189">
        <f t="shared" si="98"/>
        <v>0</v>
      </c>
      <c r="AR28" s="81">
        <f t="shared" si="99"/>
        <v>0</v>
      </c>
      <c r="AS28" s="81">
        <f t="shared" si="100"/>
        <v>100</v>
      </c>
      <c r="AT28" s="81" t="e">
        <f t="shared" si="101"/>
        <v>#DIV/0!</v>
      </c>
      <c r="AU28" s="81" t="e">
        <f t="shared" si="102"/>
        <v>#DIV/0!</v>
      </c>
      <c r="AV28" s="81" t="e">
        <f t="shared" si="103"/>
        <v>#DIV/0!</v>
      </c>
      <c r="AW28" s="81" t="e">
        <f t="shared" si="104"/>
        <v>#DIV/0!</v>
      </c>
      <c r="AX28" s="81" t="e">
        <f t="shared" si="105"/>
        <v>#DIV/0!</v>
      </c>
      <c r="AY28" s="81" t="e">
        <f t="shared" si="106"/>
        <v>#DIV/0!</v>
      </c>
      <c r="AZ28" s="81" t="e">
        <f t="shared" si="107"/>
        <v>#DIV/0!</v>
      </c>
    </row>
    <row r="29" spans="1:52" s="3" customFormat="1" ht="20.25" customHeight="1">
      <c r="A29" s="266" t="s">
        <v>99</v>
      </c>
      <c r="B29" s="83">
        <v>8</v>
      </c>
      <c r="C29" s="83">
        <f>C19+C25</f>
        <v>1227</v>
      </c>
      <c r="D29" s="104">
        <f>MIN(D20:D28)</f>
        <v>45693</v>
      </c>
      <c r="E29" s="104">
        <f>MAX(E20:E28)</f>
        <v>45705</v>
      </c>
      <c r="F29" s="83">
        <f>F19+F25</f>
        <v>353</v>
      </c>
      <c r="G29" s="83">
        <f t="shared" ref="G29:AJ29" si="108">G19+G25</f>
        <v>0</v>
      </c>
      <c r="H29" s="83">
        <f t="shared" si="108"/>
        <v>353</v>
      </c>
      <c r="I29" s="83">
        <f t="shared" si="108"/>
        <v>6</v>
      </c>
      <c r="J29" s="83">
        <f t="shared" si="108"/>
        <v>0</v>
      </c>
      <c r="K29" s="83">
        <f t="shared" si="108"/>
        <v>359</v>
      </c>
      <c r="L29" s="83">
        <f t="shared" si="108"/>
        <v>0</v>
      </c>
      <c r="M29" s="83">
        <f t="shared" si="108"/>
        <v>0</v>
      </c>
      <c r="N29" s="83">
        <f t="shared" si="108"/>
        <v>0</v>
      </c>
      <c r="O29" s="83">
        <f t="shared" si="108"/>
        <v>52</v>
      </c>
      <c r="P29" s="83">
        <f t="shared" si="108"/>
        <v>3</v>
      </c>
      <c r="Q29" s="83">
        <f t="shared" si="108"/>
        <v>4</v>
      </c>
      <c r="R29" s="83">
        <f t="shared" si="108"/>
        <v>0</v>
      </c>
      <c r="S29" s="83">
        <f t="shared" si="108"/>
        <v>3</v>
      </c>
      <c r="T29" s="83">
        <f t="shared" si="108"/>
        <v>12</v>
      </c>
      <c r="U29" s="83">
        <f t="shared" si="108"/>
        <v>4</v>
      </c>
      <c r="V29" s="83">
        <f t="shared" si="108"/>
        <v>23</v>
      </c>
      <c r="W29" s="83">
        <f t="shared" si="108"/>
        <v>99</v>
      </c>
      <c r="X29" s="83">
        <f t="shared" si="108"/>
        <v>18</v>
      </c>
      <c r="Y29" s="83">
        <f t="shared" si="108"/>
        <v>1</v>
      </c>
      <c r="Z29" s="83">
        <f t="shared" si="108"/>
        <v>32</v>
      </c>
      <c r="AA29" s="83">
        <f t="shared" si="108"/>
        <v>4</v>
      </c>
      <c r="AB29" s="83">
        <f t="shared" si="108"/>
        <v>8</v>
      </c>
      <c r="AC29" s="83">
        <f t="shared" si="108"/>
        <v>148</v>
      </c>
      <c r="AD29" s="83">
        <f t="shared" si="108"/>
        <v>53</v>
      </c>
      <c r="AE29" s="83">
        <f t="shared" si="108"/>
        <v>68</v>
      </c>
      <c r="AF29" s="83">
        <f t="shared" si="108"/>
        <v>66</v>
      </c>
      <c r="AG29" s="83">
        <f t="shared" si="108"/>
        <v>4</v>
      </c>
      <c r="AH29" s="83">
        <f t="shared" si="108"/>
        <v>0</v>
      </c>
      <c r="AI29" s="83">
        <f t="shared" si="108"/>
        <v>0</v>
      </c>
      <c r="AJ29" s="83">
        <f t="shared" si="108"/>
        <v>0</v>
      </c>
      <c r="AK29" s="83">
        <f>P29+S29+V29+Y29+AB29+AE29+AH29</f>
        <v>106</v>
      </c>
      <c r="AL29" s="83">
        <f>Q29+T29+W29+Z29+AC29+AF29+AI29</f>
        <v>361</v>
      </c>
      <c r="AM29" s="83">
        <f>AK29+AL29</f>
        <v>467</v>
      </c>
      <c r="AN29" s="83">
        <f>R29+U29+X29+AA29+AD29+AG29+AJ29</f>
        <v>83</v>
      </c>
      <c r="AO29" s="190">
        <f>O29/H29*100</f>
        <v>14.730878186968837</v>
      </c>
      <c r="AP29" s="190">
        <f>AN29/H29*100</f>
        <v>23.512747875354105</v>
      </c>
      <c r="AQ29" s="190">
        <f>AN29/AM29*100</f>
        <v>17.773019271948609</v>
      </c>
      <c r="AR29" s="85">
        <f t="shared" ref="AR29:AR44" si="109">AK29/AM29*100</f>
        <v>22.698072805139187</v>
      </c>
      <c r="AS29" s="85">
        <f t="shared" ref="AS29:AS44" si="110">AL29/AM29*100</f>
        <v>77.301927194860809</v>
      </c>
      <c r="AT29" s="85">
        <f t="shared" ref="AT29:AT49" si="111">R29/AN29*100</f>
        <v>0</v>
      </c>
      <c r="AU29" s="85">
        <f t="shared" ref="AU29:AU49" si="112">U29/AN29*100</f>
        <v>4.8192771084337354</v>
      </c>
      <c r="AV29" s="85">
        <f t="shared" ref="AV29:AV49" si="113">X29/AN29*100</f>
        <v>21.686746987951807</v>
      </c>
      <c r="AW29" s="85">
        <f t="shared" si="30"/>
        <v>4.8192771084337354</v>
      </c>
      <c r="AX29" s="85">
        <f t="shared" ref="AX29:AX49" si="114">AD29/AN29*100</f>
        <v>63.855421686746979</v>
      </c>
      <c r="AY29" s="85">
        <f t="shared" ref="AY29:AY49" si="115">AG29/AN29*100</f>
        <v>4.8192771084337354</v>
      </c>
      <c r="AZ29" s="85">
        <f t="shared" ref="AZ29:AZ49" si="116">AJ29/AN29*100</f>
        <v>0</v>
      </c>
    </row>
    <row r="30" spans="1:52" s="3" customFormat="1" ht="20.25" customHeight="1">
      <c r="A30" s="393" t="s">
        <v>246</v>
      </c>
      <c r="B30" s="77" t="s">
        <v>24</v>
      </c>
      <c r="C30" s="77">
        <f>SUM(C31:C38)-C34</f>
        <v>1572</v>
      </c>
      <c r="D30" s="217">
        <f>MAX(D31:D37)</f>
        <v>45734</v>
      </c>
      <c r="E30" s="217">
        <f>MAX(E31:E37)</f>
        <v>45747</v>
      </c>
      <c r="F30" s="77">
        <f>SUM(F31:F38)-F34</f>
        <v>405</v>
      </c>
      <c r="G30" s="77">
        <f t="shared" ref="G30:AI30" si="117">SUM(G31:G38)-G34</f>
        <v>0</v>
      </c>
      <c r="H30" s="77">
        <f t="shared" si="117"/>
        <v>405</v>
      </c>
      <c r="I30" s="77">
        <f t="shared" si="117"/>
        <v>0</v>
      </c>
      <c r="J30" s="77">
        <f t="shared" si="117"/>
        <v>0</v>
      </c>
      <c r="K30" s="77">
        <f t="shared" si="117"/>
        <v>405</v>
      </c>
      <c r="L30" s="77">
        <f t="shared" si="117"/>
        <v>0</v>
      </c>
      <c r="M30" s="77">
        <f t="shared" si="117"/>
        <v>0</v>
      </c>
      <c r="N30" s="77">
        <f t="shared" si="117"/>
        <v>405</v>
      </c>
      <c r="O30" s="77">
        <f>SUM(O31:O38)-O34</f>
        <v>42</v>
      </c>
      <c r="P30" s="77">
        <f t="shared" si="117"/>
        <v>0</v>
      </c>
      <c r="Q30" s="77">
        <f t="shared" si="117"/>
        <v>0</v>
      </c>
      <c r="R30" s="77">
        <f t="shared" si="117"/>
        <v>0</v>
      </c>
      <c r="S30" s="77">
        <f t="shared" si="117"/>
        <v>0</v>
      </c>
      <c r="T30" s="77">
        <f t="shared" si="117"/>
        <v>10</v>
      </c>
      <c r="U30" s="77">
        <f t="shared" si="117"/>
        <v>2</v>
      </c>
      <c r="V30" s="77">
        <f t="shared" si="117"/>
        <v>23</v>
      </c>
      <c r="W30" s="77">
        <f t="shared" si="117"/>
        <v>145</v>
      </c>
      <c r="X30" s="77">
        <f t="shared" si="117"/>
        <v>20</v>
      </c>
      <c r="Y30" s="77">
        <f t="shared" si="117"/>
        <v>7</v>
      </c>
      <c r="Z30" s="77">
        <f t="shared" si="117"/>
        <v>42</v>
      </c>
      <c r="AA30" s="77">
        <f t="shared" si="117"/>
        <v>1</v>
      </c>
      <c r="AB30" s="77">
        <f t="shared" si="117"/>
        <v>5</v>
      </c>
      <c r="AC30" s="77">
        <f t="shared" si="117"/>
        <v>146</v>
      </c>
      <c r="AD30" s="77">
        <f t="shared" si="117"/>
        <v>25</v>
      </c>
      <c r="AE30" s="77">
        <f t="shared" si="117"/>
        <v>47</v>
      </c>
      <c r="AF30" s="77">
        <f t="shared" si="117"/>
        <v>98</v>
      </c>
      <c r="AG30" s="77">
        <f t="shared" si="117"/>
        <v>15</v>
      </c>
      <c r="AH30" s="77">
        <f t="shared" si="117"/>
        <v>0</v>
      </c>
      <c r="AI30" s="77">
        <f t="shared" si="117"/>
        <v>0</v>
      </c>
      <c r="AJ30" s="77">
        <f>SUM(AJ31:AJ38)-AJ34</f>
        <v>0</v>
      </c>
      <c r="AK30" s="77">
        <f>P30+S30+V30+Y30+AB30+AE30+AH30</f>
        <v>82</v>
      </c>
      <c r="AL30" s="77">
        <f>Q30+T30+W30+Z30+AC30+AF30+AI30</f>
        <v>441</v>
      </c>
      <c r="AM30" s="77">
        <f>AK30+AL30</f>
        <v>523</v>
      </c>
      <c r="AN30" s="77">
        <f>R30+U30+X30+AA30+AD30+AG30+AJ30</f>
        <v>63</v>
      </c>
      <c r="AO30" s="188">
        <f>O30/H30*100</f>
        <v>10.37037037037037</v>
      </c>
      <c r="AP30" s="188">
        <f>AN30/H30*100</f>
        <v>15.555555555555555</v>
      </c>
      <c r="AQ30" s="188">
        <f>AN30/AM30*100</f>
        <v>12.045889101338432</v>
      </c>
      <c r="AR30" s="88">
        <f t="shared" ref="AR30" si="118">AK30/AM30*100</f>
        <v>15.678776290630974</v>
      </c>
      <c r="AS30" s="88">
        <f t="shared" ref="AS30" si="119">AL30/AM30*100</f>
        <v>84.321223709369022</v>
      </c>
      <c r="AT30" s="88">
        <f t="shared" ref="AT30" si="120">R30/AN30*100</f>
        <v>0</v>
      </c>
      <c r="AU30" s="88">
        <f t="shared" ref="AU30" si="121">U30/AN30*100</f>
        <v>3.1746031746031744</v>
      </c>
      <c r="AV30" s="88">
        <f t="shared" ref="AV30" si="122">X30/AN30*100</f>
        <v>31.746031746031743</v>
      </c>
      <c r="AW30" s="88">
        <f t="shared" ref="AW30" si="123">AA30/AN30*100</f>
        <v>1.5873015873015872</v>
      </c>
      <c r="AX30" s="88">
        <f t="shared" ref="AX30" si="124">AD30/AN30*100</f>
        <v>39.682539682539684</v>
      </c>
      <c r="AY30" s="88">
        <f t="shared" ref="AY30" si="125">AG30/AN30*100</f>
        <v>23.809523809523807</v>
      </c>
      <c r="AZ30" s="88">
        <f t="shared" ref="AZ30" si="126">AJ30/AN30*100</f>
        <v>0</v>
      </c>
    </row>
    <row r="31" spans="1:52" s="209" customFormat="1" ht="20.25" customHeight="1">
      <c r="A31" s="391"/>
      <c r="B31" s="211" t="s">
        <v>164</v>
      </c>
      <c r="C31" s="203">
        <v>68</v>
      </c>
      <c r="D31" s="103">
        <v>45717</v>
      </c>
      <c r="E31" s="103">
        <v>45721</v>
      </c>
      <c r="F31" s="203">
        <v>19</v>
      </c>
      <c r="G31" s="203">
        <v>0</v>
      </c>
      <c r="H31" s="203">
        <f>F31+G31</f>
        <v>19</v>
      </c>
      <c r="I31" s="203">
        <v>0</v>
      </c>
      <c r="J31" s="203">
        <v>0</v>
      </c>
      <c r="K31" s="203">
        <f>H31+I31+J31</f>
        <v>19</v>
      </c>
      <c r="L31" s="203">
        <v>0</v>
      </c>
      <c r="M31" s="203">
        <v>0</v>
      </c>
      <c r="N31" s="203">
        <v>19</v>
      </c>
      <c r="O31" s="203">
        <v>5</v>
      </c>
      <c r="P31" s="203">
        <v>0</v>
      </c>
      <c r="Q31" s="203">
        <v>0</v>
      </c>
      <c r="R31" s="203">
        <v>0</v>
      </c>
      <c r="S31" s="203">
        <v>0</v>
      </c>
      <c r="T31" s="203">
        <v>1</v>
      </c>
      <c r="U31" s="203">
        <v>1</v>
      </c>
      <c r="V31" s="203">
        <v>0</v>
      </c>
      <c r="W31" s="203">
        <v>6</v>
      </c>
      <c r="X31" s="203">
        <v>1</v>
      </c>
      <c r="Y31" s="203">
        <v>0</v>
      </c>
      <c r="Z31" s="203">
        <v>5</v>
      </c>
      <c r="AA31" s="203">
        <v>1</v>
      </c>
      <c r="AB31" s="203">
        <v>0</v>
      </c>
      <c r="AC31" s="203">
        <v>4</v>
      </c>
      <c r="AD31" s="203">
        <v>1</v>
      </c>
      <c r="AE31" s="203">
        <v>0</v>
      </c>
      <c r="AF31" s="203">
        <v>8</v>
      </c>
      <c r="AG31" s="203">
        <v>1</v>
      </c>
      <c r="AH31" s="203">
        <v>0</v>
      </c>
      <c r="AI31" s="203">
        <v>0</v>
      </c>
      <c r="AJ31" s="203">
        <v>0</v>
      </c>
      <c r="AK31" s="203">
        <f t="shared" ref="AK31:AL44" si="127">P31+S31+V31+Y31+AB31+AE31+AH31</f>
        <v>0</v>
      </c>
      <c r="AL31" s="203">
        <f t="shared" si="127"/>
        <v>24</v>
      </c>
      <c r="AM31" s="203">
        <f t="shared" ref="AM31:AM44" si="128">AK31+AL31</f>
        <v>24</v>
      </c>
      <c r="AN31" s="203">
        <f t="shared" ref="AN31:AN44" si="129">R31+U31+X31+AA31+AD31+AG31+AJ31</f>
        <v>5</v>
      </c>
      <c r="AO31" s="189">
        <f t="shared" ref="AO31:AO44" si="130">O31/H31*100</f>
        <v>26.315789473684209</v>
      </c>
      <c r="AP31" s="189">
        <f t="shared" ref="AP31:AP44" si="131">AN31/H31*100</f>
        <v>26.315789473684209</v>
      </c>
      <c r="AQ31" s="189">
        <f t="shared" ref="AQ31:AQ44" si="132">AN31/AM31*100</f>
        <v>20.833333333333336</v>
      </c>
      <c r="AR31" s="81">
        <f t="shared" si="109"/>
        <v>0</v>
      </c>
      <c r="AS31" s="81">
        <f t="shared" si="110"/>
        <v>100</v>
      </c>
      <c r="AT31" s="81">
        <f t="shared" si="111"/>
        <v>0</v>
      </c>
      <c r="AU31" s="81">
        <f t="shared" si="112"/>
        <v>20</v>
      </c>
      <c r="AV31" s="81">
        <f t="shared" si="113"/>
        <v>20</v>
      </c>
      <c r="AW31" s="81">
        <f t="shared" si="30"/>
        <v>20</v>
      </c>
      <c r="AX31" s="81">
        <f t="shared" si="114"/>
        <v>20</v>
      </c>
      <c r="AY31" s="81">
        <f t="shared" si="115"/>
        <v>20</v>
      </c>
      <c r="AZ31" s="81">
        <f t="shared" si="116"/>
        <v>0</v>
      </c>
    </row>
    <row r="32" spans="1:52" s="209" customFormat="1" ht="20.25" customHeight="1">
      <c r="A32" s="391"/>
      <c r="B32" s="202" t="s">
        <v>165</v>
      </c>
      <c r="C32" s="203">
        <v>505</v>
      </c>
      <c r="D32" s="103">
        <v>45717</v>
      </c>
      <c r="E32" s="103">
        <v>45745</v>
      </c>
      <c r="F32" s="203">
        <v>123</v>
      </c>
      <c r="G32" s="203">
        <v>0</v>
      </c>
      <c r="H32" s="203">
        <f t="shared" ref="H32:H44" si="133">F32+G32</f>
        <v>123</v>
      </c>
      <c r="I32" s="203">
        <v>0</v>
      </c>
      <c r="J32" s="203">
        <v>0</v>
      </c>
      <c r="K32" s="203">
        <f t="shared" ref="K32:K44" si="134">H32+I32+J32</f>
        <v>123</v>
      </c>
      <c r="L32" s="203">
        <v>0</v>
      </c>
      <c r="M32" s="203">
        <v>0</v>
      </c>
      <c r="N32" s="203">
        <v>123</v>
      </c>
      <c r="O32" s="203">
        <v>14</v>
      </c>
      <c r="P32" s="203">
        <v>0</v>
      </c>
      <c r="Q32" s="203">
        <v>0</v>
      </c>
      <c r="R32" s="203">
        <v>0</v>
      </c>
      <c r="S32" s="203">
        <v>0</v>
      </c>
      <c r="T32" s="203">
        <v>2</v>
      </c>
      <c r="U32" s="203">
        <v>0</v>
      </c>
      <c r="V32" s="203">
        <v>2</v>
      </c>
      <c r="W32" s="203">
        <v>53</v>
      </c>
      <c r="X32" s="203">
        <v>10</v>
      </c>
      <c r="Y32" s="203">
        <v>1</v>
      </c>
      <c r="Z32" s="203">
        <v>8</v>
      </c>
      <c r="AA32" s="203">
        <v>0</v>
      </c>
      <c r="AB32" s="203">
        <v>0</v>
      </c>
      <c r="AC32" s="203">
        <v>42</v>
      </c>
      <c r="AD32" s="203">
        <v>14</v>
      </c>
      <c r="AE32" s="203">
        <v>12</v>
      </c>
      <c r="AF32" s="203">
        <v>19</v>
      </c>
      <c r="AG32" s="203">
        <v>1</v>
      </c>
      <c r="AH32" s="203">
        <v>0</v>
      </c>
      <c r="AI32" s="203">
        <v>0</v>
      </c>
      <c r="AJ32" s="203">
        <v>0</v>
      </c>
      <c r="AK32" s="203">
        <f t="shared" si="127"/>
        <v>15</v>
      </c>
      <c r="AL32" s="203">
        <f t="shared" si="127"/>
        <v>124</v>
      </c>
      <c r="AM32" s="203">
        <f t="shared" si="128"/>
        <v>139</v>
      </c>
      <c r="AN32" s="203">
        <f t="shared" si="129"/>
        <v>25</v>
      </c>
      <c r="AO32" s="189">
        <f t="shared" si="130"/>
        <v>11.38211382113821</v>
      </c>
      <c r="AP32" s="189">
        <f t="shared" si="131"/>
        <v>20.325203252032519</v>
      </c>
      <c r="AQ32" s="189">
        <f t="shared" si="132"/>
        <v>17.985611510791365</v>
      </c>
      <c r="AR32" s="81">
        <f t="shared" si="109"/>
        <v>10.791366906474821</v>
      </c>
      <c r="AS32" s="81">
        <f t="shared" si="110"/>
        <v>89.208633093525179</v>
      </c>
      <c r="AT32" s="81">
        <f t="shared" si="111"/>
        <v>0</v>
      </c>
      <c r="AU32" s="81">
        <f t="shared" si="112"/>
        <v>0</v>
      </c>
      <c r="AV32" s="81">
        <f t="shared" si="113"/>
        <v>40</v>
      </c>
      <c r="AW32" s="81">
        <f t="shared" si="30"/>
        <v>0</v>
      </c>
      <c r="AX32" s="81">
        <f t="shared" si="114"/>
        <v>56.000000000000007</v>
      </c>
      <c r="AY32" s="81">
        <f t="shared" si="115"/>
        <v>4</v>
      </c>
      <c r="AZ32" s="81">
        <f t="shared" si="116"/>
        <v>0</v>
      </c>
    </row>
    <row r="33" spans="1:52" s="209" customFormat="1" ht="20.25" customHeight="1">
      <c r="A33" s="391"/>
      <c r="B33" s="202" t="s">
        <v>168</v>
      </c>
      <c r="C33" s="203">
        <v>500</v>
      </c>
      <c r="D33" s="103">
        <v>45721</v>
      </c>
      <c r="E33" s="103">
        <v>45747</v>
      </c>
      <c r="F33" s="203">
        <v>119</v>
      </c>
      <c r="G33" s="203">
        <v>0</v>
      </c>
      <c r="H33" s="203">
        <f t="shared" si="133"/>
        <v>119</v>
      </c>
      <c r="I33" s="203">
        <v>0</v>
      </c>
      <c r="J33" s="203">
        <v>0</v>
      </c>
      <c r="K33" s="203">
        <f t="shared" si="134"/>
        <v>119</v>
      </c>
      <c r="L33" s="203">
        <v>0</v>
      </c>
      <c r="M33" s="203">
        <v>0</v>
      </c>
      <c r="N33" s="203">
        <v>119</v>
      </c>
      <c r="O33" s="203">
        <v>12</v>
      </c>
      <c r="P33" s="203">
        <v>0</v>
      </c>
      <c r="Q33" s="203">
        <v>0</v>
      </c>
      <c r="R33" s="203">
        <v>0</v>
      </c>
      <c r="S33" s="203">
        <v>0</v>
      </c>
      <c r="T33" s="203">
        <v>4</v>
      </c>
      <c r="U33" s="203">
        <v>1</v>
      </c>
      <c r="V33" s="203">
        <v>3</v>
      </c>
      <c r="W33" s="203">
        <v>51</v>
      </c>
      <c r="X33" s="203">
        <v>4</v>
      </c>
      <c r="Y33" s="203">
        <v>2</v>
      </c>
      <c r="Z33" s="203">
        <v>13</v>
      </c>
      <c r="AA33" s="203">
        <v>0</v>
      </c>
      <c r="AB33" s="203">
        <v>5</v>
      </c>
      <c r="AC33" s="203">
        <v>41</v>
      </c>
      <c r="AD33" s="203">
        <v>4</v>
      </c>
      <c r="AE33" s="203">
        <v>35</v>
      </c>
      <c r="AF33" s="203">
        <v>47</v>
      </c>
      <c r="AG33" s="203">
        <v>13</v>
      </c>
      <c r="AH33" s="203">
        <v>0</v>
      </c>
      <c r="AI33" s="203">
        <v>0</v>
      </c>
      <c r="AJ33" s="203">
        <v>0</v>
      </c>
      <c r="AK33" s="203">
        <f t="shared" si="127"/>
        <v>45</v>
      </c>
      <c r="AL33" s="203">
        <f t="shared" si="127"/>
        <v>156</v>
      </c>
      <c r="AM33" s="203">
        <f t="shared" si="128"/>
        <v>201</v>
      </c>
      <c r="AN33" s="203">
        <f t="shared" si="129"/>
        <v>22</v>
      </c>
      <c r="AO33" s="189">
        <f t="shared" si="130"/>
        <v>10.084033613445378</v>
      </c>
      <c r="AP33" s="189">
        <f t="shared" si="131"/>
        <v>18.487394957983195</v>
      </c>
      <c r="AQ33" s="189">
        <f t="shared" si="132"/>
        <v>10.945273631840797</v>
      </c>
      <c r="AR33" s="81">
        <f t="shared" si="109"/>
        <v>22.388059701492537</v>
      </c>
      <c r="AS33" s="81">
        <f t="shared" si="110"/>
        <v>77.611940298507463</v>
      </c>
      <c r="AT33" s="81">
        <f t="shared" si="111"/>
        <v>0</v>
      </c>
      <c r="AU33" s="81">
        <f t="shared" si="112"/>
        <v>4.5454545454545459</v>
      </c>
      <c r="AV33" s="81">
        <f t="shared" si="113"/>
        <v>18.181818181818183</v>
      </c>
      <c r="AW33" s="81">
        <f t="shared" si="30"/>
        <v>0</v>
      </c>
      <c r="AX33" s="81">
        <f t="shared" si="114"/>
        <v>18.181818181818183</v>
      </c>
      <c r="AY33" s="81">
        <f t="shared" si="115"/>
        <v>59.090909090909093</v>
      </c>
      <c r="AZ33" s="81">
        <f t="shared" si="116"/>
        <v>0</v>
      </c>
    </row>
    <row r="34" spans="1:52" s="209" customFormat="1" ht="20.25" customHeight="1">
      <c r="A34" s="391"/>
      <c r="B34" s="202" t="s">
        <v>211</v>
      </c>
      <c r="C34" s="203">
        <v>173</v>
      </c>
      <c r="D34" s="103">
        <v>45724</v>
      </c>
      <c r="E34" s="103">
        <v>45730</v>
      </c>
      <c r="F34" s="203">
        <v>44</v>
      </c>
      <c r="G34" s="203">
        <v>0</v>
      </c>
      <c r="H34" s="203">
        <f t="shared" si="133"/>
        <v>44</v>
      </c>
      <c r="I34" s="203">
        <v>0</v>
      </c>
      <c r="J34" s="203">
        <v>0</v>
      </c>
      <c r="K34" s="203">
        <f t="shared" si="134"/>
        <v>44</v>
      </c>
      <c r="L34" s="203">
        <v>0</v>
      </c>
      <c r="M34" s="203">
        <v>0</v>
      </c>
      <c r="N34" s="203">
        <v>44</v>
      </c>
      <c r="O34" s="203">
        <v>9</v>
      </c>
      <c r="P34" s="203">
        <v>0</v>
      </c>
      <c r="Q34" s="203">
        <v>0</v>
      </c>
      <c r="R34" s="203">
        <v>0</v>
      </c>
      <c r="S34" s="203">
        <v>0</v>
      </c>
      <c r="T34" s="203">
        <v>1</v>
      </c>
      <c r="U34" s="203">
        <v>1</v>
      </c>
      <c r="V34" s="203">
        <v>0</v>
      </c>
      <c r="W34" s="203">
        <v>20</v>
      </c>
      <c r="X34" s="203">
        <v>7</v>
      </c>
      <c r="Y34" s="203">
        <v>0</v>
      </c>
      <c r="Z34" s="203">
        <v>0</v>
      </c>
      <c r="AA34" s="203">
        <v>0</v>
      </c>
      <c r="AB34" s="203">
        <v>0</v>
      </c>
      <c r="AC34" s="203">
        <v>19</v>
      </c>
      <c r="AD34" s="203">
        <v>7</v>
      </c>
      <c r="AE34" s="203">
        <v>0</v>
      </c>
      <c r="AF34" s="203">
        <v>14</v>
      </c>
      <c r="AG34" s="203">
        <v>2</v>
      </c>
      <c r="AH34" s="203">
        <v>0</v>
      </c>
      <c r="AI34" s="203">
        <v>0</v>
      </c>
      <c r="AJ34" s="203">
        <v>0</v>
      </c>
      <c r="AK34" s="203">
        <f>P34+S34+V34+Y34+AB34+AE34+AH34</f>
        <v>0</v>
      </c>
      <c r="AL34" s="203">
        <f>Q34+T34+W34+Z34+AC34+AF34+AI34</f>
        <v>54</v>
      </c>
      <c r="AM34" s="203">
        <f>AK34+AL34</f>
        <v>54</v>
      </c>
      <c r="AN34" s="203">
        <f>R34+U34+X34+AA34+AD34+AG34+AJ34</f>
        <v>17</v>
      </c>
      <c r="AO34" s="189">
        <f t="shared" si="130"/>
        <v>20.454545454545457</v>
      </c>
      <c r="AP34" s="189">
        <f t="shared" si="131"/>
        <v>38.636363636363633</v>
      </c>
      <c r="AQ34" s="189">
        <f t="shared" si="132"/>
        <v>31.481481481481481</v>
      </c>
      <c r="AR34" s="81">
        <f t="shared" si="109"/>
        <v>0</v>
      </c>
      <c r="AS34" s="81">
        <f t="shared" si="110"/>
        <v>100</v>
      </c>
      <c r="AT34" s="81">
        <f t="shared" si="111"/>
        <v>0</v>
      </c>
      <c r="AU34" s="81">
        <f t="shared" si="112"/>
        <v>5.8823529411764701</v>
      </c>
      <c r="AV34" s="81">
        <f t="shared" si="113"/>
        <v>41.17647058823529</v>
      </c>
      <c r="AW34" s="81">
        <f t="shared" si="30"/>
        <v>0</v>
      </c>
      <c r="AX34" s="81">
        <f t="shared" si="114"/>
        <v>41.17647058823529</v>
      </c>
      <c r="AY34" s="81">
        <f t="shared" si="115"/>
        <v>11.76470588235294</v>
      </c>
      <c r="AZ34" s="81">
        <f t="shared" si="116"/>
        <v>0</v>
      </c>
    </row>
    <row r="35" spans="1:52" s="209" customFormat="1" ht="20.25" customHeight="1">
      <c r="A35" s="391"/>
      <c r="B35" s="175" t="s">
        <v>211</v>
      </c>
      <c r="C35" s="203">
        <v>284</v>
      </c>
      <c r="D35" s="103">
        <v>45731</v>
      </c>
      <c r="E35" s="103">
        <v>45731</v>
      </c>
      <c r="F35" s="203">
        <v>90</v>
      </c>
      <c r="G35" s="203">
        <v>0</v>
      </c>
      <c r="H35" s="203">
        <f t="shared" ref="H35" si="135">F35+G35</f>
        <v>90</v>
      </c>
      <c r="I35" s="203">
        <v>0</v>
      </c>
      <c r="J35" s="203">
        <v>0</v>
      </c>
      <c r="K35" s="203">
        <f t="shared" ref="K35" si="136">H35+I35+J35</f>
        <v>90</v>
      </c>
      <c r="L35" s="203">
        <v>0</v>
      </c>
      <c r="M35" s="203">
        <v>0</v>
      </c>
      <c r="N35" s="203">
        <v>90</v>
      </c>
      <c r="O35" s="203">
        <v>8</v>
      </c>
      <c r="P35" s="203">
        <v>0</v>
      </c>
      <c r="Q35" s="203">
        <v>0</v>
      </c>
      <c r="R35" s="203">
        <v>0</v>
      </c>
      <c r="S35" s="203">
        <v>0</v>
      </c>
      <c r="T35" s="203">
        <v>0</v>
      </c>
      <c r="U35" s="203">
        <v>0</v>
      </c>
      <c r="V35" s="203">
        <v>14</v>
      </c>
      <c r="W35" s="203">
        <v>17</v>
      </c>
      <c r="X35" s="203">
        <v>4</v>
      </c>
      <c r="Y35" s="203">
        <v>3</v>
      </c>
      <c r="Z35" s="203">
        <v>12</v>
      </c>
      <c r="AA35" s="203">
        <v>0</v>
      </c>
      <c r="AB35" s="203">
        <v>0</v>
      </c>
      <c r="AC35" s="203">
        <v>32</v>
      </c>
      <c r="AD35" s="203">
        <v>4</v>
      </c>
      <c r="AE35" s="203">
        <v>0</v>
      </c>
      <c r="AF35" s="203">
        <v>3</v>
      </c>
      <c r="AG35" s="203">
        <v>0</v>
      </c>
      <c r="AH35" s="203">
        <v>0</v>
      </c>
      <c r="AI35" s="203">
        <v>0</v>
      </c>
      <c r="AJ35" s="203">
        <v>0</v>
      </c>
      <c r="AK35" s="203">
        <f t="shared" ref="AK35" si="137">P35+S35+V35+Y35+AB35+AE35+AH35</f>
        <v>17</v>
      </c>
      <c r="AL35" s="203">
        <f t="shared" ref="AL35" si="138">Q35+T35+W35+Z35+AC35+AF35+AI35</f>
        <v>64</v>
      </c>
      <c r="AM35" s="203">
        <f t="shared" ref="AM35" si="139">AK35+AL35</f>
        <v>81</v>
      </c>
      <c r="AN35" s="203">
        <f t="shared" ref="AN35" si="140">R35+U35+X35+AA35+AD35+AG35+AJ35</f>
        <v>8</v>
      </c>
      <c r="AO35" s="189">
        <f t="shared" ref="AO35" si="141">O35/H35*100</f>
        <v>8.8888888888888893</v>
      </c>
      <c r="AP35" s="189">
        <f t="shared" ref="AP35" si="142">AN35/H35*100</f>
        <v>8.8888888888888893</v>
      </c>
      <c r="AQ35" s="189">
        <f t="shared" ref="AQ35" si="143">AN35/AM35*100</f>
        <v>9.8765432098765427</v>
      </c>
      <c r="AR35" s="81">
        <f t="shared" ref="AR35" si="144">AK35/AM35*100</f>
        <v>20.987654320987652</v>
      </c>
      <c r="AS35" s="81">
        <f t="shared" ref="AS35" si="145">AL35/AM35*100</f>
        <v>79.012345679012341</v>
      </c>
      <c r="AT35" s="81">
        <f t="shared" ref="AT35" si="146">R35/AN35*100</f>
        <v>0</v>
      </c>
      <c r="AU35" s="81">
        <f t="shared" ref="AU35" si="147">U35/AN35*100</f>
        <v>0</v>
      </c>
      <c r="AV35" s="81">
        <f t="shared" ref="AV35" si="148">X35/AN35*100</f>
        <v>50</v>
      </c>
      <c r="AW35" s="81">
        <f t="shared" ref="AW35" si="149">AA35/AN35*100</f>
        <v>0</v>
      </c>
      <c r="AX35" s="81">
        <f t="shared" ref="AX35" si="150">AD35/AN35*100</f>
        <v>50</v>
      </c>
      <c r="AY35" s="81">
        <f t="shared" ref="AY35" si="151">AG35/AN35*100</f>
        <v>0</v>
      </c>
      <c r="AZ35" s="81">
        <f t="shared" ref="AZ35" si="152">AJ35/AN35*100</f>
        <v>0</v>
      </c>
    </row>
    <row r="36" spans="1:52" s="209" customFormat="1" ht="20.25" customHeight="1">
      <c r="A36" s="391"/>
      <c r="B36" s="175" t="s">
        <v>187</v>
      </c>
      <c r="C36" s="203">
        <v>92</v>
      </c>
      <c r="D36" s="103">
        <v>45734</v>
      </c>
      <c r="E36" s="103">
        <v>45747</v>
      </c>
      <c r="F36" s="203">
        <v>24</v>
      </c>
      <c r="G36" s="203">
        <v>0</v>
      </c>
      <c r="H36" s="203">
        <f t="shared" ref="H36" si="153">F36+G36</f>
        <v>24</v>
      </c>
      <c r="I36" s="203">
        <v>0</v>
      </c>
      <c r="J36" s="203">
        <v>0</v>
      </c>
      <c r="K36" s="203">
        <f t="shared" ref="K36" si="154">H36+I36+J36</f>
        <v>24</v>
      </c>
      <c r="L36" s="203">
        <v>0</v>
      </c>
      <c r="M36" s="203">
        <v>0</v>
      </c>
      <c r="N36" s="203">
        <v>24</v>
      </c>
      <c r="O36" s="203">
        <v>0</v>
      </c>
      <c r="P36" s="203">
        <v>0</v>
      </c>
      <c r="Q36" s="203">
        <v>0</v>
      </c>
      <c r="R36" s="203">
        <v>0</v>
      </c>
      <c r="S36" s="203">
        <v>0</v>
      </c>
      <c r="T36" s="203">
        <v>0</v>
      </c>
      <c r="U36" s="203">
        <v>0</v>
      </c>
      <c r="V36" s="203">
        <v>4</v>
      </c>
      <c r="W36" s="203">
        <v>16</v>
      </c>
      <c r="X36" s="203">
        <v>0</v>
      </c>
      <c r="Y36" s="203">
        <v>1</v>
      </c>
      <c r="Z36" s="203">
        <v>3</v>
      </c>
      <c r="AA36" s="203">
        <v>0</v>
      </c>
      <c r="AB36" s="203">
        <v>0</v>
      </c>
      <c r="AC36" s="203">
        <v>21</v>
      </c>
      <c r="AD36" s="203">
        <v>0</v>
      </c>
      <c r="AE36" s="203">
        <v>0</v>
      </c>
      <c r="AF36" s="203">
        <v>0</v>
      </c>
      <c r="AG36" s="203">
        <v>0</v>
      </c>
      <c r="AH36" s="203">
        <v>0</v>
      </c>
      <c r="AI36" s="203">
        <v>0</v>
      </c>
      <c r="AJ36" s="203">
        <v>0</v>
      </c>
      <c r="AK36" s="203">
        <f t="shared" ref="AK36" si="155">P36+S36+V36+Y36+AB36+AE36+AH36</f>
        <v>5</v>
      </c>
      <c r="AL36" s="203">
        <f t="shared" ref="AL36" si="156">Q36+T36+W36+Z36+AC36+AF36+AI36</f>
        <v>40</v>
      </c>
      <c r="AM36" s="203">
        <f t="shared" ref="AM36" si="157">AK36+AL36</f>
        <v>45</v>
      </c>
      <c r="AN36" s="203">
        <f t="shared" ref="AN36" si="158">R36+U36+X36+AA36+AD36+AG36+AJ36</f>
        <v>0</v>
      </c>
      <c r="AO36" s="189">
        <f t="shared" ref="AO36" si="159">O36/H36*100</f>
        <v>0</v>
      </c>
      <c r="AP36" s="189">
        <f t="shared" ref="AP36" si="160">AN36/H36*100</f>
        <v>0</v>
      </c>
      <c r="AQ36" s="189">
        <f t="shared" ref="AQ36" si="161">AN36/AM36*100</f>
        <v>0</v>
      </c>
      <c r="AR36" s="81">
        <f t="shared" ref="AR36" si="162">AK36/AM36*100</f>
        <v>11.111111111111111</v>
      </c>
      <c r="AS36" s="81">
        <f t="shared" ref="AS36" si="163">AL36/AM36*100</f>
        <v>88.888888888888886</v>
      </c>
      <c r="AT36" s="81" t="e">
        <f t="shared" ref="AT36" si="164">R36/AN36*100</f>
        <v>#DIV/0!</v>
      </c>
      <c r="AU36" s="81" t="e">
        <f t="shared" ref="AU36" si="165">U36/AN36*100</f>
        <v>#DIV/0!</v>
      </c>
      <c r="AV36" s="81" t="e">
        <f t="shared" ref="AV36" si="166">X36/AN36*100</f>
        <v>#DIV/0!</v>
      </c>
      <c r="AW36" s="81" t="e">
        <f t="shared" ref="AW36" si="167">AA36/AN36*100</f>
        <v>#DIV/0!</v>
      </c>
      <c r="AX36" s="81" t="e">
        <f t="shared" ref="AX36" si="168">AD36/AN36*100</f>
        <v>#DIV/0!</v>
      </c>
      <c r="AY36" s="81" t="e">
        <f t="shared" ref="AY36" si="169">AG36/AN36*100</f>
        <v>#DIV/0!</v>
      </c>
      <c r="AZ36" s="81" t="e">
        <f t="shared" ref="AZ36" si="170">AJ36/AN36*100</f>
        <v>#DIV/0!</v>
      </c>
    </row>
    <row r="37" spans="1:52" s="209" customFormat="1" ht="20.25" customHeight="1">
      <c r="A37" s="391"/>
      <c r="B37" s="211" t="s">
        <v>146</v>
      </c>
      <c r="C37" s="203">
        <v>37</v>
      </c>
      <c r="D37" s="103">
        <v>45729</v>
      </c>
      <c r="E37" s="103">
        <v>45729</v>
      </c>
      <c r="F37" s="203">
        <v>10</v>
      </c>
      <c r="G37" s="203">
        <v>0</v>
      </c>
      <c r="H37" s="203">
        <f t="shared" si="133"/>
        <v>10</v>
      </c>
      <c r="I37" s="203">
        <v>0</v>
      </c>
      <c r="J37" s="203">
        <v>0</v>
      </c>
      <c r="K37" s="203">
        <f t="shared" si="134"/>
        <v>10</v>
      </c>
      <c r="L37" s="203">
        <v>0</v>
      </c>
      <c r="M37" s="203">
        <v>0</v>
      </c>
      <c r="N37" s="203">
        <v>10</v>
      </c>
      <c r="O37" s="203">
        <v>2</v>
      </c>
      <c r="P37" s="203">
        <v>0</v>
      </c>
      <c r="Q37" s="203">
        <v>0</v>
      </c>
      <c r="R37" s="203">
        <v>0</v>
      </c>
      <c r="S37" s="203">
        <v>0</v>
      </c>
      <c r="T37" s="203">
        <v>2</v>
      </c>
      <c r="U37" s="203">
        <v>0</v>
      </c>
      <c r="V37" s="203">
        <v>0</v>
      </c>
      <c r="W37" s="203">
        <v>2</v>
      </c>
      <c r="X37" s="203">
        <v>1</v>
      </c>
      <c r="Y37" s="203">
        <v>0</v>
      </c>
      <c r="Z37" s="203">
        <v>1</v>
      </c>
      <c r="AA37" s="203">
        <v>0</v>
      </c>
      <c r="AB37" s="203">
        <v>0</v>
      </c>
      <c r="AC37" s="203">
        <v>3</v>
      </c>
      <c r="AD37" s="203">
        <v>1</v>
      </c>
      <c r="AE37" s="203">
        <v>0</v>
      </c>
      <c r="AF37" s="203">
        <v>3</v>
      </c>
      <c r="AG37" s="203">
        <v>0</v>
      </c>
      <c r="AH37" s="203">
        <v>0</v>
      </c>
      <c r="AI37" s="203">
        <v>0</v>
      </c>
      <c r="AJ37" s="203">
        <v>0</v>
      </c>
      <c r="AK37" s="203">
        <f t="shared" si="127"/>
        <v>0</v>
      </c>
      <c r="AL37" s="203">
        <f t="shared" si="127"/>
        <v>11</v>
      </c>
      <c r="AM37" s="203">
        <f t="shared" si="128"/>
        <v>11</v>
      </c>
      <c r="AN37" s="203">
        <f t="shared" si="129"/>
        <v>2</v>
      </c>
      <c r="AO37" s="189">
        <f t="shared" si="130"/>
        <v>20</v>
      </c>
      <c r="AP37" s="189">
        <f t="shared" si="131"/>
        <v>20</v>
      </c>
      <c r="AQ37" s="189">
        <f t="shared" si="132"/>
        <v>18.181818181818183</v>
      </c>
      <c r="AR37" s="81">
        <f t="shared" si="109"/>
        <v>0</v>
      </c>
      <c r="AS37" s="81">
        <f t="shared" si="110"/>
        <v>100</v>
      </c>
      <c r="AT37" s="81">
        <f t="shared" si="111"/>
        <v>0</v>
      </c>
      <c r="AU37" s="81">
        <f t="shared" si="112"/>
        <v>0</v>
      </c>
      <c r="AV37" s="81">
        <f t="shared" si="113"/>
        <v>50</v>
      </c>
      <c r="AW37" s="81">
        <f t="shared" si="30"/>
        <v>0</v>
      </c>
      <c r="AX37" s="81">
        <f t="shared" si="114"/>
        <v>50</v>
      </c>
      <c r="AY37" s="81">
        <f t="shared" si="115"/>
        <v>0</v>
      </c>
      <c r="AZ37" s="81">
        <f t="shared" si="116"/>
        <v>0</v>
      </c>
    </row>
    <row r="38" spans="1:52" s="209" customFormat="1" ht="20.25" customHeight="1">
      <c r="A38" s="391"/>
      <c r="B38" s="175" t="s">
        <v>143</v>
      </c>
      <c r="C38" s="203">
        <v>86</v>
      </c>
      <c r="D38" s="103">
        <v>45734</v>
      </c>
      <c r="E38" s="103">
        <v>45744</v>
      </c>
      <c r="F38" s="203">
        <v>20</v>
      </c>
      <c r="G38" s="203">
        <v>0</v>
      </c>
      <c r="H38" s="203">
        <f t="shared" ref="H38" si="171">F38+G38</f>
        <v>20</v>
      </c>
      <c r="I38" s="203">
        <v>0</v>
      </c>
      <c r="J38" s="203">
        <v>0</v>
      </c>
      <c r="K38" s="203">
        <f t="shared" ref="K38" si="172">H38+I38+J38</f>
        <v>20</v>
      </c>
      <c r="L38" s="203">
        <v>0</v>
      </c>
      <c r="M38" s="203">
        <v>0</v>
      </c>
      <c r="N38" s="203">
        <v>20</v>
      </c>
      <c r="O38" s="203">
        <v>1</v>
      </c>
      <c r="P38" s="203">
        <v>0</v>
      </c>
      <c r="Q38" s="203">
        <v>0</v>
      </c>
      <c r="R38" s="203">
        <v>0</v>
      </c>
      <c r="S38" s="203">
        <v>0</v>
      </c>
      <c r="T38" s="203">
        <v>1</v>
      </c>
      <c r="U38" s="203">
        <v>0</v>
      </c>
      <c r="V38" s="203">
        <v>0</v>
      </c>
      <c r="W38" s="203">
        <v>0</v>
      </c>
      <c r="X38" s="203">
        <v>0</v>
      </c>
      <c r="Y38" s="203">
        <v>0</v>
      </c>
      <c r="Z38" s="203">
        <v>0</v>
      </c>
      <c r="AA38" s="203">
        <v>0</v>
      </c>
      <c r="AB38" s="203">
        <v>0</v>
      </c>
      <c r="AC38" s="203">
        <v>3</v>
      </c>
      <c r="AD38" s="203">
        <v>1</v>
      </c>
      <c r="AE38" s="203">
        <v>0</v>
      </c>
      <c r="AF38" s="203">
        <v>18</v>
      </c>
      <c r="AG38" s="203">
        <v>0</v>
      </c>
      <c r="AH38" s="203">
        <v>0</v>
      </c>
      <c r="AI38" s="203">
        <v>0</v>
      </c>
      <c r="AJ38" s="203">
        <v>0</v>
      </c>
      <c r="AK38" s="203">
        <f t="shared" ref="AK38" si="173">P38+S38+V38+Y38+AB38+AE38+AH38</f>
        <v>0</v>
      </c>
      <c r="AL38" s="203">
        <f t="shared" ref="AL38" si="174">Q38+T38+W38+Z38+AC38+AF38+AI38</f>
        <v>22</v>
      </c>
      <c r="AM38" s="203">
        <f t="shared" ref="AM38" si="175">AK38+AL38</f>
        <v>22</v>
      </c>
      <c r="AN38" s="203">
        <f t="shared" ref="AN38" si="176">R38+U38+X38+AA38+AD38+AG38+AJ38</f>
        <v>1</v>
      </c>
      <c r="AO38" s="189">
        <f t="shared" ref="AO38" si="177">O38/H38*100</f>
        <v>5</v>
      </c>
      <c r="AP38" s="189">
        <f t="shared" ref="AP38" si="178">AN38/H38*100</f>
        <v>5</v>
      </c>
      <c r="AQ38" s="189">
        <f t="shared" ref="AQ38" si="179">AN38/AM38*100</f>
        <v>4.5454545454545459</v>
      </c>
      <c r="AR38" s="81">
        <f t="shared" ref="AR38" si="180">AK38/AM38*100</f>
        <v>0</v>
      </c>
      <c r="AS38" s="81">
        <f t="shared" ref="AS38" si="181">AL38/AM38*100</f>
        <v>100</v>
      </c>
      <c r="AT38" s="81">
        <f t="shared" ref="AT38" si="182">R38/AN38*100</f>
        <v>0</v>
      </c>
      <c r="AU38" s="81">
        <f t="shared" ref="AU38" si="183">U38/AN38*100</f>
        <v>0</v>
      </c>
      <c r="AV38" s="81">
        <f t="shared" ref="AV38" si="184">X38/AN38*100</f>
        <v>0</v>
      </c>
      <c r="AW38" s="81">
        <f t="shared" ref="AW38" si="185">AA38/AN38*100</f>
        <v>0</v>
      </c>
      <c r="AX38" s="81">
        <f t="shared" ref="AX38" si="186">AD38/AN38*100</f>
        <v>100</v>
      </c>
      <c r="AY38" s="81">
        <f t="shared" ref="AY38" si="187">AG38/AN38*100</f>
        <v>0</v>
      </c>
      <c r="AZ38" s="81">
        <f t="shared" ref="AZ38" si="188">AJ38/AN38*100</f>
        <v>0</v>
      </c>
    </row>
    <row r="39" spans="1:52" s="3" customFormat="1" ht="20.25" customHeight="1">
      <c r="A39" s="391" t="s">
        <v>215</v>
      </c>
      <c r="B39" s="215" t="s">
        <v>247</v>
      </c>
      <c r="C39" s="77">
        <f>SUM(C40:C44)-C41</f>
        <v>1084</v>
      </c>
      <c r="D39" s="217">
        <f>MIN(D40:D44)</f>
        <v>45721</v>
      </c>
      <c r="E39" s="217">
        <f>MAX(E40:E44)</f>
        <v>45747</v>
      </c>
      <c r="F39" s="77">
        <f>SUM(F40:F44)-F41</f>
        <v>287</v>
      </c>
      <c r="G39" s="77">
        <f t="shared" ref="G39:AJ39" si="189">SUM(G40:G44)-G41</f>
        <v>0</v>
      </c>
      <c r="H39" s="77">
        <f t="shared" si="189"/>
        <v>287</v>
      </c>
      <c r="I39" s="77">
        <f t="shared" si="189"/>
        <v>0</v>
      </c>
      <c r="J39" s="77">
        <f t="shared" si="189"/>
        <v>0</v>
      </c>
      <c r="K39" s="77">
        <f t="shared" si="189"/>
        <v>287</v>
      </c>
      <c r="L39" s="77">
        <f t="shared" si="189"/>
        <v>0</v>
      </c>
      <c r="M39" s="77">
        <f t="shared" si="189"/>
        <v>0</v>
      </c>
      <c r="N39" s="77">
        <f t="shared" si="189"/>
        <v>287</v>
      </c>
      <c r="O39" s="77">
        <f>SUM(O40:O44)-O41</f>
        <v>11</v>
      </c>
      <c r="P39" s="77">
        <f t="shared" si="189"/>
        <v>0</v>
      </c>
      <c r="Q39" s="77">
        <f t="shared" si="189"/>
        <v>0</v>
      </c>
      <c r="R39" s="77">
        <f t="shared" si="189"/>
        <v>0</v>
      </c>
      <c r="S39" s="77">
        <f t="shared" si="189"/>
        <v>0</v>
      </c>
      <c r="T39" s="77">
        <f t="shared" si="189"/>
        <v>21</v>
      </c>
      <c r="U39" s="77">
        <f t="shared" si="189"/>
        <v>1</v>
      </c>
      <c r="V39" s="77">
        <f t="shared" si="189"/>
        <v>0</v>
      </c>
      <c r="W39" s="77">
        <f t="shared" si="189"/>
        <v>4</v>
      </c>
      <c r="X39" s="77">
        <f t="shared" si="189"/>
        <v>2</v>
      </c>
      <c r="Y39" s="77">
        <f t="shared" si="189"/>
        <v>0</v>
      </c>
      <c r="Z39" s="77">
        <f t="shared" si="189"/>
        <v>10</v>
      </c>
      <c r="AA39" s="77">
        <f t="shared" si="189"/>
        <v>0</v>
      </c>
      <c r="AB39" s="77">
        <f t="shared" si="189"/>
        <v>2</v>
      </c>
      <c r="AC39" s="77">
        <f t="shared" si="189"/>
        <v>33</v>
      </c>
      <c r="AD39" s="77">
        <f t="shared" si="189"/>
        <v>6</v>
      </c>
      <c r="AE39" s="77">
        <f t="shared" si="189"/>
        <v>38</v>
      </c>
      <c r="AF39" s="77">
        <f t="shared" si="189"/>
        <v>427</v>
      </c>
      <c r="AG39" s="77">
        <f t="shared" si="189"/>
        <v>4</v>
      </c>
      <c r="AH39" s="77">
        <f t="shared" si="189"/>
        <v>0</v>
      </c>
      <c r="AI39" s="77">
        <f t="shared" si="189"/>
        <v>0</v>
      </c>
      <c r="AJ39" s="77">
        <f t="shared" si="189"/>
        <v>0</v>
      </c>
      <c r="AK39" s="77">
        <f>P39+S39+V39+Y39+AB39+AE39+AH39</f>
        <v>40</v>
      </c>
      <c r="AL39" s="77">
        <f>Q39+T39+W39+Z39+AC39+AF39+AI39</f>
        <v>495</v>
      </c>
      <c r="AM39" s="77">
        <f>AK39+AL39</f>
        <v>535</v>
      </c>
      <c r="AN39" s="77">
        <f>R39+U39+X39+AA39+AD39+AG39+AJ39</f>
        <v>13</v>
      </c>
      <c r="AO39" s="188">
        <f>O39/H39*100</f>
        <v>3.8327526132404177</v>
      </c>
      <c r="AP39" s="188">
        <f>AN39/H39*100</f>
        <v>4.529616724738676</v>
      </c>
      <c r="AQ39" s="188">
        <f>AN39/AM39*100</f>
        <v>2.4299065420560746</v>
      </c>
      <c r="AR39" s="88">
        <f t="shared" ref="AR39" si="190">AK39/AM39*100</f>
        <v>7.4766355140186906</v>
      </c>
      <c r="AS39" s="88">
        <f t="shared" ref="AS39" si="191">AL39/AM39*100</f>
        <v>92.523364485981304</v>
      </c>
      <c r="AT39" s="88">
        <f t="shared" ref="AT39" si="192">R39/AN39*100</f>
        <v>0</v>
      </c>
      <c r="AU39" s="88">
        <f t="shared" ref="AU39" si="193">U39/AN39*100</f>
        <v>7.6923076923076925</v>
      </c>
      <c r="AV39" s="88">
        <f t="shared" ref="AV39" si="194">X39/AN39*100</f>
        <v>15.384615384615385</v>
      </c>
      <c r="AW39" s="88">
        <f t="shared" ref="AW39" si="195">AA39/AN39*100</f>
        <v>0</v>
      </c>
      <c r="AX39" s="88">
        <f t="shared" ref="AX39" si="196">AD39/AN39*100</f>
        <v>46.153846153846153</v>
      </c>
      <c r="AY39" s="88">
        <f t="shared" ref="AY39" si="197">AG39/AN39*100</f>
        <v>30.76923076923077</v>
      </c>
      <c r="AZ39" s="88">
        <f t="shared" ref="AZ39" si="198">AJ39/AN39*100</f>
        <v>0</v>
      </c>
    </row>
    <row r="40" spans="1:52" s="209" customFormat="1" ht="20.25" customHeight="1">
      <c r="A40" s="391"/>
      <c r="B40" s="175" t="s">
        <v>221</v>
      </c>
      <c r="C40" s="203">
        <v>522</v>
      </c>
      <c r="D40" s="103">
        <v>45721</v>
      </c>
      <c r="E40" s="103">
        <v>45733</v>
      </c>
      <c r="F40" s="203">
        <v>140</v>
      </c>
      <c r="G40" s="203">
        <v>0</v>
      </c>
      <c r="H40" s="203">
        <f t="shared" si="133"/>
        <v>140</v>
      </c>
      <c r="I40" s="203">
        <v>0</v>
      </c>
      <c r="J40" s="203">
        <v>0</v>
      </c>
      <c r="K40" s="203">
        <f t="shared" si="134"/>
        <v>140</v>
      </c>
      <c r="L40" s="203">
        <v>0</v>
      </c>
      <c r="M40" s="203">
        <v>0</v>
      </c>
      <c r="N40" s="203">
        <v>140</v>
      </c>
      <c r="O40" s="203">
        <v>5</v>
      </c>
      <c r="P40" s="203">
        <v>0</v>
      </c>
      <c r="Q40" s="203">
        <v>0</v>
      </c>
      <c r="R40" s="203">
        <v>0</v>
      </c>
      <c r="S40" s="203">
        <v>0</v>
      </c>
      <c r="T40" s="203">
        <v>9</v>
      </c>
      <c r="U40" s="203">
        <v>1</v>
      </c>
      <c r="V40" s="203">
        <v>0</v>
      </c>
      <c r="W40" s="203">
        <v>0</v>
      </c>
      <c r="X40" s="203">
        <v>0</v>
      </c>
      <c r="Y40" s="203">
        <v>0</v>
      </c>
      <c r="Z40" s="203">
        <v>5</v>
      </c>
      <c r="AA40" s="203">
        <v>0</v>
      </c>
      <c r="AB40" s="203">
        <v>1</v>
      </c>
      <c r="AC40" s="203">
        <v>4</v>
      </c>
      <c r="AD40" s="203">
        <v>3</v>
      </c>
      <c r="AE40" s="203">
        <v>21</v>
      </c>
      <c r="AF40" s="203">
        <v>202</v>
      </c>
      <c r="AG40" s="203">
        <v>2</v>
      </c>
      <c r="AH40" s="203">
        <v>0</v>
      </c>
      <c r="AI40" s="203">
        <v>0</v>
      </c>
      <c r="AJ40" s="203">
        <v>0</v>
      </c>
      <c r="AK40" s="203">
        <f t="shared" si="127"/>
        <v>22</v>
      </c>
      <c r="AL40" s="203">
        <f t="shared" si="127"/>
        <v>220</v>
      </c>
      <c r="AM40" s="203">
        <f t="shared" si="128"/>
        <v>242</v>
      </c>
      <c r="AN40" s="203">
        <f t="shared" si="129"/>
        <v>6</v>
      </c>
      <c r="AO40" s="189">
        <f t="shared" si="130"/>
        <v>3.5714285714285712</v>
      </c>
      <c r="AP40" s="189">
        <f t="shared" si="131"/>
        <v>4.2857142857142856</v>
      </c>
      <c r="AQ40" s="189">
        <f t="shared" si="132"/>
        <v>2.4793388429752068</v>
      </c>
      <c r="AR40" s="81">
        <f t="shared" si="109"/>
        <v>9.0909090909090917</v>
      </c>
      <c r="AS40" s="81">
        <f t="shared" si="110"/>
        <v>90.909090909090907</v>
      </c>
      <c r="AT40" s="81">
        <f t="shared" si="111"/>
        <v>0</v>
      </c>
      <c r="AU40" s="81">
        <f t="shared" si="112"/>
        <v>16.666666666666664</v>
      </c>
      <c r="AV40" s="81">
        <f t="shared" si="113"/>
        <v>0</v>
      </c>
      <c r="AW40" s="81">
        <f t="shared" si="30"/>
        <v>0</v>
      </c>
      <c r="AX40" s="81">
        <f t="shared" si="114"/>
        <v>50</v>
      </c>
      <c r="AY40" s="81">
        <f t="shared" si="115"/>
        <v>33.333333333333329</v>
      </c>
      <c r="AZ40" s="81">
        <f t="shared" si="116"/>
        <v>0</v>
      </c>
    </row>
    <row r="41" spans="1:52" s="209" customFormat="1" ht="20.25" customHeight="1">
      <c r="A41" s="391"/>
      <c r="B41" s="211" t="s">
        <v>245</v>
      </c>
      <c r="C41" s="203">
        <v>108</v>
      </c>
      <c r="D41" s="103">
        <v>45727</v>
      </c>
      <c r="E41" s="103">
        <v>45747</v>
      </c>
      <c r="F41" s="203">
        <v>50</v>
      </c>
      <c r="G41" s="203">
        <v>0</v>
      </c>
      <c r="H41" s="203">
        <f t="shared" ref="H41" si="199">F41+G41</f>
        <v>50</v>
      </c>
      <c r="I41" s="203">
        <v>0</v>
      </c>
      <c r="J41" s="203">
        <v>0</v>
      </c>
      <c r="K41" s="203">
        <f t="shared" ref="K41" si="200">H41+I41+J41</f>
        <v>50</v>
      </c>
      <c r="L41" s="203">
        <v>0</v>
      </c>
      <c r="M41" s="203">
        <v>0</v>
      </c>
      <c r="N41" s="203">
        <v>50</v>
      </c>
      <c r="O41" s="203">
        <v>5</v>
      </c>
      <c r="P41" s="203">
        <v>0</v>
      </c>
      <c r="Q41" s="203">
        <v>0</v>
      </c>
      <c r="R41" s="203">
        <v>0</v>
      </c>
      <c r="S41" s="203">
        <v>0</v>
      </c>
      <c r="T41" s="203">
        <v>1</v>
      </c>
      <c r="U41" s="203">
        <v>0</v>
      </c>
      <c r="V41" s="203">
        <v>1</v>
      </c>
      <c r="W41" s="203">
        <v>17</v>
      </c>
      <c r="X41" s="203">
        <v>3</v>
      </c>
      <c r="Y41" s="203">
        <v>0</v>
      </c>
      <c r="Z41" s="203">
        <v>0</v>
      </c>
      <c r="AA41" s="203">
        <v>0</v>
      </c>
      <c r="AB41" s="203">
        <v>0</v>
      </c>
      <c r="AC41" s="203">
        <v>11</v>
      </c>
      <c r="AD41" s="203">
        <v>1</v>
      </c>
      <c r="AE41" s="203">
        <v>4</v>
      </c>
      <c r="AF41" s="203">
        <v>12</v>
      </c>
      <c r="AG41" s="203">
        <v>3</v>
      </c>
      <c r="AH41" s="203">
        <v>0</v>
      </c>
      <c r="AI41" s="203">
        <v>0</v>
      </c>
      <c r="AJ41" s="203">
        <v>0</v>
      </c>
      <c r="AK41" s="203">
        <f t="shared" ref="AK41" si="201">P41+S41+V41+Y41+AB41+AE41+AH41</f>
        <v>5</v>
      </c>
      <c r="AL41" s="203">
        <f t="shared" ref="AL41" si="202">Q41+T41+W41+Z41+AC41+AF41+AI41</f>
        <v>41</v>
      </c>
      <c r="AM41" s="203">
        <f t="shared" ref="AM41" si="203">AK41+AL41</f>
        <v>46</v>
      </c>
      <c r="AN41" s="203">
        <f t="shared" ref="AN41" si="204">R41+U41+X41+AA41+AD41+AG41+AJ41</f>
        <v>7</v>
      </c>
      <c r="AO41" s="189">
        <f t="shared" ref="AO41" si="205">O41/H41*100</f>
        <v>10</v>
      </c>
      <c r="AP41" s="189">
        <f t="shared" ref="AP41" si="206">AN41/H41*100</f>
        <v>14.000000000000002</v>
      </c>
      <c r="AQ41" s="189">
        <f t="shared" ref="AQ41" si="207">AN41/AM41*100</f>
        <v>15.217391304347828</v>
      </c>
      <c r="AR41" s="81">
        <f t="shared" ref="AR41" si="208">AK41/AM41*100</f>
        <v>10.869565217391305</v>
      </c>
      <c r="AS41" s="81">
        <f t="shared" ref="AS41" si="209">AL41/AM41*100</f>
        <v>89.130434782608688</v>
      </c>
      <c r="AT41" s="81">
        <f t="shared" ref="AT41" si="210">R41/AN41*100</f>
        <v>0</v>
      </c>
      <c r="AU41" s="81">
        <f t="shared" ref="AU41" si="211">U41/AN41*100</f>
        <v>0</v>
      </c>
      <c r="AV41" s="81">
        <f t="shared" ref="AV41" si="212">X41/AN41*100</f>
        <v>42.857142857142854</v>
      </c>
      <c r="AW41" s="81">
        <f t="shared" ref="AW41" si="213">AA41/AN41*100</f>
        <v>0</v>
      </c>
      <c r="AX41" s="81">
        <f t="shared" ref="AX41" si="214">AD41/AN41*100</f>
        <v>14.285714285714285</v>
      </c>
      <c r="AY41" s="81">
        <f t="shared" ref="AY41" si="215">AG41/AN41*100</f>
        <v>42.857142857142854</v>
      </c>
      <c r="AZ41" s="81">
        <f t="shared" ref="AZ41" si="216">AJ41/AN41*100</f>
        <v>0</v>
      </c>
    </row>
    <row r="42" spans="1:52" s="209" customFormat="1" ht="20.25" customHeight="1">
      <c r="A42" s="391"/>
      <c r="B42" s="175" t="s">
        <v>144</v>
      </c>
      <c r="C42" s="203">
        <v>224</v>
      </c>
      <c r="D42" s="103">
        <v>45735</v>
      </c>
      <c r="E42" s="103">
        <v>45737</v>
      </c>
      <c r="F42" s="203">
        <v>60</v>
      </c>
      <c r="G42" s="203">
        <v>0</v>
      </c>
      <c r="H42" s="203">
        <f t="shared" si="133"/>
        <v>60</v>
      </c>
      <c r="I42" s="203">
        <v>0</v>
      </c>
      <c r="J42" s="203">
        <v>0</v>
      </c>
      <c r="K42" s="203">
        <f t="shared" si="134"/>
        <v>60</v>
      </c>
      <c r="L42" s="203">
        <v>0</v>
      </c>
      <c r="M42" s="203">
        <v>0</v>
      </c>
      <c r="N42" s="203">
        <v>60</v>
      </c>
      <c r="O42" s="203">
        <v>4</v>
      </c>
      <c r="P42" s="203">
        <v>0</v>
      </c>
      <c r="Q42" s="203">
        <v>0</v>
      </c>
      <c r="R42" s="203">
        <v>0</v>
      </c>
      <c r="S42" s="203">
        <v>0</v>
      </c>
      <c r="T42" s="203">
        <v>1</v>
      </c>
      <c r="U42" s="203">
        <v>0</v>
      </c>
      <c r="V42" s="203">
        <v>0</v>
      </c>
      <c r="W42" s="203">
        <v>0</v>
      </c>
      <c r="X42" s="203">
        <v>0</v>
      </c>
      <c r="Y42" s="203">
        <v>0</v>
      </c>
      <c r="Z42" s="203">
        <v>2</v>
      </c>
      <c r="AA42" s="203">
        <v>0</v>
      </c>
      <c r="AB42" s="203">
        <v>0</v>
      </c>
      <c r="AC42" s="203">
        <v>16</v>
      </c>
      <c r="AD42" s="203">
        <v>3</v>
      </c>
      <c r="AE42" s="203">
        <v>12</v>
      </c>
      <c r="AF42" s="203">
        <v>85</v>
      </c>
      <c r="AG42" s="203">
        <v>2</v>
      </c>
      <c r="AH42" s="203">
        <v>0</v>
      </c>
      <c r="AI42" s="203">
        <v>0</v>
      </c>
      <c r="AJ42" s="203">
        <v>0</v>
      </c>
      <c r="AK42" s="203">
        <f t="shared" si="127"/>
        <v>12</v>
      </c>
      <c r="AL42" s="203">
        <f t="shared" si="127"/>
        <v>104</v>
      </c>
      <c r="AM42" s="203">
        <f t="shared" si="128"/>
        <v>116</v>
      </c>
      <c r="AN42" s="203">
        <f t="shared" si="129"/>
        <v>5</v>
      </c>
      <c r="AO42" s="189">
        <f t="shared" si="130"/>
        <v>6.666666666666667</v>
      </c>
      <c r="AP42" s="189">
        <f t="shared" si="131"/>
        <v>8.3333333333333321</v>
      </c>
      <c r="AQ42" s="189">
        <f t="shared" si="132"/>
        <v>4.3103448275862073</v>
      </c>
      <c r="AR42" s="81">
        <f t="shared" si="109"/>
        <v>10.344827586206897</v>
      </c>
      <c r="AS42" s="81">
        <f t="shared" si="110"/>
        <v>89.65517241379311</v>
      </c>
      <c r="AT42" s="81">
        <f t="shared" si="111"/>
        <v>0</v>
      </c>
      <c r="AU42" s="81">
        <f t="shared" si="112"/>
        <v>0</v>
      </c>
      <c r="AV42" s="81">
        <f t="shared" si="113"/>
        <v>0</v>
      </c>
      <c r="AW42" s="81">
        <f t="shared" si="30"/>
        <v>0</v>
      </c>
      <c r="AX42" s="81">
        <f t="shared" si="114"/>
        <v>60</v>
      </c>
      <c r="AY42" s="81">
        <f t="shared" si="115"/>
        <v>40</v>
      </c>
      <c r="AZ42" s="81">
        <f t="shared" si="116"/>
        <v>0</v>
      </c>
    </row>
    <row r="43" spans="1:52" s="209" customFormat="1" ht="20.25" customHeight="1">
      <c r="A43" s="391"/>
      <c r="B43" s="202" t="s">
        <v>144</v>
      </c>
      <c r="C43" s="203">
        <v>22</v>
      </c>
      <c r="D43" s="103">
        <v>45730</v>
      </c>
      <c r="E43" s="103">
        <v>45730</v>
      </c>
      <c r="F43" s="203">
        <v>7</v>
      </c>
      <c r="G43" s="203">
        <v>0</v>
      </c>
      <c r="H43" s="203">
        <f t="shared" ref="H43" si="217">F43+G43</f>
        <v>7</v>
      </c>
      <c r="I43" s="203">
        <v>0</v>
      </c>
      <c r="J43" s="203">
        <v>0</v>
      </c>
      <c r="K43" s="203">
        <f t="shared" ref="K43" si="218">H43+I43+J43</f>
        <v>7</v>
      </c>
      <c r="L43" s="203">
        <v>0</v>
      </c>
      <c r="M43" s="203">
        <v>0</v>
      </c>
      <c r="N43" s="203">
        <v>7</v>
      </c>
      <c r="O43" s="203">
        <v>2</v>
      </c>
      <c r="P43" s="203">
        <v>0</v>
      </c>
      <c r="Q43" s="203">
        <v>0</v>
      </c>
      <c r="R43" s="203">
        <v>0</v>
      </c>
      <c r="S43" s="203">
        <v>0</v>
      </c>
      <c r="T43" s="203">
        <v>1</v>
      </c>
      <c r="U43" s="203">
        <v>0</v>
      </c>
      <c r="V43" s="203">
        <v>0</v>
      </c>
      <c r="W43" s="203">
        <v>4</v>
      </c>
      <c r="X43" s="203">
        <v>2</v>
      </c>
      <c r="Y43" s="203">
        <v>0</v>
      </c>
      <c r="Z43" s="203">
        <v>0</v>
      </c>
      <c r="AA43" s="203">
        <v>0</v>
      </c>
      <c r="AB43" s="203">
        <v>0</v>
      </c>
      <c r="AC43" s="203">
        <v>6</v>
      </c>
      <c r="AD43" s="203">
        <v>0</v>
      </c>
      <c r="AE43" s="203">
        <v>0</v>
      </c>
      <c r="AF43" s="203">
        <v>8</v>
      </c>
      <c r="AG43" s="203">
        <v>0</v>
      </c>
      <c r="AH43" s="203">
        <v>0</v>
      </c>
      <c r="AI43" s="203">
        <v>0</v>
      </c>
      <c r="AJ43" s="203">
        <v>0</v>
      </c>
      <c r="AK43" s="203">
        <f t="shared" ref="AK43" si="219">P43+S43+V43+Y43+AB43+AE43+AH43</f>
        <v>0</v>
      </c>
      <c r="AL43" s="203">
        <f t="shared" ref="AL43" si="220">Q43+T43+W43+Z43+AC43+AF43+AI43</f>
        <v>19</v>
      </c>
      <c r="AM43" s="203">
        <f t="shared" ref="AM43" si="221">AK43+AL43</f>
        <v>19</v>
      </c>
      <c r="AN43" s="203">
        <f t="shared" ref="AN43" si="222">R43+U43+X43+AA43+AD43+AG43+AJ43</f>
        <v>2</v>
      </c>
      <c r="AO43" s="189">
        <f t="shared" ref="AO43" si="223">O43/H43*100</f>
        <v>28.571428571428569</v>
      </c>
      <c r="AP43" s="189">
        <f t="shared" ref="AP43" si="224">AN43/H43*100</f>
        <v>28.571428571428569</v>
      </c>
      <c r="AQ43" s="189">
        <f t="shared" ref="AQ43" si="225">AN43/AM43*100</f>
        <v>10.526315789473683</v>
      </c>
      <c r="AR43" s="81">
        <f t="shared" ref="AR43" si="226">AK43/AM43*100</f>
        <v>0</v>
      </c>
      <c r="AS43" s="81">
        <f t="shared" ref="AS43" si="227">AL43/AM43*100</f>
        <v>100</v>
      </c>
      <c r="AT43" s="81">
        <f t="shared" ref="AT43" si="228">R43/AN43*100</f>
        <v>0</v>
      </c>
      <c r="AU43" s="81">
        <f t="shared" ref="AU43" si="229">U43/AN43*100</f>
        <v>0</v>
      </c>
      <c r="AV43" s="81">
        <f t="shared" ref="AV43" si="230">X43/AN43*100</f>
        <v>100</v>
      </c>
      <c r="AW43" s="81">
        <f t="shared" ref="AW43" si="231">AA43/AN43*100</f>
        <v>0</v>
      </c>
      <c r="AX43" s="81">
        <f t="shared" ref="AX43" si="232">AD43/AN43*100</f>
        <v>0</v>
      </c>
      <c r="AY43" s="81">
        <f t="shared" ref="AY43" si="233">AG43/AN43*100</f>
        <v>0</v>
      </c>
      <c r="AZ43" s="81">
        <f t="shared" ref="AZ43" si="234">AJ43/AN43*100</f>
        <v>0</v>
      </c>
    </row>
    <row r="44" spans="1:52" s="209" customFormat="1" ht="20.25" customHeight="1">
      <c r="A44" s="392"/>
      <c r="B44" s="175" t="s">
        <v>147</v>
      </c>
      <c r="C44" s="203">
        <v>316</v>
      </c>
      <c r="D44" s="103">
        <v>45740</v>
      </c>
      <c r="E44" s="103">
        <v>45744</v>
      </c>
      <c r="F44" s="203">
        <v>80</v>
      </c>
      <c r="G44" s="203">
        <v>0</v>
      </c>
      <c r="H44" s="203">
        <f t="shared" si="133"/>
        <v>80</v>
      </c>
      <c r="I44" s="203">
        <v>0</v>
      </c>
      <c r="J44" s="203">
        <v>0</v>
      </c>
      <c r="K44" s="203">
        <f t="shared" si="134"/>
        <v>80</v>
      </c>
      <c r="L44" s="203">
        <v>0</v>
      </c>
      <c r="M44" s="203">
        <v>0</v>
      </c>
      <c r="N44" s="203">
        <v>80</v>
      </c>
      <c r="O44" s="203">
        <v>0</v>
      </c>
      <c r="P44" s="203">
        <v>0</v>
      </c>
      <c r="Q44" s="203">
        <v>0</v>
      </c>
      <c r="R44" s="203">
        <v>0</v>
      </c>
      <c r="S44" s="203">
        <v>0</v>
      </c>
      <c r="T44" s="203">
        <v>10</v>
      </c>
      <c r="U44" s="203">
        <v>0</v>
      </c>
      <c r="V44" s="203">
        <v>0</v>
      </c>
      <c r="W44" s="203">
        <v>0</v>
      </c>
      <c r="X44" s="203">
        <v>0</v>
      </c>
      <c r="Y44" s="203">
        <v>0</v>
      </c>
      <c r="Z44" s="203">
        <v>3</v>
      </c>
      <c r="AA44" s="203">
        <v>0</v>
      </c>
      <c r="AB44" s="203">
        <v>1</v>
      </c>
      <c r="AC44" s="203">
        <v>7</v>
      </c>
      <c r="AD44" s="203">
        <v>0</v>
      </c>
      <c r="AE44" s="203">
        <v>5</v>
      </c>
      <c r="AF44" s="203">
        <v>132</v>
      </c>
      <c r="AG44" s="203">
        <v>0</v>
      </c>
      <c r="AH44" s="203">
        <v>0</v>
      </c>
      <c r="AI44" s="203">
        <v>0</v>
      </c>
      <c r="AJ44" s="203">
        <v>0</v>
      </c>
      <c r="AK44" s="203">
        <f t="shared" si="127"/>
        <v>6</v>
      </c>
      <c r="AL44" s="203">
        <f t="shared" si="127"/>
        <v>152</v>
      </c>
      <c r="AM44" s="203">
        <f t="shared" si="128"/>
        <v>158</v>
      </c>
      <c r="AN44" s="203">
        <f t="shared" si="129"/>
        <v>0</v>
      </c>
      <c r="AO44" s="189">
        <f t="shared" si="130"/>
        <v>0</v>
      </c>
      <c r="AP44" s="189">
        <f t="shared" si="131"/>
        <v>0</v>
      </c>
      <c r="AQ44" s="189">
        <f t="shared" si="132"/>
        <v>0</v>
      </c>
      <c r="AR44" s="81">
        <f t="shared" si="109"/>
        <v>3.79746835443038</v>
      </c>
      <c r="AS44" s="81">
        <f t="shared" si="110"/>
        <v>96.202531645569621</v>
      </c>
      <c r="AT44" s="81" t="e">
        <f t="shared" si="111"/>
        <v>#DIV/0!</v>
      </c>
      <c r="AU44" s="81" t="e">
        <f t="shared" si="112"/>
        <v>#DIV/0!</v>
      </c>
      <c r="AV44" s="81" t="e">
        <f t="shared" si="113"/>
        <v>#DIV/0!</v>
      </c>
      <c r="AW44" s="81" t="e">
        <f t="shared" si="30"/>
        <v>#DIV/0!</v>
      </c>
      <c r="AX44" s="81" t="e">
        <f t="shared" si="114"/>
        <v>#DIV/0!</v>
      </c>
      <c r="AY44" s="81" t="e">
        <f t="shared" si="115"/>
        <v>#DIV/0!</v>
      </c>
      <c r="AZ44" s="81" t="e">
        <f t="shared" si="116"/>
        <v>#DIV/0!</v>
      </c>
    </row>
    <row r="45" spans="1:52" s="209" customFormat="1" ht="20.25" customHeight="1">
      <c r="A45" s="393" t="s">
        <v>246</v>
      </c>
      <c r="B45" s="202" t="s">
        <v>220</v>
      </c>
      <c r="C45" s="203">
        <v>30</v>
      </c>
      <c r="D45" s="103">
        <v>45733</v>
      </c>
      <c r="E45" s="103">
        <v>45736</v>
      </c>
      <c r="F45" s="203">
        <v>12</v>
      </c>
      <c r="G45" s="203">
        <v>0</v>
      </c>
      <c r="H45" s="203">
        <f t="shared" ref="H45:H60" si="235">F45+G45</f>
        <v>12</v>
      </c>
      <c r="I45" s="203">
        <v>0</v>
      </c>
      <c r="J45" s="203">
        <v>0</v>
      </c>
      <c r="K45" s="203">
        <f t="shared" ref="K45:K60" si="236">H45+I45+J45</f>
        <v>12</v>
      </c>
      <c r="L45" s="203">
        <v>0</v>
      </c>
      <c r="M45" s="203">
        <v>0</v>
      </c>
      <c r="N45" s="203">
        <v>12</v>
      </c>
      <c r="O45" s="203">
        <v>1</v>
      </c>
      <c r="P45" s="203">
        <v>0</v>
      </c>
      <c r="Q45" s="203">
        <v>0</v>
      </c>
      <c r="R45" s="203">
        <v>0</v>
      </c>
      <c r="S45" s="203">
        <v>0</v>
      </c>
      <c r="T45" s="203">
        <v>3</v>
      </c>
      <c r="U45" s="203">
        <v>0</v>
      </c>
      <c r="V45" s="203">
        <v>0</v>
      </c>
      <c r="W45" s="203">
        <v>4</v>
      </c>
      <c r="X45" s="203">
        <v>0</v>
      </c>
      <c r="Y45" s="203">
        <v>0</v>
      </c>
      <c r="Z45" s="203">
        <v>0</v>
      </c>
      <c r="AA45" s="203">
        <v>0</v>
      </c>
      <c r="AB45" s="203">
        <v>0</v>
      </c>
      <c r="AC45" s="203">
        <v>7</v>
      </c>
      <c r="AD45" s="203">
        <v>1</v>
      </c>
      <c r="AE45" s="203">
        <v>0</v>
      </c>
      <c r="AF45" s="203">
        <v>8</v>
      </c>
      <c r="AG45" s="203">
        <v>0</v>
      </c>
      <c r="AH45" s="203">
        <v>0</v>
      </c>
      <c r="AI45" s="203">
        <v>0</v>
      </c>
      <c r="AJ45" s="203">
        <v>0</v>
      </c>
      <c r="AK45" s="203">
        <f t="shared" ref="AK45:AK47" si="237">P45+S45+V45+Y45+AB45+AE45+AH45</f>
        <v>0</v>
      </c>
      <c r="AL45" s="203">
        <f t="shared" ref="AL45:AL47" si="238">Q45+T45+W45+Z45+AC45+AF45+AI45</f>
        <v>22</v>
      </c>
      <c r="AM45" s="203">
        <f t="shared" ref="AM45:AM47" si="239">AK45+AL45</f>
        <v>22</v>
      </c>
      <c r="AN45" s="203">
        <f t="shared" ref="AN45:AN47" si="240">R45+U45+X45+AA45+AD45+AG45+AJ45</f>
        <v>1</v>
      </c>
      <c r="AO45" s="189">
        <f t="shared" ref="AO45:AO47" si="241">O45/H45*100</f>
        <v>8.3333333333333321</v>
      </c>
      <c r="AP45" s="189">
        <f t="shared" ref="AP45:AP47" si="242">AN45/H45*100</f>
        <v>8.3333333333333321</v>
      </c>
      <c r="AQ45" s="189">
        <f t="shared" ref="AQ45:AQ47" si="243">AN45/AM45*100</f>
        <v>4.5454545454545459</v>
      </c>
      <c r="AR45" s="81">
        <f t="shared" ref="AR45:AR47" si="244">AK45/AM45*100</f>
        <v>0</v>
      </c>
      <c r="AS45" s="81">
        <f t="shared" ref="AS45:AS47" si="245">AL45/AM45*100</f>
        <v>100</v>
      </c>
      <c r="AT45" s="81">
        <f t="shared" ref="AT45:AT47" si="246">R45/AN45*100</f>
        <v>0</v>
      </c>
      <c r="AU45" s="81">
        <f t="shared" ref="AU45:AU47" si="247">U45/AN45*100</f>
        <v>0</v>
      </c>
      <c r="AV45" s="81">
        <f t="shared" ref="AV45:AV47" si="248">X45/AN45*100</f>
        <v>0</v>
      </c>
      <c r="AW45" s="81">
        <f t="shared" ref="AW45:AW47" si="249">AA45/AN45*100</f>
        <v>0</v>
      </c>
      <c r="AX45" s="81">
        <f t="shared" ref="AX45:AX47" si="250">AD45/AN45*100</f>
        <v>100</v>
      </c>
      <c r="AY45" s="81">
        <f t="shared" ref="AY45:AY47" si="251">AG45/AN45*100</f>
        <v>0</v>
      </c>
      <c r="AZ45" s="81">
        <f t="shared" ref="AZ45:AZ47" si="252">AJ45/AN45*100</f>
        <v>0</v>
      </c>
    </row>
    <row r="46" spans="1:52" s="209" customFormat="1" ht="20.25" customHeight="1">
      <c r="A46" s="391"/>
      <c r="B46" s="175" t="s">
        <v>220</v>
      </c>
      <c r="C46" s="203">
        <v>77</v>
      </c>
      <c r="D46" s="103">
        <v>45733</v>
      </c>
      <c r="E46" s="103">
        <v>45733</v>
      </c>
      <c r="F46" s="203">
        <v>33</v>
      </c>
      <c r="G46" s="203">
        <v>0</v>
      </c>
      <c r="H46" s="203">
        <f t="shared" si="235"/>
        <v>33</v>
      </c>
      <c r="I46" s="203">
        <v>0</v>
      </c>
      <c r="J46" s="203">
        <v>0</v>
      </c>
      <c r="K46" s="203">
        <f t="shared" si="236"/>
        <v>33</v>
      </c>
      <c r="L46" s="203">
        <v>0</v>
      </c>
      <c r="M46" s="203">
        <v>0</v>
      </c>
      <c r="N46" s="203">
        <v>33</v>
      </c>
      <c r="O46" s="203">
        <v>2</v>
      </c>
      <c r="P46" s="203">
        <v>0</v>
      </c>
      <c r="Q46" s="203">
        <v>0</v>
      </c>
      <c r="R46" s="203">
        <v>0</v>
      </c>
      <c r="S46" s="203">
        <v>0</v>
      </c>
      <c r="T46" s="203">
        <v>3</v>
      </c>
      <c r="U46" s="203">
        <v>0</v>
      </c>
      <c r="V46" s="203">
        <v>0</v>
      </c>
      <c r="W46" s="203">
        <v>4</v>
      </c>
      <c r="X46" s="203">
        <v>4</v>
      </c>
      <c r="Y46" s="203">
        <v>0</v>
      </c>
      <c r="Z46" s="203">
        <v>0</v>
      </c>
      <c r="AA46" s="203">
        <v>0</v>
      </c>
      <c r="AB46" s="203">
        <v>0</v>
      </c>
      <c r="AC46" s="203">
        <v>7</v>
      </c>
      <c r="AD46" s="203">
        <v>1</v>
      </c>
      <c r="AE46" s="203">
        <v>0</v>
      </c>
      <c r="AF46" s="203">
        <v>8</v>
      </c>
      <c r="AG46" s="203">
        <v>0</v>
      </c>
      <c r="AH46" s="203">
        <v>0</v>
      </c>
      <c r="AI46" s="203">
        <v>0</v>
      </c>
      <c r="AJ46" s="203">
        <v>0</v>
      </c>
      <c r="AK46" s="203">
        <f t="shared" si="237"/>
        <v>0</v>
      </c>
      <c r="AL46" s="203">
        <f t="shared" si="238"/>
        <v>22</v>
      </c>
      <c r="AM46" s="203">
        <f t="shared" si="239"/>
        <v>22</v>
      </c>
      <c r="AN46" s="203">
        <f t="shared" si="240"/>
        <v>5</v>
      </c>
      <c r="AO46" s="189">
        <f t="shared" si="241"/>
        <v>6.0606060606060606</v>
      </c>
      <c r="AP46" s="189">
        <f t="shared" si="242"/>
        <v>15.151515151515152</v>
      </c>
      <c r="AQ46" s="189">
        <f t="shared" si="243"/>
        <v>22.727272727272727</v>
      </c>
      <c r="AR46" s="81">
        <f t="shared" si="244"/>
        <v>0</v>
      </c>
      <c r="AS46" s="81">
        <f t="shared" si="245"/>
        <v>100</v>
      </c>
      <c r="AT46" s="81">
        <f t="shared" si="246"/>
        <v>0</v>
      </c>
      <c r="AU46" s="81">
        <f t="shared" si="247"/>
        <v>0</v>
      </c>
      <c r="AV46" s="81">
        <f t="shared" si="248"/>
        <v>80</v>
      </c>
      <c r="AW46" s="81">
        <f t="shared" si="249"/>
        <v>0</v>
      </c>
      <c r="AX46" s="81">
        <f t="shared" si="250"/>
        <v>20</v>
      </c>
      <c r="AY46" s="81">
        <f t="shared" si="251"/>
        <v>0</v>
      </c>
      <c r="AZ46" s="81">
        <f t="shared" si="252"/>
        <v>0</v>
      </c>
    </row>
    <row r="47" spans="1:52" s="209" customFormat="1" ht="20.25" customHeight="1">
      <c r="A47" s="392"/>
      <c r="B47" s="202" t="s">
        <v>219</v>
      </c>
      <c r="C47" s="203">
        <v>21</v>
      </c>
      <c r="D47" s="103">
        <v>45727</v>
      </c>
      <c r="E47" s="103">
        <v>45727</v>
      </c>
      <c r="F47" s="203">
        <v>5</v>
      </c>
      <c r="G47" s="203">
        <v>0</v>
      </c>
      <c r="H47" s="203">
        <f t="shared" si="235"/>
        <v>5</v>
      </c>
      <c r="I47" s="203">
        <v>0</v>
      </c>
      <c r="J47" s="203">
        <v>0</v>
      </c>
      <c r="K47" s="203">
        <f t="shared" si="236"/>
        <v>5</v>
      </c>
      <c r="L47" s="203">
        <v>0</v>
      </c>
      <c r="M47" s="203">
        <v>0</v>
      </c>
      <c r="N47" s="203">
        <v>5</v>
      </c>
      <c r="O47" s="203">
        <v>0</v>
      </c>
      <c r="P47" s="203">
        <v>0</v>
      </c>
      <c r="Q47" s="203">
        <v>0</v>
      </c>
      <c r="R47" s="203">
        <v>0</v>
      </c>
      <c r="S47" s="203">
        <v>0</v>
      </c>
      <c r="T47" s="203">
        <v>0</v>
      </c>
      <c r="U47" s="203">
        <v>0</v>
      </c>
      <c r="V47" s="203">
        <v>0</v>
      </c>
      <c r="W47" s="203">
        <v>7</v>
      </c>
      <c r="X47" s="203">
        <v>0</v>
      </c>
      <c r="Y47" s="203">
        <v>0</v>
      </c>
      <c r="Z47" s="203">
        <v>0</v>
      </c>
      <c r="AA47" s="203">
        <v>0</v>
      </c>
      <c r="AB47" s="203">
        <v>0</v>
      </c>
      <c r="AC47" s="203">
        <v>1</v>
      </c>
      <c r="AD47" s="203">
        <v>0</v>
      </c>
      <c r="AE47" s="203">
        <v>0</v>
      </c>
      <c r="AF47" s="203">
        <v>0</v>
      </c>
      <c r="AG47" s="203">
        <v>0</v>
      </c>
      <c r="AH47" s="203">
        <v>0</v>
      </c>
      <c r="AI47" s="203">
        <v>0</v>
      </c>
      <c r="AJ47" s="203">
        <v>0</v>
      </c>
      <c r="AK47" s="203">
        <f t="shared" si="237"/>
        <v>0</v>
      </c>
      <c r="AL47" s="203">
        <f t="shared" si="238"/>
        <v>8</v>
      </c>
      <c r="AM47" s="203">
        <f t="shared" si="239"/>
        <v>8</v>
      </c>
      <c r="AN47" s="203">
        <f t="shared" si="240"/>
        <v>0</v>
      </c>
      <c r="AO47" s="189">
        <f t="shared" si="241"/>
        <v>0</v>
      </c>
      <c r="AP47" s="189">
        <f t="shared" si="242"/>
        <v>0</v>
      </c>
      <c r="AQ47" s="189">
        <f t="shared" si="243"/>
        <v>0</v>
      </c>
      <c r="AR47" s="81">
        <f t="shared" si="244"/>
        <v>0</v>
      </c>
      <c r="AS47" s="81">
        <f t="shared" si="245"/>
        <v>100</v>
      </c>
      <c r="AT47" s="81" t="e">
        <f t="shared" si="246"/>
        <v>#DIV/0!</v>
      </c>
      <c r="AU47" s="81" t="e">
        <f t="shared" si="247"/>
        <v>#DIV/0!</v>
      </c>
      <c r="AV47" s="81" t="e">
        <f t="shared" si="248"/>
        <v>#DIV/0!</v>
      </c>
      <c r="AW47" s="81" t="e">
        <f t="shared" si="249"/>
        <v>#DIV/0!</v>
      </c>
      <c r="AX47" s="81" t="e">
        <f t="shared" si="250"/>
        <v>#DIV/0!</v>
      </c>
      <c r="AY47" s="81" t="e">
        <f t="shared" si="251"/>
        <v>#DIV/0!</v>
      </c>
      <c r="AZ47" s="81" t="e">
        <f t="shared" si="252"/>
        <v>#DIV/0!</v>
      </c>
    </row>
    <row r="48" spans="1:52" s="3" customFormat="1" ht="20.25" customHeight="1">
      <c r="A48" s="266" t="s">
        <v>103</v>
      </c>
      <c r="B48" s="83">
        <f>COUNTA(B31:B47)-1</f>
        <v>16</v>
      </c>
      <c r="C48" s="83">
        <f>C30+C39+C46+C47</f>
        <v>2754</v>
      </c>
      <c r="D48" s="104">
        <f>MIN(D31:D47)</f>
        <v>45717</v>
      </c>
      <c r="E48" s="104">
        <f>MAX(E31:E47)</f>
        <v>45747</v>
      </c>
      <c r="F48" s="83">
        <f>F30+F39+F46+F47</f>
        <v>730</v>
      </c>
      <c r="G48" s="83">
        <f t="shared" ref="G48:AJ48" si="253">G30+G39+G46+G47</f>
        <v>0</v>
      </c>
      <c r="H48" s="83">
        <f t="shared" si="253"/>
        <v>730</v>
      </c>
      <c r="I48" s="83">
        <f t="shared" si="253"/>
        <v>0</v>
      </c>
      <c r="J48" s="83">
        <f t="shared" si="253"/>
        <v>0</v>
      </c>
      <c r="K48" s="83">
        <f t="shared" si="253"/>
        <v>730</v>
      </c>
      <c r="L48" s="83">
        <f t="shared" si="253"/>
        <v>0</v>
      </c>
      <c r="M48" s="83">
        <f t="shared" si="253"/>
        <v>0</v>
      </c>
      <c r="N48" s="83">
        <f t="shared" si="253"/>
        <v>730</v>
      </c>
      <c r="O48" s="83">
        <f>O30+O39+O46+O47</f>
        <v>55</v>
      </c>
      <c r="P48" s="83">
        <f t="shared" si="253"/>
        <v>0</v>
      </c>
      <c r="Q48" s="83">
        <f t="shared" si="253"/>
        <v>0</v>
      </c>
      <c r="R48" s="83">
        <f t="shared" si="253"/>
        <v>0</v>
      </c>
      <c r="S48" s="83">
        <f t="shared" si="253"/>
        <v>0</v>
      </c>
      <c r="T48" s="83">
        <f t="shared" si="253"/>
        <v>34</v>
      </c>
      <c r="U48" s="83">
        <f t="shared" si="253"/>
        <v>3</v>
      </c>
      <c r="V48" s="83">
        <f t="shared" si="253"/>
        <v>23</v>
      </c>
      <c r="W48" s="83">
        <f t="shared" si="253"/>
        <v>160</v>
      </c>
      <c r="X48" s="83">
        <f t="shared" si="253"/>
        <v>26</v>
      </c>
      <c r="Y48" s="83">
        <f t="shared" si="253"/>
        <v>7</v>
      </c>
      <c r="Z48" s="83">
        <f t="shared" si="253"/>
        <v>52</v>
      </c>
      <c r="AA48" s="83">
        <f t="shared" si="253"/>
        <v>1</v>
      </c>
      <c r="AB48" s="83">
        <f t="shared" si="253"/>
        <v>7</v>
      </c>
      <c r="AC48" s="83">
        <f t="shared" si="253"/>
        <v>187</v>
      </c>
      <c r="AD48" s="83">
        <f t="shared" si="253"/>
        <v>32</v>
      </c>
      <c r="AE48" s="83">
        <f t="shared" si="253"/>
        <v>85</v>
      </c>
      <c r="AF48" s="83">
        <f t="shared" si="253"/>
        <v>533</v>
      </c>
      <c r="AG48" s="83">
        <f t="shared" si="253"/>
        <v>19</v>
      </c>
      <c r="AH48" s="83">
        <f t="shared" si="253"/>
        <v>0</v>
      </c>
      <c r="AI48" s="83">
        <f t="shared" si="253"/>
        <v>0</v>
      </c>
      <c r="AJ48" s="83">
        <f t="shared" si="253"/>
        <v>0</v>
      </c>
      <c r="AK48" s="83">
        <f>P48+S48+V48+Y48+AB48+AE48+AH48</f>
        <v>122</v>
      </c>
      <c r="AL48" s="83">
        <f>Q48+T48+W48+Z48+AC48+AF48+AI48</f>
        <v>966</v>
      </c>
      <c r="AM48" s="83">
        <f>AK48+AL48</f>
        <v>1088</v>
      </c>
      <c r="AN48" s="83">
        <f>R48+U48+X48+AA48+AD48+AG48+AJ48</f>
        <v>81</v>
      </c>
      <c r="AO48" s="190">
        <f>O48/H48*100</f>
        <v>7.5342465753424657</v>
      </c>
      <c r="AP48" s="190">
        <f>AN48/H48*100</f>
        <v>11.095890410958905</v>
      </c>
      <c r="AQ48" s="190">
        <f>AN48/AM48*100</f>
        <v>7.4448529411764701</v>
      </c>
      <c r="AR48" s="85">
        <f>AK48/AM48*100</f>
        <v>11.213235294117647</v>
      </c>
      <c r="AS48" s="85">
        <f>AL48/AM48*100</f>
        <v>88.786764705882348</v>
      </c>
      <c r="AT48" s="85">
        <f t="shared" si="111"/>
        <v>0</v>
      </c>
      <c r="AU48" s="85">
        <f t="shared" si="112"/>
        <v>3.7037037037037033</v>
      </c>
      <c r="AV48" s="85">
        <f t="shared" si="113"/>
        <v>32.098765432098766</v>
      </c>
      <c r="AW48" s="85">
        <f t="shared" si="30"/>
        <v>1.2345679012345678</v>
      </c>
      <c r="AX48" s="85">
        <f t="shared" si="114"/>
        <v>39.506172839506171</v>
      </c>
      <c r="AY48" s="85">
        <f t="shared" si="115"/>
        <v>23.456790123456788</v>
      </c>
      <c r="AZ48" s="85">
        <f t="shared" si="116"/>
        <v>0</v>
      </c>
    </row>
    <row r="49" spans="1:52" s="250" customFormat="1" ht="20.25" customHeight="1">
      <c r="A49" s="267"/>
      <c r="B49" s="77" t="s">
        <v>24</v>
      </c>
      <c r="C49" s="77">
        <f>SUM(C50:C60)-C51-C53</f>
        <v>1809</v>
      </c>
      <c r="D49" s="217">
        <f>MIN(D50:D60)</f>
        <v>45748</v>
      </c>
      <c r="E49" s="217">
        <f>MAX(E50:E60)</f>
        <v>45777</v>
      </c>
      <c r="F49" s="77">
        <f>SUM(F50:F60)-F51-F53</f>
        <v>480</v>
      </c>
      <c r="G49" s="77">
        <f t="shared" ref="G49:AJ49" si="254">SUM(G50:G60)-G51-G53</f>
        <v>0</v>
      </c>
      <c r="H49" s="77">
        <f t="shared" si="254"/>
        <v>480</v>
      </c>
      <c r="I49" s="77">
        <f t="shared" si="254"/>
        <v>0</v>
      </c>
      <c r="J49" s="77">
        <f t="shared" si="254"/>
        <v>0</v>
      </c>
      <c r="K49" s="77">
        <f t="shared" si="254"/>
        <v>480</v>
      </c>
      <c r="L49" s="77">
        <f t="shared" si="254"/>
        <v>0</v>
      </c>
      <c r="M49" s="77">
        <f t="shared" si="254"/>
        <v>0</v>
      </c>
      <c r="N49" s="77">
        <f t="shared" si="254"/>
        <v>480</v>
      </c>
      <c r="O49" s="77">
        <f t="shared" si="254"/>
        <v>41</v>
      </c>
      <c r="P49" s="77">
        <f t="shared" si="254"/>
        <v>0</v>
      </c>
      <c r="Q49" s="77">
        <f t="shared" si="254"/>
        <v>1</v>
      </c>
      <c r="R49" s="77">
        <f t="shared" si="254"/>
        <v>0</v>
      </c>
      <c r="S49" s="77">
        <f t="shared" si="254"/>
        <v>0</v>
      </c>
      <c r="T49" s="77">
        <f t="shared" si="254"/>
        <v>13</v>
      </c>
      <c r="U49" s="77">
        <f t="shared" si="254"/>
        <v>7</v>
      </c>
      <c r="V49" s="77">
        <f t="shared" si="254"/>
        <v>11</v>
      </c>
      <c r="W49" s="77">
        <f t="shared" si="254"/>
        <v>125</v>
      </c>
      <c r="X49" s="77">
        <f t="shared" si="254"/>
        <v>13</v>
      </c>
      <c r="Y49" s="77">
        <f t="shared" si="254"/>
        <v>0</v>
      </c>
      <c r="Z49" s="77">
        <f t="shared" si="254"/>
        <v>50</v>
      </c>
      <c r="AA49" s="77">
        <f t="shared" si="254"/>
        <v>2</v>
      </c>
      <c r="AB49" s="77">
        <f t="shared" si="254"/>
        <v>3</v>
      </c>
      <c r="AC49" s="77">
        <f t="shared" si="254"/>
        <v>149</v>
      </c>
      <c r="AD49" s="77">
        <f t="shared" si="254"/>
        <v>22</v>
      </c>
      <c r="AE49" s="77">
        <f t="shared" si="254"/>
        <v>36</v>
      </c>
      <c r="AF49" s="77">
        <f t="shared" si="254"/>
        <v>120</v>
      </c>
      <c r="AG49" s="77">
        <f t="shared" si="254"/>
        <v>3</v>
      </c>
      <c r="AH49" s="77">
        <f t="shared" si="254"/>
        <v>0</v>
      </c>
      <c r="AI49" s="77">
        <f t="shared" si="254"/>
        <v>9</v>
      </c>
      <c r="AJ49" s="77">
        <f t="shared" si="254"/>
        <v>4</v>
      </c>
      <c r="AK49" s="77">
        <f>P49+S49+V49+Y49+AB49+AE49+AH49</f>
        <v>50</v>
      </c>
      <c r="AL49" s="77">
        <f>Q49+T49+W49+Z49+AC49+AF49+AI49</f>
        <v>467</v>
      </c>
      <c r="AM49" s="77">
        <f>AK49+AL49</f>
        <v>517</v>
      </c>
      <c r="AN49" s="77">
        <f>R49+U49+X49+AA49+AD49+AG49+AJ49</f>
        <v>51</v>
      </c>
      <c r="AO49" s="188">
        <f>O49/H49*100</f>
        <v>8.5416666666666661</v>
      </c>
      <c r="AP49" s="188">
        <f>AN49/H49*100</f>
        <v>10.625</v>
      </c>
      <c r="AQ49" s="188">
        <f>AN49/AM49*100</f>
        <v>9.8646034816247585</v>
      </c>
      <c r="AR49" s="88">
        <f t="shared" ref="AR49" si="255">AK49/AM49*100</f>
        <v>9.6711798839458414</v>
      </c>
      <c r="AS49" s="88">
        <f t="shared" ref="AS49" si="256">AL49/AM49*100</f>
        <v>90.32882011605416</v>
      </c>
      <c r="AT49" s="88">
        <f t="shared" si="111"/>
        <v>0</v>
      </c>
      <c r="AU49" s="88">
        <f t="shared" si="112"/>
        <v>13.725490196078432</v>
      </c>
      <c r="AV49" s="88">
        <f t="shared" si="113"/>
        <v>25.490196078431371</v>
      </c>
      <c r="AW49" s="88">
        <f t="shared" si="30"/>
        <v>3.9215686274509802</v>
      </c>
      <c r="AX49" s="88">
        <f t="shared" si="114"/>
        <v>43.137254901960787</v>
      </c>
      <c r="AY49" s="88">
        <f t="shared" si="115"/>
        <v>5.8823529411764701</v>
      </c>
      <c r="AZ49" s="88">
        <f t="shared" si="116"/>
        <v>7.8431372549019605</v>
      </c>
    </row>
    <row r="50" spans="1:52" s="209" customFormat="1" ht="20.25" customHeight="1">
      <c r="A50" s="397" t="s">
        <v>246</v>
      </c>
      <c r="B50" s="202" t="s">
        <v>131</v>
      </c>
      <c r="C50" s="120">
        <v>527</v>
      </c>
      <c r="D50" s="164">
        <v>45754</v>
      </c>
      <c r="E50" s="164">
        <v>45777</v>
      </c>
      <c r="F50" s="120">
        <v>142</v>
      </c>
      <c r="G50" s="120">
        <v>0</v>
      </c>
      <c r="H50" s="247">
        <f t="shared" si="235"/>
        <v>142</v>
      </c>
      <c r="I50" s="120">
        <v>0</v>
      </c>
      <c r="J50" s="120">
        <v>0</v>
      </c>
      <c r="K50" s="247">
        <f t="shared" si="236"/>
        <v>142</v>
      </c>
      <c r="L50" s="120">
        <v>0</v>
      </c>
      <c r="M50" s="120">
        <v>0</v>
      </c>
      <c r="N50" s="120">
        <v>142</v>
      </c>
      <c r="O50" s="120">
        <v>19</v>
      </c>
      <c r="P50" s="120">
        <v>0</v>
      </c>
      <c r="Q50" s="120">
        <v>0</v>
      </c>
      <c r="R50" s="120">
        <v>0</v>
      </c>
      <c r="S50" s="120">
        <v>0</v>
      </c>
      <c r="T50" s="120">
        <v>5</v>
      </c>
      <c r="U50" s="120">
        <v>4</v>
      </c>
      <c r="V50" s="120">
        <v>6</v>
      </c>
      <c r="W50" s="120">
        <v>33</v>
      </c>
      <c r="X50" s="120">
        <v>6</v>
      </c>
      <c r="Y50" s="120">
        <v>0</v>
      </c>
      <c r="Z50" s="120">
        <v>9</v>
      </c>
      <c r="AA50" s="120">
        <v>0</v>
      </c>
      <c r="AB50" s="120">
        <v>1</v>
      </c>
      <c r="AC50" s="120">
        <v>29</v>
      </c>
      <c r="AD50" s="120">
        <v>13</v>
      </c>
      <c r="AE50" s="120">
        <v>7</v>
      </c>
      <c r="AF50" s="120">
        <v>31</v>
      </c>
      <c r="AG50" s="120">
        <v>1</v>
      </c>
      <c r="AH50" s="120">
        <v>0</v>
      </c>
      <c r="AI50" s="120">
        <v>0</v>
      </c>
      <c r="AJ50" s="120">
        <v>2</v>
      </c>
      <c r="AK50" s="247">
        <f t="shared" ref="AK50:AK58" si="257">P50+S50+V50+Y50+AB50+AE50+AH50</f>
        <v>14</v>
      </c>
      <c r="AL50" s="247">
        <f t="shared" ref="AL50:AL60" si="258">Q50+T50+W50+Z50+AC50+AF50+AI50</f>
        <v>107</v>
      </c>
      <c r="AM50" s="247">
        <f t="shared" ref="AM50:AM60" si="259">AK50+AL50</f>
        <v>121</v>
      </c>
      <c r="AN50" s="247">
        <f t="shared" ref="AN50:AN60" si="260">R50+U50+X50+AA50+AD50+AG50+AJ50</f>
        <v>26</v>
      </c>
      <c r="AO50" s="189">
        <f t="shared" ref="AO50:AO60" si="261">O50/H50*100</f>
        <v>13.380281690140844</v>
      </c>
      <c r="AP50" s="189">
        <f t="shared" ref="AP50:AP60" si="262">AN50/H50*100</f>
        <v>18.30985915492958</v>
      </c>
      <c r="AQ50" s="189">
        <f t="shared" ref="AQ50:AQ60" si="263">AN50/AM50*100</f>
        <v>21.487603305785125</v>
      </c>
      <c r="AR50" s="81">
        <f t="shared" ref="AR50:AR61" si="264">AK50/AM50*100</f>
        <v>11.570247933884298</v>
      </c>
      <c r="AS50" s="81">
        <f t="shared" ref="AS50:AS61" si="265">AL50/AM50*100</f>
        <v>88.429752066115711</v>
      </c>
      <c r="AT50" s="81">
        <f t="shared" ref="AT50:AT72" si="266">R50/AN50*100</f>
        <v>0</v>
      </c>
      <c r="AU50" s="81">
        <f t="shared" ref="AU50:AU72" si="267">U50/AN50*100</f>
        <v>15.384615384615385</v>
      </c>
      <c r="AV50" s="81">
        <f t="shared" ref="AV50:AV72" si="268">X50/AN50*100</f>
        <v>23.076923076923077</v>
      </c>
      <c r="AW50" s="81">
        <f t="shared" ref="AW50:AW72" si="269">AA50/AN50*100</f>
        <v>0</v>
      </c>
      <c r="AX50" s="81">
        <f t="shared" ref="AX50:AX72" si="270">AD50/AN50*100</f>
        <v>50</v>
      </c>
      <c r="AY50" s="81">
        <f t="shared" ref="AY50:AY72" si="271">AG50/AN50*100</f>
        <v>3.8461538461538463</v>
      </c>
      <c r="AZ50" s="81">
        <f t="shared" ref="AZ50:AZ72" si="272">AJ50/AN50*100</f>
        <v>7.6923076923076925</v>
      </c>
    </row>
    <row r="51" spans="1:52" s="209" customFormat="1" ht="20.25" customHeight="1">
      <c r="A51" s="397"/>
      <c r="B51" s="175" t="s">
        <v>165</v>
      </c>
      <c r="C51" s="120">
        <v>257</v>
      </c>
      <c r="D51" s="164">
        <v>45754</v>
      </c>
      <c r="E51" s="164">
        <v>45768</v>
      </c>
      <c r="F51" s="120">
        <v>76</v>
      </c>
      <c r="G51" s="120">
        <v>0</v>
      </c>
      <c r="H51" s="247">
        <f t="shared" si="235"/>
        <v>76</v>
      </c>
      <c r="I51" s="120">
        <v>0</v>
      </c>
      <c r="J51" s="120">
        <v>0</v>
      </c>
      <c r="K51" s="247">
        <f t="shared" si="236"/>
        <v>76</v>
      </c>
      <c r="L51" s="120">
        <v>0</v>
      </c>
      <c r="M51" s="120">
        <v>0</v>
      </c>
      <c r="N51" s="120">
        <v>76</v>
      </c>
      <c r="O51" s="120">
        <v>8</v>
      </c>
      <c r="P51" s="120">
        <v>0</v>
      </c>
      <c r="Q51" s="120">
        <v>0</v>
      </c>
      <c r="R51" s="120">
        <v>0</v>
      </c>
      <c r="S51" s="120">
        <v>0</v>
      </c>
      <c r="T51" s="120">
        <v>2</v>
      </c>
      <c r="U51" s="120">
        <v>3</v>
      </c>
      <c r="V51" s="120">
        <v>0</v>
      </c>
      <c r="W51" s="120">
        <v>35</v>
      </c>
      <c r="X51" s="120">
        <v>1</v>
      </c>
      <c r="Y51" s="120">
        <v>0</v>
      </c>
      <c r="Z51" s="120">
        <v>7</v>
      </c>
      <c r="AA51" s="120">
        <v>1</v>
      </c>
      <c r="AB51" s="120">
        <v>0</v>
      </c>
      <c r="AC51" s="120">
        <v>43</v>
      </c>
      <c r="AD51" s="120">
        <v>4</v>
      </c>
      <c r="AE51" s="120">
        <v>0</v>
      </c>
      <c r="AF51" s="120">
        <v>16</v>
      </c>
      <c r="AG51" s="120">
        <v>0</v>
      </c>
      <c r="AH51" s="120">
        <v>0</v>
      </c>
      <c r="AI51" s="120">
        <v>6</v>
      </c>
      <c r="AJ51" s="120">
        <v>1</v>
      </c>
      <c r="AK51" s="247">
        <f t="shared" si="257"/>
        <v>0</v>
      </c>
      <c r="AL51" s="247">
        <f t="shared" si="258"/>
        <v>109</v>
      </c>
      <c r="AM51" s="247">
        <f t="shared" si="259"/>
        <v>109</v>
      </c>
      <c r="AN51" s="247">
        <f t="shared" si="260"/>
        <v>10</v>
      </c>
      <c r="AO51" s="189">
        <f t="shared" si="261"/>
        <v>10.526315789473683</v>
      </c>
      <c r="AP51" s="189">
        <f t="shared" si="262"/>
        <v>13.157894736842104</v>
      </c>
      <c r="AQ51" s="189">
        <f t="shared" si="263"/>
        <v>9.1743119266055047</v>
      </c>
      <c r="AR51" s="81">
        <f t="shared" si="264"/>
        <v>0</v>
      </c>
      <c r="AS51" s="81">
        <f t="shared" si="265"/>
        <v>100</v>
      </c>
      <c r="AT51" s="81">
        <f t="shared" si="266"/>
        <v>0</v>
      </c>
      <c r="AU51" s="81">
        <f t="shared" si="267"/>
        <v>30</v>
      </c>
      <c r="AV51" s="81">
        <f t="shared" si="268"/>
        <v>10</v>
      </c>
      <c r="AW51" s="81">
        <f t="shared" si="269"/>
        <v>10</v>
      </c>
      <c r="AX51" s="81">
        <f t="shared" si="270"/>
        <v>40</v>
      </c>
      <c r="AY51" s="81">
        <f t="shared" si="271"/>
        <v>0</v>
      </c>
      <c r="AZ51" s="81">
        <f t="shared" si="272"/>
        <v>10</v>
      </c>
    </row>
    <row r="52" spans="1:52" s="209" customFormat="1" ht="20.25" customHeight="1">
      <c r="A52" s="397"/>
      <c r="B52" s="175" t="s">
        <v>165</v>
      </c>
      <c r="C52" s="246">
        <v>395</v>
      </c>
      <c r="D52" s="164">
        <v>45772</v>
      </c>
      <c r="E52" s="164">
        <v>45777</v>
      </c>
      <c r="F52" s="120">
        <v>100</v>
      </c>
      <c r="G52" s="120">
        <v>0</v>
      </c>
      <c r="H52" s="247">
        <f t="shared" ref="H52" si="273">F52+G52</f>
        <v>100</v>
      </c>
      <c r="I52" s="120">
        <v>0</v>
      </c>
      <c r="J52" s="120">
        <v>0</v>
      </c>
      <c r="K52" s="247">
        <f t="shared" ref="K52" si="274">H52+I52+J52</f>
        <v>100</v>
      </c>
      <c r="L52" s="120">
        <v>0</v>
      </c>
      <c r="M52" s="120">
        <v>0</v>
      </c>
      <c r="N52" s="120">
        <v>100</v>
      </c>
      <c r="O52" s="120">
        <v>5</v>
      </c>
      <c r="P52" s="120">
        <v>0</v>
      </c>
      <c r="Q52" s="120">
        <v>0</v>
      </c>
      <c r="R52" s="120">
        <v>0</v>
      </c>
      <c r="S52" s="120">
        <v>0</v>
      </c>
      <c r="T52" s="120">
        <v>4</v>
      </c>
      <c r="U52" s="120">
        <v>0</v>
      </c>
      <c r="V52" s="120">
        <v>1</v>
      </c>
      <c r="W52" s="120">
        <v>4</v>
      </c>
      <c r="X52" s="120">
        <v>1</v>
      </c>
      <c r="Y52" s="120">
        <v>0</v>
      </c>
      <c r="Z52" s="120">
        <v>16</v>
      </c>
      <c r="AA52" s="120">
        <v>0</v>
      </c>
      <c r="AB52" s="120">
        <v>2</v>
      </c>
      <c r="AC52" s="120">
        <v>12</v>
      </c>
      <c r="AD52" s="120">
        <v>4</v>
      </c>
      <c r="AE52" s="120">
        <v>29</v>
      </c>
      <c r="AF52" s="120">
        <v>60</v>
      </c>
      <c r="AG52" s="120">
        <v>1</v>
      </c>
      <c r="AH52" s="120">
        <v>0</v>
      </c>
      <c r="AI52" s="120">
        <v>0</v>
      </c>
      <c r="AJ52" s="120">
        <v>0</v>
      </c>
      <c r="AK52" s="247">
        <f t="shared" ref="AK52" si="275">P52+S52+V52+Y52+AB52+AE52+AH52</f>
        <v>32</v>
      </c>
      <c r="AL52" s="247">
        <f t="shared" ref="AL52" si="276">Q52+T52+W52+Z52+AC52+AF52+AI52</f>
        <v>96</v>
      </c>
      <c r="AM52" s="247">
        <f t="shared" ref="AM52" si="277">AK52+AL52</f>
        <v>128</v>
      </c>
      <c r="AN52" s="247">
        <f t="shared" ref="AN52" si="278">R52+U52+X52+AA52+AD52+AG52+AJ52</f>
        <v>6</v>
      </c>
      <c r="AO52" s="189">
        <f t="shared" ref="AO52" si="279">O52/H52*100</f>
        <v>5</v>
      </c>
      <c r="AP52" s="189">
        <f t="shared" ref="AP52" si="280">AN52/H52*100</f>
        <v>6</v>
      </c>
      <c r="AQ52" s="189">
        <f t="shared" ref="AQ52" si="281">AN52/AM52*100</f>
        <v>4.6875</v>
      </c>
      <c r="AR52" s="81">
        <f t="shared" ref="AR52" si="282">AK52/AM52*100</f>
        <v>25</v>
      </c>
      <c r="AS52" s="81">
        <f t="shared" ref="AS52" si="283">AL52/AM52*100</f>
        <v>75</v>
      </c>
      <c r="AT52" s="81">
        <f t="shared" ref="AT52" si="284">R52/AN52*100</f>
        <v>0</v>
      </c>
      <c r="AU52" s="81">
        <f t="shared" ref="AU52" si="285">U52/AN52*100</f>
        <v>0</v>
      </c>
      <c r="AV52" s="81">
        <f t="shared" ref="AV52" si="286">X52/AN52*100</f>
        <v>16.666666666666664</v>
      </c>
      <c r="AW52" s="81">
        <f t="shared" ref="AW52" si="287">AA52/AN52*100</f>
        <v>0</v>
      </c>
      <c r="AX52" s="81">
        <f t="shared" ref="AX52" si="288">AD52/AN52*100</f>
        <v>66.666666666666657</v>
      </c>
      <c r="AY52" s="81">
        <f t="shared" ref="AY52" si="289">AG52/AN52*100</f>
        <v>16.666666666666664</v>
      </c>
      <c r="AZ52" s="81">
        <f t="shared" ref="AZ52" si="290">AJ52/AN52*100</f>
        <v>0</v>
      </c>
    </row>
    <row r="53" spans="1:52" s="209" customFormat="1" ht="20.25" customHeight="1">
      <c r="A53" s="397"/>
      <c r="B53" s="175" t="s">
        <v>188</v>
      </c>
      <c r="C53" s="120">
        <v>1037</v>
      </c>
      <c r="D53" s="164">
        <v>45748</v>
      </c>
      <c r="E53" s="164">
        <v>45771</v>
      </c>
      <c r="F53" s="120">
        <v>240</v>
      </c>
      <c r="G53" s="120">
        <v>0</v>
      </c>
      <c r="H53" s="247">
        <f t="shared" si="235"/>
        <v>240</v>
      </c>
      <c r="I53" s="120">
        <v>0</v>
      </c>
      <c r="J53" s="120">
        <v>0</v>
      </c>
      <c r="K53" s="247">
        <f t="shared" si="236"/>
        <v>240</v>
      </c>
      <c r="L53" s="120">
        <v>0</v>
      </c>
      <c r="M53" s="120">
        <v>0</v>
      </c>
      <c r="N53" s="120">
        <v>240</v>
      </c>
      <c r="O53" s="120">
        <v>17</v>
      </c>
      <c r="P53" s="120">
        <v>0</v>
      </c>
      <c r="Q53" s="120">
        <v>0</v>
      </c>
      <c r="R53" s="120">
        <v>0</v>
      </c>
      <c r="S53" s="120">
        <v>0</v>
      </c>
      <c r="T53" s="120">
        <v>12</v>
      </c>
      <c r="U53" s="120">
        <v>1</v>
      </c>
      <c r="V53" s="120">
        <v>0</v>
      </c>
      <c r="W53" s="120">
        <v>0</v>
      </c>
      <c r="X53" s="120">
        <v>0</v>
      </c>
      <c r="Y53" s="120">
        <v>0</v>
      </c>
      <c r="Z53" s="120">
        <v>7</v>
      </c>
      <c r="AA53" s="120">
        <v>0</v>
      </c>
      <c r="AB53" s="120">
        <v>0</v>
      </c>
      <c r="AC53" s="120">
        <v>31</v>
      </c>
      <c r="AD53" s="120">
        <v>15</v>
      </c>
      <c r="AE53" s="120">
        <v>0</v>
      </c>
      <c r="AF53" s="120">
        <v>314</v>
      </c>
      <c r="AG53" s="120">
        <v>6</v>
      </c>
      <c r="AH53" s="120">
        <v>0</v>
      </c>
      <c r="AI53" s="120">
        <v>0</v>
      </c>
      <c r="AJ53" s="120">
        <v>0</v>
      </c>
      <c r="AK53" s="247">
        <f t="shared" si="257"/>
        <v>0</v>
      </c>
      <c r="AL53" s="247">
        <f t="shared" si="258"/>
        <v>364</v>
      </c>
      <c r="AM53" s="247">
        <f t="shared" si="259"/>
        <v>364</v>
      </c>
      <c r="AN53" s="247">
        <f t="shared" si="260"/>
        <v>22</v>
      </c>
      <c r="AO53" s="189">
        <f t="shared" si="261"/>
        <v>7.083333333333333</v>
      </c>
      <c r="AP53" s="189">
        <f t="shared" si="262"/>
        <v>9.1666666666666661</v>
      </c>
      <c r="AQ53" s="189">
        <f t="shared" si="263"/>
        <v>6.0439560439560438</v>
      </c>
      <c r="AR53" s="81">
        <f t="shared" si="264"/>
        <v>0</v>
      </c>
      <c r="AS53" s="81">
        <f t="shared" si="265"/>
        <v>100</v>
      </c>
      <c r="AT53" s="81">
        <f t="shared" si="266"/>
        <v>0</v>
      </c>
      <c r="AU53" s="81">
        <f t="shared" si="267"/>
        <v>4.5454545454545459</v>
      </c>
      <c r="AV53" s="81">
        <f t="shared" si="268"/>
        <v>0</v>
      </c>
      <c r="AW53" s="81">
        <f t="shared" si="269"/>
        <v>0</v>
      </c>
      <c r="AX53" s="81">
        <f t="shared" si="270"/>
        <v>68.181818181818173</v>
      </c>
      <c r="AY53" s="81">
        <f t="shared" si="271"/>
        <v>27.27272727272727</v>
      </c>
      <c r="AZ53" s="81">
        <f t="shared" si="272"/>
        <v>0</v>
      </c>
    </row>
    <row r="54" spans="1:52" s="209" customFormat="1" ht="20.25" customHeight="1">
      <c r="A54" s="397"/>
      <c r="B54" s="175" t="s">
        <v>188</v>
      </c>
      <c r="C54" s="120">
        <v>271</v>
      </c>
      <c r="D54" s="164">
        <v>45754</v>
      </c>
      <c r="E54" s="164">
        <v>45768</v>
      </c>
      <c r="F54" s="120">
        <v>74</v>
      </c>
      <c r="G54" s="120">
        <v>0</v>
      </c>
      <c r="H54" s="247">
        <f t="shared" si="235"/>
        <v>74</v>
      </c>
      <c r="I54" s="120">
        <v>0</v>
      </c>
      <c r="J54" s="120">
        <v>0</v>
      </c>
      <c r="K54" s="247">
        <f t="shared" si="236"/>
        <v>74</v>
      </c>
      <c r="L54" s="120">
        <v>0</v>
      </c>
      <c r="M54" s="120">
        <v>0</v>
      </c>
      <c r="N54" s="120">
        <v>74</v>
      </c>
      <c r="O54" s="120">
        <v>4</v>
      </c>
      <c r="P54" s="120">
        <v>0</v>
      </c>
      <c r="Q54" s="120">
        <v>0</v>
      </c>
      <c r="R54" s="120">
        <v>0</v>
      </c>
      <c r="S54" s="120">
        <v>0</v>
      </c>
      <c r="T54" s="120">
        <v>1</v>
      </c>
      <c r="U54" s="120">
        <v>1</v>
      </c>
      <c r="V54" s="120">
        <v>4</v>
      </c>
      <c r="W54" s="120">
        <v>30</v>
      </c>
      <c r="X54" s="120">
        <v>2</v>
      </c>
      <c r="Y54" s="120">
        <v>0</v>
      </c>
      <c r="Z54" s="120">
        <v>5</v>
      </c>
      <c r="AA54" s="120">
        <v>0</v>
      </c>
      <c r="AB54" s="120">
        <v>0</v>
      </c>
      <c r="AC54" s="120">
        <v>44</v>
      </c>
      <c r="AD54" s="120">
        <v>0</v>
      </c>
      <c r="AE54" s="120">
        <v>0</v>
      </c>
      <c r="AF54" s="120">
        <v>8</v>
      </c>
      <c r="AG54" s="120">
        <v>0</v>
      </c>
      <c r="AH54" s="120">
        <v>0</v>
      </c>
      <c r="AI54" s="120">
        <v>5</v>
      </c>
      <c r="AJ54" s="120">
        <v>1</v>
      </c>
      <c r="AK54" s="247">
        <f t="shared" si="257"/>
        <v>4</v>
      </c>
      <c r="AL54" s="247">
        <f t="shared" si="258"/>
        <v>93</v>
      </c>
      <c r="AM54" s="247">
        <f t="shared" si="259"/>
        <v>97</v>
      </c>
      <c r="AN54" s="247">
        <f t="shared" si="260"/>
        <v>4</v>
      </c>
      <c r="AO54" s="189">
        <f t="shared" si="261"/>
        <v>5.4054054054054053</v>
      </c>
      <c r="AP54" s="189">
        <f t="shared" si="262"/>
        <v>5.4054054054054053</v>
      </c>
      <c r="AQ54" s="189">
        <f t="shared" si="263"/>
        <v>4.1237113402061851</v>
      </c>
      <c r="AR54" s="81">
        <f t="shared" si="264"/>
        <v>4.1237113402061851</v>
      </c>
      <c r="AS54" s="81">
        <f t="shared" si="265"/>
        <v>95.876288659793815</v>
      </c>
      <c r="AT54" s="81">
        <f t="shared" si="266"/>
        <v>0</v>
      </c>
      <c r="AU54" s="81">
        <f t="shared" si="267"/>
        <v>25</v>
      </c>
      <c r="AV54" s="81">
        <f t="shared" si="268"/>
        <v>50</v>
      </c>
      <c r="AW54" s="81">
        <f t="shared" si="269"/>
        <v>0</v>
      </c>
      <c r="AX54" s="81">
        <f t="shared" si="270"/>
        <v>0</v>
      </c>
      <c r="AY54" s="81">
        <f t="shared" si="271"/>
        <v>0</v>
      </c>
      <c r="AZ54" s="81">
        <f t="shared" si="272"/>
        <v>25</v>
      </c>
    </row>
    <row r="55" spans="1:52" s="209" customFormat="1" ht="20.25" customHeight="1">
      <c r="A55" s="397"/>
      <c r="B55" s="175" t="s">
        <v>132</v>
      </c>
      <c r="C55" s="120">
        <v>77</v>
      </c>
      <c r="D55" s="164">
        <v>45754</v>
      </c>
      <c r="E55" s="164">
        <v>45770</v>
      </c>
      <c r="F55" s="120">
        <v>19</v>
      </c>
      <c r="G55" s="120">
        <v>0</v>
      </c>
      <c r="H55" s="247">
        <f t="shared" si="235"/>
        <v>19</v>
      </c>
      <c r="I55" s="120">
        <v>0</v>
      </c>
      <c r="J55" s="120">
        <v>0</v>
      </c>
      <c r="K55" s="247">
        <f t="shared" si="236"/>
        <v>19</v>
      </c>
      <c r="L55" s="120">
        <v>0</v>
      </c>
      <c r="M55" s="120">
        <v>0</v>
      </c>
      <c r="N55" s="120">
        <v>19</v>
      </c>
      <c r="O55" s="120">
        <v>0</v>
      </c>
      <c r="P55" s="120">
        <v>0</v>
      </c>
      <c r="Q55" s="120">
        <v>0</v>
      </c>
      <c r="R55" s="120">
        <v>0</v>
      </c>
      <c r="S55" s="120">
        <v>0</v>
      </c>
      <c r="T55" s="120">
        <v>0</v>
      </c>
      <c r="U55" s="120">
        <v>0</v>
      </c>
      <c r="V55" s="120">
        <v>0</v>
      </c>
      <c r="W55" s="120">
        <v>4</v>
      </c>
      <c r="X55" s="120">
        <v>0</v>
      </c>
      <c r="Y55" s="120">
        <v>0</v>
      </c>
      <c r="Z55" s="120">
        <v>6</v>
      </c>
      <c r="AA55" s="120">
        <v>0</v>
      </c>
      <c r="AB55" s="120">
        <v>0</v>
      </c>
      <c r="AC55" s="120">
        <v>2</v>
      </c>
      <c r="AD55" s="120">
        <v>0</v>
      </c>
      <c r="AE55" s="120">
        <v>0</v>
      </c>
      <c r="AF55" s="120">
        <v>0</v>
      </c>
      <c r="AG55" s="120">
        <v>0</v>
      </c>
      <c r="AH55" s="120">
        <v>0</v>
      </c>
      <c r="AI55" s="120">
        <v>0</v>
      </c>
      <c r="AJ55" s="120">
        <v>0</v>
      </c>
      <c r="AK55" s="247">
        <f t="shared" si="257"/>
        <v>0</v>
      </c>
      <c r="AL55" s="247">
        <f t="shared" si="258"/>
        <v>12</v>
      </c>
      <c r="AM55" s="247">
        <f t="shared" si="259"/>
        <v>12</v>
      </c>
      <c r="AN55" s="247">
        <f t="shared" si="260"/>
        <v>0</v>
      </c>
      <c r="AO55" s="189">
        <f t="shared" si="261"/>
        <v>0</v>
      </c>
      <c r="AP55" s="189">
        <f t="shared" si="262"/>
        <v>0</v>
      </c>
      <c r="AQ55" s="189">
        <f t="shared" si="263"/>
        <v>0</v>
      </c>
      <c r="AR55" s="81">
        <f t="shared" si="264"/>
        <v>0</v>
      </c>
      <c r="AS55" s="81">
        <f t="shared" si="265"/>
        <v>100</v>
      </c>
      <c r="AT55" s="81" t="e">
        <f t="shared" si="266"/>
        <v>#DIV/0!</v>
      </c>
      <c r="AU55" s="81" t="e">
        <f t="shared" si="267"/>
        <v>#DIV/0!</v>
      </c>
      <c r="AV55" s="81" t="e">
        <f t="shared" si="268"/>
        <v>#DIV/0!</v>
      </c>
      <c r="AW55" s="81" t="e">
        <f t="shared" si="269"/>
        <v>#DIV/0!</v>
      </c>
      <c r="AX55" s="81" t="e">
        <f t="shared" si="270"/>
        <v>#DIV/0!</v>
      </c>
      <c r="AY55" s="81" t="e">
        <f t="shared" si="271"/>
        <v>#DIV/0!</v>
      </c>
      <c r="AZ55" s="81" t="e">
        <f t="shared" si="272"/>
        <v>#DIV/0!</v>
      </c>
    </row>
    <row r="56" spans="1:52" s="209" customFormat="1" ht="20.25" customHeight="1">
      <c r="A56" s="397"/>
      <c r="B56" s="211" t="s">
        <v>164</v>
      </c>
      <c r="C56" s="120">
        <v>101</v>
      </c>
      <c r="D56" s="164">
        <v>45755</v>
      </c>
      <c r="E56" s="164">
        <v>45772</v>
      </c>
      <c r="F56" s="120">
        <v>29</v>
      </c>
      <c r="G56" s="120">
        <v>0</v>
      </c>
      <c r="H56" s="247">
        <f t="shared" si="235"/>
        <v>29</v>
      </c>
      <c r="I56" s="120">
        <v>0</v>
      </c>
      <c r="J56" s="120">
        <v>0</v>
      </c>
      <c r="K56" s="247">
        <f t="shared" si="236"/>
        <v>29</v>
      </c>
      <c r="L56" s="120">
        <v>0</v>
      </c>
      <c r="M56" s="120">
        <v>0</v>
      </c>
      <c r="N56" s="120">
        <v>29</v>
      </c>
      <c r="O56" s="120">
        <v>2</v>
      </c>
      <c r="P56" s="120">
        <v>0</v>
      </c>
      <c r="Q56" s="120">
        <v>0</v>
      </c>
      <c r="R56" s="120">
        <v>0</v>
      </c>
      <c r="S56" s="120">
        <v>0</v>
      </c>
      <c r="T56" s="120">
        <v>1</v>
      </c>
      <c r="U56" s="120">
        <v>0</v>
      </c>
      <c r="V56" s="120">
        <v>0</v>
      </c>
      <c r="W56" s="120">
        <v>6</v>
      </c>
      <c r="X56" s="120">
        <v>0</v>
      </c>
      <c r="Y56" s="120">
        <v>0</v>
      </c>
      <c r="Z56" s="120">
        <v>0</v>
      </c>
      <c r="AA56" s="120">
        <v>1</v>
      </c>
      <c r="AB56" s="120">
        <v>0</v>
      </c>
      <c r="AC56" s="120">
        <v>11</v>
      </c>
      <c r="AD56" s="120">
        <v>1</v>
      </c>
      <c r="AE56" s="120">
        <v>0</v>
      </c>
      <c r="AF56" s="120">
        <v>3</v>
      </c>
      <c r="AG56" s="120">
        <v>0</v>
      </c>
      <c r="AH56" s="120">
        <v>0</v>
      </c>
      <c r="AI56" s="120">
        <v>0</v>
      </c>
      <c r="AJ56" s="120">
        <v>0</v>
      </c>
      <c r="AK56" s="247">
        <f t="shared" si="257"/>
        <v>0</v>
      </c>
      <c r="AL56" s="247">
        <f t="shared" si="258"/>
        <v>21</v>
      </c>
      <c r="AM56" s="247">
        <f t="shared" si="259"/>
        <v>21</v>
      </c>
      <c r="AN56" s="247">
        <f t="shared" si="260"/>
        <v>2</v>
      </c>
      <c r="AO56" s="189">
        <f t="shared" si="261"/>
        <v>6.8965517241379306</v>
      </c>
      <c r="AP56" s="189">
        <f t="shared" si="262"/>
        <v>6.8965517241379306</v>
      </c>
      <c r="AQ56" s="189">
        <f t="shared" si="263"/>
        <v>9.5238095238095237</v>
      </c>
      <c r="AR56" s="81">
        <f t="shared" si="264"/>
        <v>0</v>
      </c>
      <c r="AS56" s="81">
        <f t="shared" si="265"/>
        <v>100</v>
      </c>
      <c r="AT56" s="81">
        <f t="shared" si="266"/>
        <v>0</v>
      </c>
      <c r="AU56" s="81">
        <f t="shared" si="267"/>
        <v>0</v>
      </c>
      <c r="AV56" s="81">
        <f t="shared" si="268"/>
        <v>0</v>
      </c>
      <c r="AW56" s="81">
        <f t="shared" si="269"/>
        <v>50</v>
      </c>
      <c r="AX56" s="81">
        <f t="shared" si="270"/>
        <v>50</v>
      </c>
      <c r="AY56" s="81">
        <f t="shared" si="271"/>
        <v>0</v>
      </c>
      <c r="AZ56" s="81">
        <f t="shared" si="272"/>
        <v>0</v>
      </c>
    </row>
    <row r="57" spans="1:52" s="209" customFormat="1" ht="20.25" customHeight="1">
      <c r="A57" s="397"/>
      <c r="B57" s="175" t="s">
        <v>251</v>
      </c>
      <c r="C57" s="120">
        <v>57</v>
      </c>
      <c r="D57" s="164">
        <v>45757</v>
      </c>
      <c r="E57" s="164">
        <v>45757</v>
      </c>
      <c r="F57" s="120">
        <v>15</v>
      </c>
      <c r="G57" s="120">
        <v>0</v>
      </c>
      <c r="H57" s="247">
        <f t="shared" si="235"/>
        <v>15</v>
      </c>
      <c r="I57" s="120">
        <v>0</v>
      </c>
      <c r="J57" s="120">
        <v>0</v>
      </c>
      <c r="K57" s="247">
        <f t="shared" si="236"/>
        <v>15</v>
      </c>
      <c r="L57" s="120">
        <v>0</v>
      </c>
      <c r="M57" s="120">
        <v>0</v>
      </c>
      <c r="N57" s="120">
        <v>15</v>
      </c>
      <c r="O57" s="120">
        <v>1</v>
      </c>
      <c r="P57" s="120">
        <v>0</v>
      </c>
      <c r="Q57" s="120">
        <v>0</v>
      </c>
      <c r="R57" s="120">
        <v>0</v>
      </c>
      <c r="S57" s="120">
        <v>0</v>
      </c>
      <c r="T57" s="120">
        <v>0</v>
      </c>
      <c r="U57" s="120">
        <v>0</v>
      </c>
      <c r="V57" s="120">
        <v>0</v>
      </c>
      <c r="W57" s="120">
        <v>1</v>
      </c>
      <c r="X57" s="120">
        <v>0</v>
      </c>
      <c r="Y57" s="120">
        <v>0</v>
      </c>
      <c r="Z57" s="120">
        <v>2</v>
      </c>
      <c r="AA57" s="120">
        <v>0</v>
      </c>
      <c r="AB57" s="120">
        <v>0</v>
      </c>
      <c r="AC57" s="120">
        <v>11</v>
      </c>
      <c r="AD57" s="120">
        <v>1</v>
      </c>
      <c r="AE57" s="120">
        <v>0</v>
      </c>
      <c r="AF57" s="120">
        <v>0</v>
      </c>
      <c r="AG57" s="120">
        <v>0</v>
      </c>
      <c r="AH57" s="120">
        <v>0</v>
      </c>
      <c r="AI57" s="120">
        <v>2</v>
      </c>
      <c r="AJ57" s="120">
        <v>0</v>
      </c>
      <c r="AK57" s="247">
        <f t="shared" si="257"/>
        <v>0</v>
      </c>
      <c r="AL57" s="247">
        <f t="shared" si="258"/>
        <v>16</v>
      </c>
      <c r="AM57" s="247">
        <f t="shared" si="259"/>
        <v>16</v>
      </c>
      <c r="AN57" s="247">
        <f t="shared" si="260"/>
        <v>1</v>
      </c>
      <c r="AO57" s="189">
        <f t="shared" si="261"/>
        <v>6.666666666666667</v>
      </c>
      <c r="AP57" s="189">
        <f t="shared" si="262"/>
        <v>6.666666666666667</v>
      </c>
      <c r="AQ57" s="189">
        <f t="shared" si="263"/>
        <v>6.25</v>
      </c>
      <c r="AR57" s="81">
        <f t="shared" si="264"/>
        <v>0</v>
      </c>
      <c r="AS57" s="81">
        <f t="shared" si="265"/>
        <v>100</v>
      </c>
      <c r="AT57" s="81">
        <f t="shared" si="266"/>
        <v>0</v>
      </c>
      <c r="AU57" s="81">
        <f t="shared" si="267"/>
        <v>0</v>
      </c>
      <c r="AV57" s="81">
        <f t="shared" si="268"/>
        <v>0</v>
      </c>
      <c r="AW57" s="81">
        <f t="shared" si="269"/>
        <v>0</v>
      </c>
      <c r="AX57" s="81">
        <f t="shared" si="270"/>
        <v>100</v>
      </c>
      <c r="AY57" s="81">
        <f t="shared" si="271"/>
        <v>0</v>
      </c>
      <c r="AZ57" s="81">
        <f t="shared" si="272"/>
        <v>0</v>
      </c>
    </row>
    <row r="58" spans="1:52" s="209" customFormat="1" ht="20.25" customHeight="1">
      <c r="A58" s="397"/>
      <c r="B58" s="175" t="s">
        <v>187</v>
      </c>
      <c r="C58" s="120">
        <v>283</v>
      </c>
      <c r="D58" s="164">
        <v>45760</v>
      </c>
      <c r="E58" s="164">
        <v>45771</v>
      </c>
      <c r="F58" s="120">
        <v>76</v>
      </c>
      <c r="G58" s="120">
        <v>0</v>
      </c>
      <c r="H58" s="247">
        <f t="shared" si="235"/>
        <v>76</v>
      </c>
      <c r="I58" s="120">
        <v>0</v>
      </c>
      <c r="J58" s="120">
        <v>0</v>
      </c>
      <c r="K58" s="247">
        <f t="shared" si="236"/>
        <v>76</v>
      </c>
      <c r="L58" s="120">
        <v>0</v>
      </c>
      <c r="M58" s="120">
        <v>0</v>
      </c>
      <c r="N58" s="120">
        <v>76</v>
      </c>
      <c r="O58" s="120">
        <v>8</v>
      </c>
      <c r="P58" s="120">
        <v>0</v>
      </c>
      <c r="Q58" s="120">
        <v>1</v>
      </c>
      <c r="R58" s="120">
        <v>0</v>
      </c>
      <c r="S58" s="120">
        <v>0</v>
      </c>
      <c r="T58" s="120">
        <v>1</v>
      </c>
      <c r="U58" s="120">
        <v>2</v>
      </c>
      <c r="V58" s="120">
        <v>0</v>
      </c>
      <c r="W58" s="120">
        <v>22</v>
      </c>
      <c r="X58" s="120">
        <v>3</v>
      </c>
      <c r="Y58" s="120">
        <v>0</v>
      </c>
      <c r="Z58" s="120">
        <v>8</v>
      </c>
      <c r="AA58" s="120">
        <v>1</v>
      </c>
      <c r="AB58" s="120">
        <v>0</v>
      </c>
      <c r="AC58" s="120">
        <v>20</v>
      </c>
      <c r="AD58" s="120">
        <v>2</v>
      </c>
      <c r="AE58" s="120">
        <v>0</v>
      </c>
      <c r="AF58" s="120">
        <v>11</v>
      </c>
      <c r="AG58" s="120">
        <v>0</v>
      </c>
      <c r="AH58" s="120">
        <v>0</v>
      </c>
      <c r="AI58" s="120">
        <v>2</v>
      </c>
      <c r="AJ58" s="120">
        <v>1</v>
      </c>
      <c r="AK58" s="247">
        <f t="shared" si="257"/>
        <v>0</v>
      </c>
      <c r="AL58" s="247">
        <f t="shared" si="258"/>
        <v>65</v>
      </c>
      <c r="AM58" s="247">
        <f t="shared" si="259"/>
        <v>65</v>
      </c>
      <c r="AN58" s="247">
        <f t="shared" si="260"/>
        <v>9</v>
      </c>
      <c r="AO58" s="189">
        <f t="shared" si="261"/>
        <v>10.526315789473683</v>
      </c>
      <c r="AP58" s="189">
        <f t="shared" si="262"/>
        <v>11.842105263157894</v>
      </c>
      <c r="AQ58" s="189">
        <f t="shared" si="263"/>
        <v>13.846153846153847</v>
      </c>
      <c r="AR58" s="81">
        <f t="shared" si="264"/>
        <v>0</v>
      </c>
      <c r="AS58" s="81">
        <f t="shared" si="265"/>
        <v>100</v>
      </c>
      <c r="AT58" s="81">
        <f t="shared" si="266"/>
        <v>0</v>
      </c>
      <c r="AU58" s="81">
        <f t="shared" si="267"/>
        <v>22.222222222222221</v>
      </c>
      <c r="AV58" s="81">
        <f t="shared" si="268"/>
        <v>33.333333333333329</v>
      </c>
      <c r="AW58" s="81">
        <f t="shared" si="269"/>
        <v>11.111111111111111</v>
      </c>
      <c r="AX58" s="81">
        <f t="shared" si="270"/>
        <v>22.222222222222221</v>
      </c>
      <c r="AY58" s="81">
        <f t="shared" si="271"/>
        <v>0</v>
      </c>
      <c r="AZ58" s="81">
        <f t="shared" si="272"/>
        <v>11.111111111111111</v>
      </c>
    </row>
    <row r="59" spans="1:52" s="209" customFormat="1" ht="20.25" customHeight="1">
      <c r="A59" s="397"/>
      <c r="B59" s="175" t="s">
        <v>211</v>
      </c>
      <c r="C59" s="120">
        <v>40</v>
      </c>
      <c r="D59" s="164">
        <v>45761</v>
      </c>
      <c r="E59" s="164">
        <v>45761</v>
      </c>
      <c r="F59" s="120">
        <v>10</v>
      </c>
      <c r="G59" s="120">
        <v>0</v>
      </c>
      <c r="H59" s="247">
        <f t="shared" si="235"/>
        <v>10</v>
      </c>
      <c r="I59" s="120">
        <v>0</v>
      </c>
      <c r="J59" s="120">
        <v>0</v>
      </c>
      <c r="K59" s="247">
        <f t="shared" si="236"/>
        <v>10</v>
      </c>
      <c r="L59" s="120">
        <v>0</v>
      </c>
      <c r="M59" s="120">
        <v>0</v>
      </c>
      <c r="N59" s="120">
        <v>10</v>
      </c>
      <c r="O59" s="120">
        <v>0</v>
      </c>
      <c r="P59" s="120">
        <v>0</v>
      </c>
      <c r="Q59" s="120">
        <v>0</v>
      </c>
      <c r="R59" s="120">
        <v>0</v>
      </c>
      <c r="S59" s="120">
        <v>0</v>
      </c>
      <c r="T59" s="120">
        <v>0</v>
      </c>
      <c r="U59" s="120">
        <v>0</v>
      </c>
      <c r="V59" s="120">
        <v>0</v>
      </c>
      <c r="W59" s="120">
        <v>8</v>
      </c>
      <c r="X59" s="120">
        <v>0</v>
      </c>
      <c r="Y59" s="120">
        <v>0</v>
      </c>
      <c r="Z59" s="120">
        <v>2</v>
      </c>
      <c r="AA59" s="120">
        <v>0</v>
      </c>
      <c r="AB59" s="120">
        <v>0</v>
      </c>
      <c r="AC59" s="120">
        <v>8</v>
      </c>
      <c r="AD59" s="120">
        <v>0</v>
      </c>
      <c r="AE59" s="120">
        <v>0</v>
      </c>
      <c r="AF59" s="120">
        <v>0</v>
      </c>
      <c r="AG59" s="120">
        <v>0</v>
      </c>
      <c r="AH59" s="120">
        <v>0</v>
      </c>
      <c r="AI59" s="120">
        <v>0</v>
      </c>
      <c r="AJ59" s="120">
        <v>0</v>
      </c>
      <c r="AK59" s="247">
        <v>0</v>
      </c>
      <c r="AL59" s="247">
        <f t="shared" si="258"/>
        <v>18</v>
      </c>
      <c r="AM59" s="247">
        <f t="shared" si="259"/>
        <v>18</v>
      </c>
      <c r="AN59" s="247">
        <f t="shared" si="260"/>
        <v>0</v>
      </c>
      <c r="AO59" s="189">
        <f t="shared" si="261"/>
        <v>0</v>
      </c>
      <c r="AP59" s="189">
        <f t="shared" si="262"/>
        <v>0</v>
      </c>
      <c r="AQ59" s="189">
        <f t="shared" si="263"/>
        <v>0</v>
      </c>
      <c r="AR59" s="81">
        <f t="shared" si="264"/>
        <v>0</v>
      </c>
      <c r="AS59" s="81">
        <f t="shared" si="265"/>
        <v>100</v>
      </c>
      <c r="AT59" s="81" t="e">
        <f t="shared" si="266"/>
        <v>#DIV/0!</v>
      </c>
      <c r="AU59" s="81" t="e">
        <f t="shared" si="267"/>
        <v>#DIV/0!</v>
      </c>
      <c r="AV59" s="81" t="e">
        <f t="shared" si="268"/>
        <v>#DIV/0!</v>
      </c>
      <c r="AW59" s="81" t="e">
        <f t="shared" si="269"/>
        <v>#DIV/0!</v>
      </c>
      <c r="AX59" s="81" t="e">
        <f t="shared" si="270"/>
        <v>#DIV/0!</v>
      </c>
      <c r="AY59" s="81" t="e">
        <f t="shared" si="271"/>
        <v>#DIV/0!</v>
      </c>
      <c r="AZ59" s="81" t="e">
        <f t="shared" si="272"/>
        <v>#DIV/0!</v>
      </c>
    </row>
    <row r="60" spans="1:52" s="209" customFormat="1" ht="20.25" customHeight="1">
      <c r="A60" s="397"/>
      <c r="B60" s="211" t="s">
        <v>146</v>
      </c>
      <c r="C60" s="120">
        <v>58</v>
      </c>
      <c r="D60" s="164">
        <v>45769</v>
      </c>
      <c r="E60" s="164">
        <v>45772</v>
      </c>
      <c r="F60" s="120">
        <v>15</v>
      </c>
      <c r="G60" s="120">
        <v>0</v>
      </c>
      <c r="H60" s="247">
        <f t="shared" si="235"/>
        <v>15</v>
      </c>
      <c r="I60" s="120">
        <v>0</v>
      </c>
      <c r="J60" s="120">
        <v>0</v>
      </c>
      <c r="K60" s="247">
        <f t="shared" si="236"/>
        <v>15</v>
      </c>
      <c r="L60" s="120">
        <v>0</v>
      </c>
      <c r="M60" s="120">
        <v>0</v>
      </c>
      <c r="N60" s="120">
        <v>15</v>
      </c>
      <c r="O60" s="120">
        <v>2</v>
      </c>
      <c r="P60" s="120">
        <v>0</v>
      </c>
      <c r="Q60" s="120">
        <v>0</v>
      </c>
      <c r="R60" s="120">
        <v>0</v>
      </c>
      <c r="S60" s="120">
        <v>0</v>
      </c>
      <c r="T60" s="120">
        <v>1</v>
      </c>
      <c r="U60" s="120">
        <v>0</v>
      </c>
      <c r="V60" s="120">
        <v>0</v>
      </c>
      <c r="W60" s="120">
        <v>17</v>
      </c>
      <c r="X60" s="120">
        <v>1</v>
      </c>
      <c r="Y60" s="120">
        <v>0</v>
      </c>
      <c r="Z60" s="120">
        <v>2</v>
      </c>
      <c r="AA60" s="120">
        <v>0</v>
      </c>
      <c r="AB60" s="120">
        <v>0</v>
      </c>
      <c r="AC60" s="120">
        <v>12</v>
      </c>
      <c r="AD60" s="120">
        <v>1</v>
      </c>
      <c r="AE60" s="120">
        <v>0</v>
      </c>
      <c r="AF60" s="120">
        <v>7</v>
      </c>
      <c r="AG60" s="120">
        <v>1</v>
      </c>
      <c r="AH60" s="120">
        <v>0</v>
      </c>
      <c r="AI60" s="120">
        <v>0</v>
      </c>
      <c r="AJ60" s="120">
        <v>0</v>
      </c>
      <c r="AK60" s="247">
        <v>0</v>
      </c>
      <c r="AL60" s="247">
        <f t="shared" si="258"/>
        <v>39</v>
      </c>
      <c r="AM60" s="247">
        <f t="shared" si="259"/>
        <v>39</v>
      </c>
      <c r="AN60" s="247">
        <f t="shared" si="260"/>
        <v>3</v>
      </c>
      <c r="AO60" s="189">
        <f t="shared" si="261"/>
        <v>13.333333333333334</v>
      </c>
      <c r="AP60" s="189">
        <f t="shared" si="262"/>
        <v>20</v>
      </c>
      <c r="AQ60" s="189">
        <f t="shared" si="263"/>
        <v>7.6923076923076925</v>
      </c>
      <c r="AR60" s="81">
        <f t="shared" si="264"/>
        <v>0</v>
      </c>
      <c r="AS60" s="81">
        <f t="shared" si="265"/>
        <v>100</v>
      </c>
      <c r="AT60" s="81">
        <f t="shared" si="266"/>
        <v>0</v>
      </c>
      <c r="AU60" s="81">
        <f t="shared" si="267"/>
        <v>0</v>
      </c>
      <c r="AV60" s="81">
        <f t="shared" si="268"/>
        <v>33.333333333333329</v>
      </c>
      <c r="AW60" s="81">
        <f t="shared" si="269"/>
        <v>0</v>
      </c>
      <c r="AX60" s="81">
        <f t="shared" si="270"/>
        <v>33.333333333333329</v>
      </c>
      <c r="AY60" s="81">
        <f t="shared" si="271"/>
        <v>33.333333333333329</v>
      </c>
      <c r="AZ60" s="81">
        <f t="shared" si="272"/>
        <v>0</v>
      </c>
    </row>
    <row r="61" spans="1:52" s="3" customFormat="1" ht="20.25" customHeight="1">
      <c r="A61" s="397" t="s">
        <v>215</v>
      </c>
      <c r="B61" s="251" t="s">
        <v>247</v>
      </c>
      <c r="C61" s="77">
        <f>SUM(C62:C65)</f>
        <v>333</v>
      </c>
      <c r="D61" s="217">
        <f>MIN(D62:D65)</f>
        <v>45768</v>
      </c>
      <c r="E61" s="217">
        <f>MAX(E62:E65)</f>
        <v>45776</v>
      </c>
      <c r="F61" s="77">
        <f>SUM(F62:F65)</f>
        <v>84</v>
      </c>
      <c r="G61" s="77">
        <f t="shared" ref="G61:AJ61" si="291">SUM(G62:G65)</f>
        <v>0</v>
      </c>
      <c r="H61" s="77">
        <f t="shared" si="291"/>
        <v>84</v>
      </c>
      <c r="I61" s="77">
        <f t="shared" si="291"/>
        <v>0</v>
      </c>
      <c r="J61" s="77">
        <f t="shared" si="291"/>
        <v>0</v>
      </c>
      <c r="K61" s="77">
        <f t="shared" si="291"/>
        <v>84</v>
      </c>
      <c r="L61" s="77">
        <f t="shared" si="291"/>
        <v>0</v>
      </c>
      <c r="M61" s="77">
        <f t="shared" si="291"/>
        <v>0</v>
      </c>
      <c r="N61" s="77">
        <f t="shared" si="291"/>
        <v>84</v>
      </c>
      <c r="O61" s="77">
        <f t="shared" si="291"/>
        <v>21</v>
      </c>
      <c r="P61" s="77">
        <f t="shared" si="291"/>
        <v>0</v>
      </c>
      <c r="Q61" s="77">
        <f t="shared" si="291"/>
        <v>0</v>
      </c>
      <c r="R61" s="77">
        <f t="shared" si="291"/>
        <v>0</v>
      </c>
      <c r="S61" s="77">
        <f t="shared" si="291"/>
        <v>0</v>
      </c>
      <c r="T61" s="77">
        <f t="shared" si="291"/>
        <v>6</v>
      </c>
      <c r="U61" s="77">
        <f t="shared" si="291"/>
        <v>6</v>
      </c>
      <c r="V61" s="77">
        <f t="shared" si="291"/>
        <v>1</v>
      </c>
      <c r="W61" s="77">
        <f t="shared" si="291"/>
        <v>32</v>
      </c>
      <c r="X61" s="77">
        <f t="shared" si="291"/>
        <v>7</v>
      </c>
      <c r="Y61" s="77">
        <f t="shared" si="291"/>
        <v>2</v>
      </c>
      <c r="Z61" s="77">
        <f t="shared" si="291"/>
        <v>2</v>
      </c>
      <c r="AA61" s="77">
        <f t="shared" si="291"/>
        <v>0</v>
      </c>
      <c r="AB61" s="77">
        <f t="shared" si="291"/>
        <v>3</v>
      </c>
      <c r="AC61" s="77">
        <f t="shared" si="291"/>
        <v>34</v>
      </c>
      <c r="AD61" s="77">
        <f t="shared" si="291"/>
        <v>10</v>
      </c>
      <c r="AE61" s="77">
        <f t="shared" si="291"/>
        <v>15</v>
      </c>
      <c r="AF61" s="77">
        <f t="shared" si="291"/>
        <v>18</v>
      </c>
      <c r="AG61" s="77">
        <f t="shared" si="291"/>
        <v>1</v>
      </c>
      <c r="AH61" s="77">
        <f t="shared" si="291"/>
        <v>0</v>
      </c>
      <c r="AI61" s="77">
        <f t="shared" si="291"/>
        <v>0</v>
      </c>
      <c r="AJ61" s="77">
        <f t="shared" si="291"/>
        <v>3</v>
      </c>
      <c r="AK61" s="77">
        <f>P61+S61+V61+Y61+AB61+AE61+AH61</f>
        <v>21</v>
      </c>
      <c r="AL61" s="77">
        <f>Q61+T61+W61+Z61+AC61+AF61+AI61</f>
        <v>92</v>
      </c>
      <c r="AM61" s="77">
        <f>AK61+AL61</f>
        <v>113</v>
      </c>
      <c r="AN61" s="77">
        <f>R61+U61+X61+AA61+AD61+AG61+AJ61</f>
        <v>27</v>
      </c>
      <c r="AO61" s="188">
        <f>O61/H61*100</f>
        <v>25</v>
      </c>
      <c r="AP61" s="188">
        <f>AN61/H61*100</f>
        <v>32.142857142857146</v>
      </c>
      <c r="AQ61" s="188">
        <f>AN61/AM61*100</f>
        <v>23.893805309734514</v>
      </c>
      <c r="AR61" s="88">
        <f t="shared" si="264"/>
        <v>18.584070796460178</v>
      </c>
      <c r="AS61" s="88">
        <f t="shared" si="265"/>
        <v>81.415929203539832</v>
      </c>
      <c r="AT61" s="88">
        <f t="shared" si="266"/>
        <v>0</v>
      </c>
      <c r="AU61" s="88">
        <f t="shared" si="267"/>
        <v>22.222222222222221</v>
      </c>
      <c r="AV61" s="88">
        <f t="shared" si="268"/>
        <v>25.925925925925924</v>
      </c>
      <c r="AW61" s="88">
        <f t="shared" si="269"/>
        <v>0</v>
      </c>
      <c r="AX61" s="88">
        <f t="shared" si="270"/>
        <v>37.037037037037038</v>
      </c>
      <c r="AY61" s="88">
        <f t="shared" si="271"/>
        <v>3.7037037037037033</v>
      </c>
      <c r="AZ61" s="88">
        <f t="shared" si="272"/>
        <v>11.111111111111111</v>
      </c>
    </row>
    <row r="62" spans="1:52" s="209" customFormat="1" ht="20.25" customHeight="1">
      <c r="A62" s="397"/>
      <c r="B62" s="175" t="s">
        <v>144</v>
      </c>
      <c r="C62" s="120">
        <v>33</v>
      </c>
      <c r="D62" s="164">
        <v>45768</v>
      </c>
      <c r="E62" s="164">
        <v>45768</v>
      </c>
      <c r="F62" s="120">
        <v>9</v>
      </c>
      <c r="G62" s="120">
        <v>0</v>
      </c>
      <c r="H62" s="247">
        <f t="shared" ref="H62:H64" si="292">F62+G62</f>
        <v>9</v>
      </c>
      <c r="I62" s="120">
        <v>0</v>
      </c>
      <c r="J62" s="120">
        <v>0</v>
      </c>
      <c r="K62" s="247">
        <f t="shared" ref="K62:K64" si="293">H62+I62+J62</f>
        <v>9</v>
      </c>
      <c r="L62" s="120">
        <v>0</v>
      </c>
      <c r="M62" s="120">
        <v>0</v>
      </c>
      <c r="N62" s="120">
        <v>9</v>
      </c>
      <c r="O62" s="120">
        <v>3</v>
      </c>
      <c r="P62" s="120">
        <v>0</v>
      </c>
      <c r="Q62" s="120">
        <v>0</v>
      </c>
      <c r="R62" s="120">
        <v>0</v>
      </c>
      <c r="S62" s="120">
        <v>0</v>
      </c>
      <c r="T62" s="120">
        <v>0</v>
      </c>
      <c r="U62" s="120">
        <v>1</v>
      </c>
      <c r="V62" s="120">
        <v>1</v>
      </c>
      <c r="W62" s="120">
        <v>14</v>
      </c>
      <c r="X62" s="254">
        <v>1</v>
      </c>
      <c r="Y62" s="120">
        <v>2</v>
      </c>
      <c r="Z62" s="120">
        <v>2</v>
      </c>
      <c r="AA62" s="120">
        <v>0</v>
      </c>
      <c r="AB62" s="120">
        <v>0</v>
      </c>
      <c r="AC62" s="120">
        <v>12</v>
      </c>
      <c r="AD62" s="120">
        <v>1</v>
      </c>
      <c r="AE62" s="120">
        <v>15</v>
      </c>
      <c r="AF62" s="120">
        <v>5</v>
      </c>
      <c r="AG62" s="120">
        <v>0</v>
      </c>
      <c r="AH62" s="120">
        <v>0</v>
      </c>
      <c r="AI62" s="120">
        <v>0</v>
      </c>
      <c r="AJ62" s="120">
        <v>0</v>
      </c>
      <c r="AK62" s="247">
        <f t="shared" ref="AK62:AK63" si="294">P62+S62+V62+Y62+AB62+AE62+AH62</f>
        <v>18</v>
      </c>
      <c r="AL62" s="247">
        <f t="shared" ref="AL62:AL66" si="295">Q62+T62+W62+Z62+AC62+AF62+AI62</f>
        <v>33</v>
      </c>
      <c r="AM62" s="247">
        <f t="shared" ref="AM62:AM66" si="296">AK62+AL62</f>
        <v>51</v>
      </c>
      <c r="AN62" s="247">
        <f t="shared" ref="AN62:AN66" si="297">R62+U62+X62+AA62+AD62+AG62+AJ62</f>
        <v>3</v>
      </c>
      <c r="AO62" s="189">
        <f t="shared" ref="AO62:AO66" si="298">O62/H62*100</f>
        <v>33.333333333333329</v>
      </c>
      <c r="AP62" s="189">
        <f t="shared" ref="AP62:AP66" si="299">AN62/H62*100</f>
        <v>33.333333333333329</v>
      </c>
      <c r="AQ62" s="189">
        <f t="shared" ref="AQ62:AQ66" si="300">AN62/AM62*100</f>
        <v>5.8823529411764701</v>
      </c>
      <c r="AR62" s="81">
        <f t="shared" ref="AR62:AR66" si="301">AK62/AM62*100</f>
        <v>35.294117647058826</v>
      </c>
      <c r="AS62" s="81">
        <f t="shared" ref="AS62:AS66" si="302">AL62/AM62*100</f>
        <v>64.705882352941174</v>
      </c>
      <c r="AT62" s="81">
        <f t="shared" ref="AT62:AT66" si="303">R62/AN62*100</f>
        <v>0</v>
      </c>
      <c r="AU62" s="81">
        <f t="shared" ref="AU62:AU66" si="304">U62/AN62*100</f>
        <v>33.333333333333329</v>
      </c>
      <c r="AV62" s="81">
        <f t="shared" ref="AV62:AV66" si="305">X62/AN62*100</f>
        <v>33.333333333333329</v>
      </c>
      <c r="AW62" s="81">
        <f t="shared" ref="AW62:AW66" si="306">AA62/AN62*100</f>
        <v>0</v>
      </c>
      <c r="AX62" s="81">
        <f t="shared" ref="AX62:AX66" si="307">AD62/AN62*100</f>
        <v>33.333333333333329</v>
      </c>
      <c r="AY62" s="81">
        <f t="shared" ref="AY62:AY66" si="308">AG62/AN62*100</f>
        <v>0</v>
      </c>
      <c r="AZ62" s="81">
        <f t="shared" ref="AZ62:AZ66" si="309">AJ62/AN62*100</f>
        <v>0</v>
      </c>
    </row>
    <row r="63" spans="1:52" s="209" customFormat="1" ht="20.25" customHeight="1">
      <c r="A63" s="397"/>
      <c r="B63" s="257" t="s">
        <v>245</v>
      </c>
      <c r="C63" s="254">
        <v>104</v>
      </c>
      <c r="D63" s="164">
        <v>45768</v>
      </c>
      <c r="E63" s="164">
        <v>45771</v>
      </c>
      <c r="F63" s="254">
        <v>25</v>
      </c>
      <c r="G63" s="254">
        <v>0</v>
      </c>
      <c r="H63" s="256">
        <f t="shared" si="292"/>
        <v>25</v>
      </c>
      <c r="I63" s="254">
        <v>0</v>
      </c>
      <c r="J63" s="254">
        <v>0</v>
      </c>
      <c r="K63" s="256">
        <f t="shared" si="293"/>
        <v>25</v>
      </c>
      <c r="L63" s="254">
        <v>0</v>
      </c>
      <c r="M63" s="254">
        <v>0</v>
      </c>
      <c r="N63" s="254">
        <v>25</v>
      </c>
      <c r="O63" s="254">
        <v>4</v>
      </c>
      <c r="P63" s="254">
        <v>0</v>
      </c>
      <c r="Q63" s="254">
        <v>0</v>
      </c>
      <c r="R63" s="254">
        <v>0</v>
      </c>
      <c r="S63" s="254">
        <v>0</v>
      </c>
      <c r="T63" s="254">
        <v>3</v>
      </c>
      <c r="U63" s="254">
        <v>1</v>
      </c>
      <c r="V63" s="254">
        <v>0</v>
      </c>
      <c r="W63" s="254">
        <v>4</v>
      </c>
      <c r="X63" s="254">
        <v>1</v>
      </c>
      <c r="Y63" s="254">
        <v>0</v>
      </c>
      <c r="Z63" s="254">
        <v>0</v>
      </c>
      <c r="AA63" s="254">
        <v>0</v>
      </c>
      <c r="AB63" s="254">
        <v>0</v>
      </c>
      <c r="AC63" s="254">
        <v>5</v>
      </c>
      <c r="AD63" s="254">
        <v>1</v>
      </c>
      <c r="AE63" s="254">
        <v>0</v>
      </c>
      <c r="AF63" s="254">
        <v>4</v>
      </c>
      <c r="AG63" s="254">
        <v>0</v>
      </c>
      <c r="AH63" s="254">
        <v>0</v>
      </c>
      <c r="AI63" s="254">
        <v>0</v>
      </c>
      <c r="AJ63" s="254">
        <v>1</v>
      </c>
      <c r="AK63" s="256">
        <f t="shared" si="294"/>
        <v>0</v>
      </c>
      <c r="AL63" s="256">
        <f t="shared" si="295"/>
        <v>16</v>
      </c>
      <c r="AM63" s="256">
        <f t="shared" si="296"/>
        <v>16</v>
      </c>
      <c r="AN63" s="256">
        <f t="shared" si="297"/>
        <v>4</v>
      </c>
      <c r="AO63" s="189">
        <f t="shared" si="298"/>
        <v>16</v>
      </c>
      <c r="AP63" s="189">
        <f t="shared" si="299"/>
        <v>16</v>
      </c>
      <c r="AQ63" s="189">
        <f t="shared" si="300"/>
        <v>25</v>
      </c>
      <c r="AR63" s="81">
        <f t="shared" si="301"/>
        <v>0</v>
      </c>
      <c r="AS63" s="81">
        <f t="shared" si="302"/>
        <v>100</v>
      </c>
      <c r="AT63" s="81">
        <f t="shared" si="303"/>
        <v>0</v>
      </c>
      <c r="AU63" s="81">
        <f t="shared" si="304"/>
        <v>25</v>
      </c>
      <c r="AV63" s="81">
        <f t="shared" si="305"/>
        <v>25</v>
      </c>
      <c r="AW63" s="81">
        <f t="shared" si="306"/>
        <v>0</v>
      </c>
      <c r="AX63" s="81">
        <f t="shared" si="307"/>
        <v>25</v>
      </c>
      <c r="AY63" s="81">
        <f t="shared" si="308"/>
        <v>0</v>
      </c>
      <c r="AZ63" s="81">
        <f t="shared" si="309"/>
        <v>25</v>
      </c>
    </row>
    <row r="64" spans="1:52" s="209" customFormat="1" ht="20.25" customHeight="1">
      <c r="A64" s="397"/>
      <c r="B64" s="175" t="s">
        <v>147</v>
      </c>
      <c r="C64" s="254">
        <v>43</v>
      </c>
      <c r="D64" s="164">
        <v>45776</v>
      </c>
      <c r="E64" s="164">
        <v>45776</v>
      </c>
      <c r="F64" s="254">
        <v>10</v>
      </c>
      <c r="G64" s="254">
        <v>0</v>
      </c>
      <c r="H64" s="256">
        <f t="shared" si="292"/>
        <v>10</v>
      </c>
      <c r="I64" s="254">
        <v>0</v>
      </c>
      <c r="J64" s="254">
        <v>0</v>
      </c>
      <c r="K64" s="256">
        <f t="shared" si="293"/>
        <v>10</v>
      </c>
      <c r="L64" s="254">
        <v>0</v>
      </c>
      <c r="M64" s="254">
        <v>0</v>
      </c>
      <c r="N64" s="254">
        <v>10</v>
      </c>
      <c r="O64" s="254">
        <v>3</v>
      </c>
      <c r="P64" s="254">
        <v>0</v>
      </c>
      <c r="Q64" s="254">
        <v>0</v>
      </c>
      <c r="R64" s="254">
        <v>0</v>
      </c>
      <c r="S64" s="254">
        <v>0</v>
      </c>
      <c r="T64" s="254">
        <v>3</v>
      </c>
      <c r="U64" s="254">
        <v>0</v>
      </c>
      <c r="V64" s="254">
        <v>0</v>
      </c>
      <c r="W64" s="254">
        <v>5</v>
      </c>
      <c r="X64" s="254">
        <v>3</v>
      </c>
      <c r="Y64" s="254">
        <v>0</v>
      </c>
      <c r="Z64" s="254">
        <v>0</v>
      </c>
      <c r="AA64" s="254">
        <v>0</v>
      </c>
      <c r="AB64" s="254">
        <v>0</v>
      </c>
      <c r="AC64" s="254">
        <v>6</v>
      </c>
      <c r="AD64" s="254">
        <v>1</v>
      </c>
      <c r="AE64" s="254">
        <v>0</v>
      </c>
      <c r="AF64" s="254">
        <v>5</v>
      </c>
      <c r="AG64" s="254">
        <v>0</v>
      </c>
      <c r="AH64" s="254">
        <v>0</v>
      </c>
      <c r="AI64" s="254">
        <v>0</v>
      </c>
      <c r="AJ64" s="254">
        <v>0</v>
      </c>
      <c r="AK64" s="256">
        <f t="shared" ref="AK64:AK66" si="310">P64+S64+V64+Y64+AB64+AE64+AH64</f>
        <v>0</v>
      </c>
      <c r="AL64" s="256">
        <f t="shared" si="295"/>
        <v>19</v>
      </c>
      <c r="AM64" s="256">
        <f t="shared" si="296"/>
        <v>19</v>
      </c>
      <c r="AN64" s="256">
        <f t="shared" si="297"/>
        <v>4</v>
      </c>
      <c r="AO64" s="189">
        <f t="shared" si="298"/>
        <v>30</v>
      </c>
      <c r="AP64" s="189">
        <f t="shared" si="299"/>
        <v>40</v>
      </c>
      <c r="AQ64" s="189">
        <f t="shared" si="300"/>
        <v>21.052631578947366</v>
      </c>
      <c r="AR64" s="81">
        <f t="shared" si="301"/>
        <v>0</v>
      </c>
      <c r="AS64" s="81">
        <f t="shared" si="302"/>
        <v>100</v>
      </c>
      <c r="AT64" s="81">
        <f t="shared" si="303"/>
        <v>0</v>
      </c>
      <c r="AU64" s="81">
        <f t="shared" si="304"/>
        <v>0</v>
      </c>
      <c r="AV64" s="81">
        <f t="shared" si="305"/>
        <v>75</v>
      </c>
      <c r="AW64" s="81">
        <f t="shared" si="306"/>
        <v>0</v>
      </c>
      <c r="AX64" s="81">
        <f t="shared" si="307"/>
        <v>25</v>
      </c>
      <c r="AY64" s="81">
        <f t="shared" si="308"/>
        <v>0</v>
      </c>
      <c r="AZ64" s="81">
        <f t="shared" si="309"/>
        <v>0</v>
      </c>
    </row>
    <row r="65" spans="1:52" s="209" customFormat="1" ht="20.25" customHeight="1">
      <c r="A65" s="397"/>
      <c r="B65" s="175" t="s">
        <v>172</v>
      </c>
      <c r="C65" s="254">
        <v>153</v>
      </c>
      <c r="D65" s="164">
        <v>45772</v>
      </c>
      <c r="E65" s="164">
        <v>45772</v>
      </c>
      <c r="F65" s="254">
        <v>40</v>
      </c>
      <c r="G65" s="254">
        <v>0</v>
      </c>
      <c r="H65" s="256">
        <f t="shared" ref="H65" si="311">F65+G65</f>
        <v>40</v>
      </c>
      <c r="I65" s="254">
        <v>0</v>
      </c>
      <c r="J65" s="254">
        <v>0</v>
      </c>
      <c r="K65" s="256">
        <f t="shared" ref="K65" si="312">H65+I65+J65</f>
        <v>40</v>
      </c>
      <c r="L65" s="254">
        <v>0</v>
      </c>
      <c r="M65" s="254">
        <v>0</v>
      </c>
      <c r="N65" s="254">
        <v>40</v>
      </c>
      <c r="O65" s="254">
        <v>11</v>
      </c>
      <c r="P65" s="254">
        <v>0</v>
      </c>
      <c r="Q65" s="254">
        <v>0</v>
      </c>
      <c r="R65" s="254">
        <v>0</v>
      </c>
      <c r="S65" s="254">
        <v>0</v>
      </c>
      <c r="T65" s="254">
        <v>0</v>
      </c>
      <c r="U65" s="254">
        <v>4</v>
      </c>
      <c r="V65" s="254">
        <v>0</v>
      </c>
      <c r="W65" s="254">
        <v>9</v>
      </c>
      <c r="X65" s="254">
        <v>2</v>
      </c>
      <c r="Y65" s="254">
        <v>0</v>
      </c>
      <c r="Z65" s="254">
        <v>0</v>
      </c>
      <c r="AA65" s="254">
        <v>0</v>
      </c>
      <c r="AB65" s="254">
        <v>3</v>
      </c>
      <c r="AC65" s="254">
        <v>11</v>
      </c>
      <c r="AD65" s="254">
        <v>7</v>
      </c>
      <c r="AE65" s="254">
        <v>0</v>
      </c>
      <c r="AF65" s="254">
        <v>4</v>
      </c>
      <c r="AG65" s="254">
        <v>1</v>
      </c>
      <c r="AH65" s="254">
        <v>0</v>
      </c>
      <c r="AI65" s="254">
        <v>0</v>
      </c>
      <c r="AJ65" s="254">
        <v>2</v>
      </c>
      <c r="AK65" s="256">
        <f t="shared" ref="AK65" si="313">P65+S65+V65+Y65+AB65+AE65+AH65</f>
        <v>3</v>
      </c>
      <c r="AL65" s="256">
        <f t="shared" ref="AL65" si="314">Q65+T65+W65+Z65+AC65+AF65+AI65</f>
        <v>24</v>
      </c>
      <c r="AM65" s="256">
        <f t="shared" ref="AM65" si="315">AK65+AL65</f>
        <v>27</v>
      </c>
      <c r="AN65" s="256">
        <f t="shared" ref="AN65" si="316">R65+U65+X65+AA65+AD65+AG65+AJ65</f>
        <v>16</v>
      </c>
      <c r="AO65" s="189">
        <f t="shared" ref="AO65" si="317">O65/H65*100</f>
        <v>27.500000000000004</v>
      </c>
      <c r="AP65" s="189">
        <f t="shared" ref="AP65" si="318">AN65/H65*100</f>
        <v>40</v>
      </c>
      <c r="AQ65" s="189">
        <f t="shared" ref="AQ65" si="319">AN65/AM65*100</f>
        <v>59.259259259259252</v>
      </c>
      <c r="AR65" s="81">
        <f t="shared" ref="AR65" si="320">AK65/AM65*100</f>
        <v>11.111111111111111</v>
      </c>
      <c r="AS65" s="81">
        <f t="shared" ref="AS65" si="321">AL65/AM65*100</f>
        <v>88.888888888888886</v>
      </c>
      <c r="AT65" s="81">
        <f t="shared" ref="AT65" si="322">R65/AN65*100</f>
        <v>0</v>
      </c>
      <c r="AU65" s="81">
        <f t="shared" ref="AU65" si="323">U65/AN65*100</f>
        <v>25</v>
      </c>
      <c r="AV65" s="81">
        <f t="shared" ref="AV65" si="324">X65/AN65*100</f>
        <v>12.5</v>
      </c>
      <c r="AW65" s="81">
        <f t="shared" ref="AW65" si="325">AA65/AN65*100</f>
        <v>0</v>
      </c>
      <c r="AX65" s="81">
        <f t="shared" ref="AX65" si="326">AD65/AN65*100</f>
        <v>43.75</v>
      </c>
      <c r="AY65" s="81">
        <f t="shared" ref="AY65" si="327">AG65/AN65*100</f>
        <v>6.25</v>
      </c>
      <c r="AZ65" s="81">
        <f t="shared" ref="AZ65" si="328">AJ65/AN65*100</f>
        <v>12.5</v>
      </c>
    </row>
    <row r="66" spans="1:52" s="209" customFormat="1" ht="20.25" customHeight="1">
      <c r="A66" s="175" t="s">
        <v>269</v>
      </c>
      <c r="B66" s="175" t="s">
        <v>268</v>
      </c>
      <c r="C66" s="254">
        <v>230</v>
      </c>
      <c r="D66" s="164">
        <v>45764</v>
      </c>
      <c r="E66" s="164">
        <v>45764</v>
      </c>
      <c r="F66" s="254">
        <v>71</v>
      </c>
      <c r="G66" s="254">
        <v>0</v>
      </c>
      <c r="H66" s="256">
        <f t="shared" ref="H66" si="329">F66+G66</f>
        <v>71</v>
      </c>
      <c r="I66" s="254">
        <v>5</v>
      </c>
      <c r="J66" s="254">
        <v>0</v>
      </c>
      <c r="K66" s="256">
        <f t="shared" ref="K66" si="330">H66+I66+J66</f>
        <v>76</v>
      </c>
      <c r="L66" s="254">
        <v>0</v>
      </c>
      <c r="M66" s="254">
        <v>0</v>
      </c>
      <c r="N66" s="254">
        <v>71</v>
      </c>
      <c r="O66" s="254">
        <v>8</v>
      </c>
      <c r="P66" s="254">
        <v>0</v>
      </c>
      <c r="Q66" s="254">
        <v>0</v>
      </c>
      <c r="R66" s="254">
        <v>0</v>
      </c>
      <c r="S66" s="254">
        <v>0</v>
      </c>
      <c r="T66" s="254">
        <v>0</v>
      </c>
      <c r="U66" s="254">
        <v>1</v>
      </c>
      <c r="V66" s="254">
        <v>1</v>
      </c>
      <c r="W66" s="254">
        <v>14</v>
      </c>
      <c r="X66" s="254">
        <v>3</v>
      </c>
      <c r="Y66" s="254">
        <v>2</v>
      </c>
      <c r="Z66" s="254">
        <v>2</v>
      </c>
      <c r="AA66" s="254">
        <v>2</v>
      </c>
      <c r="AB66" s="254">
        <v>0</v>
      </c>
      <c r="AC66" s="254">
        <v>12</v>
      </c>
      <c r="AD66" s="254">
        <v>5</v>
      </c>
      <c r="AE66" s="254">
        <v>15</v>
      </c>
      <c r="AF66" s="254">
        <v>5</v>
      </c>
      <c r="AG66" s="254">
        <v>0</v>
      </c>
      <c r="AH66" s="254">
        <v>0</v>
      </c>
      <c r="AI66" s="254">
        <v>0</v>
      </c>
      <c r="AJ66" s="254">
        <v>0</v>
      </c>
      <c r="AK66" s="256">
        <f t="shared" si="310"/>
        <v>18</v>
      </c>
      <c r="AL66" s="256">
        <f t="shared" si="295"/>
        <v>33</v>
      </c>
      <c r="AM66" s="256">
        <f t="shared" si="296"/>
        <v>51</v>
      </c>
      <c r="AN66" s="256">
        <f t="shared" si="297"/>
        <v>11</v>
      </c>
      <c r="AO66" s="189">
        <f t="shared" si="298"/>
        <v>11.267605633802818</v>
      </c>
      <c r="AP66" s="189">
        <f t="shared" si="299"/>
        <v>15.492957746478872</v>
      </c>
      <c r="AQ66" s="189">
        <f t="shared" si="300"/>
        <v>21.568627450980394</v>
      </c>
      <c r="AR66" s="81">
        <f t="shared" si="301"/>
        <v>35.294117647058826</v>
      </c>
      <c r="AS66" s="81">
        <f t="shared" si="302"/>
        <v>64.705882352941174</v>
      </c>
      <c r="AT66" s="81">
        <f t="shared" si="303"/>
        <v>0</v>
      </c>
      <c r="AU66" s="81">
        <f t="shared" si="304"/>
        <v>9.0909090909090917</v>
      </c>
      <c r="AV66" s="81">
        <f t="shared" si="305"/>
        <v>27.27272727272727</v>
      </c>
      <c r="AW66" s="81">
        <f t="shared" si="306"/>
        <v>18.181818181818183</v>
      </c>
      <c r="AX66" s="81">
        <f t="shared" si="307"/>
        <v>45.454545454545453</v>
      </c>
      <c r="AY66" s="81">
        <f t="shared" si="308"/>
        <v>0</v>
      </c>
      <c r="AZ66" s="81">
        <f t="shared" si="309"/>
        <v>0</v>
      </c>
    </row>
    <row r="67" spans="1:52" s="209" customFormat="1" ht="20.25" customHeight="1">
      <c r="A67" s="397" t="s">
        <v>246</v>
      </c>
      <c r="B67" s="175" t="s">
        <v>250</v>
      </c>
      <c r="C67" s="254">
        <v>47</v>
      </c>
      <c r="D67" s="164">
        <v>45770</v>
      </c>
      <c r="E67" s="164">
        <v>45770</v>
      </c>
      <c r="F67" s="254">
        <v>16</v>
      </c>
      <c r="G67" s="254">
        <v>0</v>
      </c>
      <c r="H67" s="256">
        <f t="shared" ref="H67:H101" si="331">F67+G67</f>
        <v>16</v>
      </c>
      <c r="I67" s="254">
        <v>0</v>
      </c>
      <c r="J67" s="254">
        <v>0</v>
      </c>
      <c r="K67" s="256">
        <f t="shared" ref="K67:K101" si="332">H67+I67+J67</f>
        <v>16</v>
      </c>
      <c r="L67" s="254">
        <v>0</v>
      </c>
      <c r="M67" s="254">
        <v>0</v>
      </c>
      <c r="N67" s="254">
        <v>16</v>
      </c>
      <c r="O67" s="254">
        <v>1</v>
      </c>
      <c r="P67" s="254">
        <v>0</v>
      </c>
      <c r="Q67" s="254">
        <v>0</v>
      </c>
      <c r="R67" s="254">
        <v>0</v>
      </c>
      <c r="S67" s="254">
        <v>0</v>
      </c>
      <c r="T67" s="254">
        <v>0</v>
      </c>
      <c r="U67" s="254">
        <v>0</v>
      </c>
      <c r="V67" s="254">
        <v>2</v>
      </c>
      <c r="W67" s="254">
        <v>3</v>
      </c>
      <c r="X67" s="254">
        <v>0</v>
      </c>
      <c r="Y67" s="254">
        <v>0</v>
      </c>
      <c r="Z67" s="254">
        <v>0</v>
      </c>
      <c r="AA67" s="254">
        <v>0</v>
      </c>
      <c r="AB67" s="254">
        <v>0</v>
      </c>
      <c r="AC67" s="254">
        <v>3</v>
      </c>
      <c r="AD67" s="254">
        <v>1</v>
      </c>
      <c r="AE67" s="254">
        <v>0</v>
      </c>
      <c r="AF67" s="254">
        <v>0</v>
      </c>
      <c r="AG67" s="254">
        <v>0</v>
      </c>
      <c r="AH67" s="254">
        <v>0</v>
      </c>
      <c r="AI67" s="254">
        <v>0</v>
      </c>
      <c r="AJ67" s="254">
        <v>0</v>
      </c>
      <c r="AK67" s="256">
        <f t="shared" ref="AK67:AK69" si="333">P67+S67+V67+Y67+AB67+AE67+AH67</f>
        <v>2</v>
      </c>
      <c r="AL67" s="256">
        <f t="shared" ref="AL67:AL69" si="334">Q67+T67+W67+Z67+AC67+AF67+AI67</f>
        <v>6</v>
      </c>
      <c r="AM67" s="256">
        <f t="shared" ref="AM67:AM69" si="335">AK67+AL67</f>
        <v>8</v>
      </c>
      <c r="AN67" s="256">
        <f t="shared" ref="AN67:AN69" si="336">R67+U67+X67+AA67+AD67+AG67+AJ67</f>
        <v>1</v>
      </c>
      <c r="AO67" s="189">
        <f t="shared" ref="AO67:AO69" si="337">O67/H67*100</f>
        <v>6.25</v>
      </c>
      <c r="AP67" s="189">
        <f t="shared" ref="AP67:AP69" si="338">AN67/H67*100</f>
        <v>6.25</v>
      </c>
      <c r="AQ67" s="189">
        <f t="shared" ref="AQ67:AQ69" si="339">AN67/AM67*100</f>
        <v>12.5</v>
      </c>
      <c r="AR67" s="81">
        <f t="shared" ref="AR67:AR69" si="340">AK67/AM67*100</f>
        <v>25</v>
      </c>
      <c r="AS67" s="81">
        <f t="shared" ref="AS67:AS69" si="341">AL67/AM67*100</f>
        <v>75</v>
      </c>
      <c r="AT67" s="81">
        <f t="shared" ref="AT67:AT69" si="342">R67/AN67*100</f>
        <v>0</v>
      </c>
      <c r="AU67" s="81">
        <f t="shared" ref="AU67:AU69" si="343">U67/AN67*100</f>
        <v>0</v>
      </c>
      <c r="AV67" s="81">
        <f t="shared" ref="AV67:AV69" si="344">X67/AN67*100</f>
        <v>0</v>
      </c>
      <c r="AW67" s="81">
        <f t="shared" ref="AW67:AW69" si="345">AA67/AN67*100</f>
        <v>0</v>
      </c>
      <c r="AX67" s="81">
        <f t="shared" ref="AX67:AX69" si="346">AD67/AN67*100</f>
        <v>100</v>
      </c>
      <c r="AY67" s="81">
        <f t="shared" ref="AY67:AY69" si="347">AG67/AN67*100</f>
        <v>0</v>
      </c>
      <c r="AZ67" s="81">
        <f t="shared" ref="AZ67:AZ69" si="348">AJ67/AN67*100</f>
        <v>0</v>
      </c>
    </row>
    <row r="68" spans="1:52" s="209" customFormat="1" ht="20.25" customHeight="1">
      <c r="A68" s="397"/>
      <c r="B68" s="175" t="s">
        <v>252</v>
      </c>
      <c r="C68" s="254">
        <v>9</v>
      </c>
      <c r="D68" s="164">
        <v>45761</v>
      </c>
      <c r="E68" s="164">
        <v>45761</v>
      </c>
      <c r="F68" s="254">
        <v>5</v>
      </c>
      <c r="G68" s="254">
        <v>0</v>
      </c>
      <c r="H68" s="256">
        <f t="shared" si="331"/>
        <v>5</v>
      </c>
      <c r="I68" s="254">
        <v>0</v>
      </c>
      <c r="J68" s="254">
        <v>0</v>
      </c>
      <c r="K68" s="256">
        <f t="shared" si="332"/>
        <v>5</v>
      </c>
      <c r="L68" s="254">
        <v>0</v>
      </c>
      <c r="M68" s="254">
        <v>0</v>
      </c>
      <c r="N68" s="254">
        <v>5</v>
      </c>
      <c r="O68" s="254">
        <v>0</v>
      </c>
      <c r="P68" s="254">
        <v>0</v>
      </c>
      <c r="Q68" s="254">
        <v>0</v>
      </c>
      <c r="R68" s="254">
        <v>0</v>
      </c>
      <c r="S68" s="254">
        <v>0</v>
      </c>
      <c r="T68" s="254">
        <v>0</v>
      </c>
      <c r="U68" s="254">
        <v>0</v>
      </c>
      <c r="V68" s="254">
        <v>0</v>
      </c>
      <c r="W68" s="254">
        <v>2</v>
      </c>
      <c r="X68" s="254">
        <v>0</v>
      </c>
      <c r="Y68" s="254">
        <v>0</v>
      </c>
      <c r="Z68" s="254">
        <v>0</v>
      </c>
      <c r="AA68" s="254">
        <v>0</v>
      </c>
      <c r="AB68" s="254">
        <v>0</v>
      </c>
      <c r="AC68" s="254">
        <v>3</v>
      </c>
      <c r="AD68" s="254">
        <v>0</v>
      </c>
      <c r="AE68" s="254">
        <v>0</v>
      </c>
      <c r="AF68" s="254">
        <v>0</v>
      </c>
      <c r="AG68" s="254">
        <v>0</v>
      </c>
      <c r="AH68" s="254">
        <v>0</v>
      </c>
      <c r="AI68" s="254">
        <v>0</v>
      </c>
      <c r="AJ68" s="254">
        <v>0</v>
      </c>
      <c r="AK68" s="256">
        <f t="shared" si="333"/>
        <v>0</v>
      </c>
      <c r="AL68" s="256">
        <f t="shared" si="334"/>
        <v>5</v>
      </c>
      <c r="AM68" s="256">
        <f t="shared" si="335"/>
        <v>5</v>
      </c>
      <c r="AN68" s="256">
        <f t="shared" si="336"/>
        <v>0</v>
      </c>
      <c r="AO68" s="189">
        <f t="shared" si="337"/>
        <v>0</v>
      </c>
      <c r="AP68" s="189">
        <f t="shared" si="338"/>
        <v>0</v>
      </c>
      <c r="AQ68" s="189">
        <f t="shared" si="339"/>
        <v>0</v>
      </c>
      <c r="AR68" s="81">
        <f t="shared" si="340"/>
        <v>0</v>
      </c>
      <c r="AS68" s="81">
        <f t="shared" si="341"/>
        <v>100</v>
      </c>
      <c r="AT68" s="81" t="e">
        <f t="shared" si="342"/>
        <v>#DIV/0!</v>
      </c>
      <c r="AU68" s="81" t="e">
        <f t="shared" si="343"/>
        <v>#DIV/0!</v>
      </c>
      <c r="AV68" s="81" t="e">
        <f t="shared" si="344"/>
        <v>#DIV/0!</v>
      </c>
      <c r="AW68" s="81" t="e">
        <f t="shared" si="345"/>
        <v>#DIV/0!</v>
      </c>
      <c r="AX68" s="81" t="e">
        <f t="shared" si="346"/>
        <v>#DIV/0!</v>
      </c>
      <c r="AY68" s="81" t="e">
        <f t="shared" si="347"/>
        <v>#DIV/0!</v>
      </c>
      <c r="AZ68" s="81" t="e">
        <f t="shared" si="348"/>
        <v>#DIV/0!</v>
      </c>
    </row>
    <row r="69" spans="1:52" s="209" customFormat="1" ht="20.25" customHeight="1">
      <c r="A69" s="397"/>
      <c r="B69" s="175" t="s">
        <v>253</v>
      </c>
      <c r="C69" s="254">
        <v>82</v>
      </c>
      <c r="D69" s="164">
        <v>45762</v>
      </c>
      <c r="E69" s="164">
        <v>45775</v>
      </c>
      <c r="F69" s="254">
        <v>24</v>
      </c>
      <c r="G69" s="254">
        <v>0</v>
      </c>
      <c r="H69" s="256">
        <f t="shared" si="331"/>
        <v>24</v>
      </c>
      <c r="I69" s="254">
        <v>0</v>
      </c>
      <c r="J69" s="254">
        <v>0</v>
      </c>
      <c r="K69" s="256">
        <f t="shared" si="332"/>
        <v>24</v>
      </c>
      <c r="L69" s="254">
        <v>0</v>
      </c>
      <c r="M69" s="254">
        <v>0</v>
      </c>
      <c r="N69" s="254">
        <v>24</v>
      </c>
      <c r="O69" s="254">
        <v>8</v>
      </c>
      <c r="P69" s="254">
        <v>0</v>
      </c>
      <c r="Q69" s="254">
        <v>0</v>
      </c>
      <c r="R69" s="254">
        <v>0</v>
      </c>
      <c r="S69" s="254">
        <v>1</v>
      </c>
      <c r="T69" s="254">
        <v>3</v>
      </c>
      <c r="U69" s="254">
        <f>1+1</f>
        <v>2</v>
      </c>
      <c r="V69" s="254">
        <v>0</v>
      </c>
      <c r="W69" s="254">
        <v>12</v>
      </c>
      <c r="X69" s="254">
        <f>1+1</f>
        <v>2</v>
      </c>
      <c r="Y69" s="254">
        <v>0</v>
      </c>
      <c r="Z69" s="254">
        <v>0</v>
      </c>
      <c r="AA69" s="254">
        <v>0</v>
      </c>
      <c r="AB69" s="254">
        <v>1</v>
      </c>
      <c r="AC69" s="254">
        <v>13</v>
      </c>
      <c r="AD69" s="254">
        <f>1+2+1+1</f>
        <v>5</v>
      </c>
      <c r="AE69" s="254">
        <v>0</v>
      </c>
      <c r="AF69" s="254">
        <v>19</v>
      </c>
      <c r="AG69" s="254">
        <v>0</v>
      </c>
      <c r="AH69" s="254">
        <v>0</v>
      </c>
      <c r="AI69" s="254">
        <v>0</v>
      </c>
      <c r="AJ69" s="254">
        <v>0</v>
      </c>
      <c r="AK69" s="256">
        <f t="shared" si="333"/>
        <v>2</v>
      </c>
      <c r="AL69" s="256">
        <f t="shared" si="334"/>
        <v>47</v>
      </c>
      <c r="AM69" s="256">
        <f t="shared" si="335"/>
        <v>49</v>
      </c>
      <c r="AN69" s="256">
        <f t="shared" si="336"/>
        <v>9</v>
      </c>
      <c r="AO69" s="189">
        <f t="shared" si="337"/>
        <v>33.333333333333329</v>
      </c>
      <c r="AP69" s="189">
        <f t="shared" si="338"/>
        <v>37.5</v>
      </c>
      <c r="AQ69" s="189">
        <f t="shared" si="339"/>
        <v>18.367346938775512</v>
      </c>
      <c r="AR69" s="81">
        <f t="shared" si="340"/>
        <v>4.0816326530612246</v>
      </c>
      <c r="AS69" s="81">
        <f t="shared" si="341"/>
        <v>95.918367346938766</v>
      </c>
      <c r="AT69" s="81">
        <f t="shared" si="342"/>
        <v>0</v>
      </c>
      <c r="AU69" s="81">
        <f t="shared" si="343"/>
        <v>22.222222222222221</v>
      </c>
      <c r="AV69" s="81">
        <f t="shared" si="344"/>
        <v>22.222222222222221</v>
      </c>
      <c r="AW69" s="81">
        <f t="shared" si="345"/>
        <v>0</v>
      </c>
      <c r="AX69" s="81">
        <f t="shared" si="346"/>
        <v>55.555555555555557</v>
      </c>
      <c r="AY69" s="81">
        <f t="shared" si="347"/>
        <v>0</v>
      </c>
      <c r="AZ69" s="81">
        <f t="shared" si="348"/>
        <v>0</v>
      </c>
    </row>
    <row r="70" spans="1:52" s="3" customFormat="1" ht="20.25" customHeight="1">
      <c r="A70" s="266" t="s">
        <v>254</v>
      </c>
      <c r="B70" s="83">
        <f>COUNTA(B50:B69)-1</f>
        <v>19</v>
      </c>
      <c r="C70" s="83">
        <f>SUM(C66:C69)+C49+C61</f>
        <v>2510</v>
      </c>
      <c r="D70" s="104">
        <f>MIN(D50:D69)</f>
        <v>45748</v>
      </c>
      <c r="E70" s="104">
        <f>MAX(E50:E69)</f>
        <v>45777</v>
      </c>
      <c r="F70" s="83">
        <f>SUM(F66:F69)+F49+F61</f>
        <v>680</v>
      </c>
      <c r="G70" s="83">
        <f t="shared" ref="G70:AI70" si="349">SUM(G66:G69)+G49+G61</f>
        <v>0</v>
      </c>
      <c r="H70" s="83">
        <f t="shared" si="349"/>
        <v>680</v>
      </c>
      <c r="I70" s="83">
        <f t="shared" si="349"/>
        <v>5</v>
      </c>
      <c r="J70" s="83">
        <f t="shared" si="349"/>
        <v>0</v>
      </c>
      <c r="K70" s="83">
        <f t="shared" si="349"/>
        <v>685</v>
      </c>
      <c r="L70" s="83">
        <f t="shared" si="349"/>
        <v>0</v>
      </c>
      <c r="M70" s="83">
        <f t="shared" si="349"/>
        <v>0</v>
      </c>
      <c r="N70" s="83">
        <f t="shared" si="349"/>
        <v>680</v>
      </c>
      <c r="O70" s="83">
        <f t="shared" si="349"/>
        <v>79</v>
      </c>
      <c r="P70" s="83">
        <f t="shared" si="349"/>
        <v>0</v>
      </c>
      <c r="Q70" s="83">
        <f t="shared" si="349"/>
        <v>1</v>
      </c>
      <c r="R70" s="83">
        <f t="shared" si="349"/>
        <v>0</v>
      </c>
      <c r="S70" s="83">
        <f t="shared" si="349"/>
        <v>1</v>
      </c>
      <c r="T70" s="83">
        <f t="shared" si="349"/>
        <v>22</v>
      </c>
      <c r="U70" s="83">
        <f t="shared" si="349"/>
        <v>16</v>
      </c>
      <c r="V70" s="83">
        <f t="shared" si="349"/>
        <v>15</v>
      </c>
      <c r="W70" s="83">
        <f t="shared" si="349"/>
        <v>188</v>
      </c>
      <c r="X70" s="83">
        <f t="shared" si="349"/>
        <v>25</v>
      </c>
      <c r="Y70" s="83">
        <f t="shared" si="349"/>
        <v>4</v>
      </c>
      <c r="Z70" s="83">
        <f t="shared" si="349"/>
        <v>54</v>
      </c>
      <c r="AA70" s="83">
        <f t="shared" si="349"/>
        <v>4</v>
      </c>
      <c r="AB70" s="83">
        <f t="shared" si="349"/>
        <v>7</v>
      </c>
      <c r="AC70" s="83">
        <f t="shared" si="349"/>
        <v>214</v>
      </c>
      <c r="AD70" s="83">
        <f t="shared" si="349"/>
        <v>43</v>
      </c>
      <c r="AE70" s="83">
        <f t="shared" si="349"/>
        <v>66</v>
      </c>
      <c r="AF70" s="83">
        <f t="shared" si="349"/>
        <v>162</v>
      </c>
      <c r="AG70" s="83">
        <f t="shared" si="349"/>
        <v>4</v>
      </c>
      <c r="AH70" s="83">
        <f t="shared" si="349"/>
        <v>0</v>
      </c>
      <c r="AI70" s="83">
        <f t="shared" si="349"/>
        <v>9</v>
      </c>
      <c r="AJ70" s="83">
        <f>SUM(AJ66:AJ69)+AJ49+AJ61</f>
        <v>7</v>
      </c>
      <c r="AK70" s="83">
        <f>P70+S70+V70+Y70+AB70+AE70+AH70</f>
        <v>93</v>
      </c>
      <c r="AL70" s="83">
        <f>Q70+T70+W70+Z70+AC70+AF70+AI70</f>
        <v>650</v>
      </c>
      <c r="AM70" s="83">
        <f>AK70+AL70</f>
        <v>743</v>
      </c>
      <c r="AN70" s="83">
        <f>R70+U70+X70+AA70+AD70+AG70+AJ70</f>
        <v>99</v>
      </c>
      <c r="AO70" s="190">
        <f>O70/H70*100</f>
        <v>11.617647058823529</v>
      </c>
      <c r="AP70" s="190">
        <f>AN70/H70*100</f>
        <v>14.558823529411766</v>
      </c>
      <c r="AQ70" s="190">
        <f>AN70/AM70*100</f>
        <v>13.324360699865412</v>
      </c>
      <c r="AR70" s="85">
        <f>AK70/AM70*100</f>
        <v>12.516823687752353</v>
      </c>
      <c r="AS70" s="85">
        <f>AL70/AM70*100</f>
        <v>87.48317631224765</v>
      </c>
      <c r="AT70" s="85">
        <f t="shared" si="266"/>
        <v>0</v>
      </c>
      <c r="AU70" s="85">
        <f t="shared" si="267"/>
        <v>16.161616161616163</v>
      </c>
      <c r="AV70" s="85">
        <f t="shared" si="268"/>
        <v>25.252525252525253</v>
      </c>
      <c r="AW70" s="85">
        <f t="shared" si="269"/>
        <v>4.0404040404040407</v>
      </c>
      <c r="AX70" s="85">
        <f t="shared" si="270"/>
        <v>43.43434343434344</v>
      </c>
      <c r="AY70" s="85">
        <f t="shared" si="271"/>
        <v>4.0404040404040407</v>
      </c>
      <c r="AZ70" s="85">
        <f t="shared" si="272"/>
        <v>7.0707070707070701</v>
      </c>
    </row>
    <row r="71" spans="1:52" s="3" customFormat="1" ht="20.25" customHeight="1">
      <c r="A71" s="394" t="s">
        <v>246</v>
      </c>
      <c r="B71" s="77" t="s">
        <v>24</v>
      </c>
      <c r="C71" s="77">
        <f>SUM(C72:C73)</f>
        <v>440</v>
      </c>
      <c r="D71" s="217">
        <f>MIN(D72:D73)</f>
        <v>45779</v>
      </c>
      <c r="E71" s="217">
        <f>MAX(E72:E73)</f>
        <v>45786</v>
      </c>
      <c r="F71" s="77">
        <f>SUM(F72:F73)</f>
        <v>120</v>
      </c>
      <c r="G71" s="77">
        <f t="shared" ref="G71:AJ71" si="350">SUM(G72:G73)</f>
        <v>0</v>
      </c>
      <c r="H71" s="77">
        <f t="shared" si="350"/>
        <v>120</v>
      </c>
      <c r="I71" s="77">
        <f t="shared" si="350"/>
        <v>0</v>
      </c>
      <c r="J71" s="77">
        <f t="shared" si="350"/>
        <v>0</v>
      </c>
      <c r="K71" s="77">
        <f t="shared" si="350"/>
        <v>120</v>
      </c>
      <c r="L71" s="77">
        <f t="shared" si="350"/>
        <v>0</v>
      </c>
      <c r="M71" s="77">
        <f t="shared" si="350"/>
        <v>0</v>
      </c>
      <c r="N71" s="77">
        <f t="shared" si="350"/>
        <v>120</v>
      </c>
      <c r="O71" s="77">
        <f t="shared" si="350"/>
        <v>8</v>
      </c>
      <c r="P71" s="77">
        <f t="shared" si="350"/>
        <v>0</v>
      </c>
      <c r="Q71" s="77">
        <f t="shared" si="350"/>
        <v>0</v>
      </c>
      <c r="R71" s="77">
        <f t="shared" si="350"/>
        <v>0</v>
      </c>
      <c r="S71" s="77">
        <f t="shared" si="350"/>
        <v>0</v>
      </c>
      <c r="T71" s="77">
        <f t="shared" si="350"/>
        <v>10</v>
      </c>
      <c r="U71" s="77">
        <f t="shared" si="350"/>
        <v>0</v>
      </c>
      <c r="V71" s="77">
        <f t="shared" si="350"/>
        <v>0</v>
      </c>
      <c r="W71" s="77">
        <f t="shared" si="350"/>
        <v>0</v>
      </c>
      <c r="X71" s="77">
        <f t="shared" si="350"/>
        <v>0</v>
      </c>
      <c r="Y71" s="77">
        <f t="shared" si="350"/>
        <v>0</v>
      </c>
      <c r="Z71" s="77">
        <f t="shared" si="350"/>
        <v>7</v>
      </c>
      <c r="AA71" s="77">
        <f t="shared" si="350"/>
        <v>0</v>
      </c>
      <c r="AB71" s="77">
        <f t="shared" si="350"/>
        <v>0</v>
      </c>
      <c r="AC71" s="77">
        <f t="shared" si="350"/>
        <v>16</v>
      </c>
      <c r="AD71" s="77">
        <f t="shared" si="350"/>
        <v>8</v>
      </c>
      <c r="AE71" s="77">
        <f t="shared" si="350"/>
        <v>0</v>
      </c>
      <c r="AF71" s="77">
        <f t="shared" si="350"/>
        <v>108</v>
      </c>
      <c r="AG71" s="77">
        <f t="shared" si="350"/>
        <v>0</v>
      </c>
      <c r="AH71" s="77">
        <f t="shared" si="350"/>
        <v>0</v>
      </c>
      <c r="AI71" s="77">
        <f t="shared" si="350"/>
        <v>0</v>
      </c>
      <c r="AJ71" s="77">
        <f t="shared" si="350"/>
        <v>0</v>
      </c>
      <c r="AK71" s="77">
        <f>P71+S71+V71+Y71+AB71+AE71+AH71</f>
        <v>0</v>
      </c>
      <c r="AL71" s="77">
        <f>Q71+T71+W71+Z71+AC71+AF71+AI71</f>
        <v>141</v>
      </c>
      <c r="AM71" s="77">
        <f>AK71+AL71</f>
        <v>141</v>
      </c>
      <c r="AN71" s="77">
        <f>R71+U71+X71+AA71+AD71+AG71+AJ71</f>
        <v>8</v>
      </c>
      <c r="AO71" s="188">
        <f>O71/H71*100</f>
        <v>6.666666666666667</v>
      </c>
      <c r="AP71" s="188">
        <f>AN71/H71*100</f>
        <v>6.666666666666667</v>
      </c>
      <c r="AQ71" s="188">
        <f>AN71/AM71*100</f>
        <v>5.6737588652482271</v>
      </c>
      <c r="AR71" s="88">
        <f t="shared" ref="AR71" si="351">AK71/AM71*100</f>
        <v>0</v>
      </c>
      <c r="AS71" s="88">
        <f t="shared" ref="AS71" si="352">AL71/AM71*100</f>
        <v>100</v>
      </c>
      <c r="AT71" s="88">
        <f t="shared" ref="AT71" si="353">R71/AN71*100</f>
        <v>0</v>
      </c>
      <c r="AU71" s="88">
        <f t="shared" ref="AU71" si="354">U71/AN71*100</f>
        <v>0</v>
      </c>
      <c r="AV71" s="88">
        <f t="shared" ref="AV71" si="355">X71/AN71*100</f>
        <v>0</v>
      </c>
      <c r="AW71" s="88">
        <f t="shared" ref="AW71" si="356">AA71/AN71*100</f>
        <v>0</v>
      </c>
      <c r="AX71" s="88">
        <f t="shared" ref="AX71" si="357">AD71/AN71*100</f>
        <v>100</v>
      </c>
      <c r="AY71" s="88">
        <f t="shared" ref="AY71" si="358">AG71/AN71*100</f>
        <v>0</v>
      </c>
      <c r="AZ71" s="88">
        <f t="shared" ref="AZ71" si="359">AJ71/AN71*100</f>
        <v>0</v>
      </c>
    </row>
    <row r="72" spans="1:52" s="209" customFormat="1" ht="20.25" customHeight="1">
      <c r="A72" s="395"/>
      <c r="B72" s="175" t="s">
        <v>211</v>
      </c>
      <c r="C72" s="261">
        <v>133</v>
      </c>
      <c r="D72" s="164">
        <v>45779</v>
      </c>
      <c r="E72" s="164">
        <v>45782</v>
      </c>
      <c r="F72" s="261">
        <v>40</v>
      </c>
      <c r="G72" s="261">
        <v>0</v>
      </c>
      <c r="H72" s="262">
        <f t="shared" si="331"/>
        <v>40</v>
      </c>
      <c r="I72" s="261">
        <v>0</v>
      </c>
      <c r="J72" s="261">
        <v>0</v>
      </c>
      <c r="K72" s="262">
        <f t="shared" si="332"/>
        <v>40</v>
      </c>
      <c r="L72" s="261">
        <v>0</v>
      </c>
      <c r="M72" s="261">
        <v>0</v>
      </c>
      <c r="N72" s="261">
        <v>40</v>
      </c>
      <c r="O72" s="261">
        <v>3</v>
      </c>
      <c r="P72" s="261">
        <v>0</v>
      </c>
      <c r="Q72" s="261">
        <v>0</v>
      </c>
      <c r="R72" s="261">
        <v>0</v>
      </c>
      <c r="S72" s="261">
        <v>0</v>
      </c>
      <c r="T72" s="261">
        <v>5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Z72" s="261">
        <v>1</v>
      </c>
      <c r="AA72" s="261">
        <v>0</v>
      </c>
      <c r="AB72" s="261">
        <v>0</v>
      </c>
      <c r="AC72" s="261">
        <v>7</v>
      </c>
      <c r="AD72" s="261">
        <v>3</v>
      </c>
      <c r="AE72" s="261">
        <v>0</v>
      </c>
      <c r="AF72" s="261">
        <v>32</v>
      </c>
      <c r="AG72" s="261">
        <v>0</v>
      </c>
      <c r="AH72" s="261">
        <v>0</v>
      </c>
      <c r="AI72" s="261">
        <v>0</v>
      </c>
      <c r="AJ72" s="261">
        <v>0</v>
      </c>
      <c r="AK72" s="262">
        <f t="shared" ref="AK72" si="360">P72+S72+V72+Y72+AB72+AE72+AH72</f>
        <v>0</v>
      </c>
      <c r="AL72" s="262">
        <f t="shared" ref="AL72" si="361">Q72+T72+W72+Z72+AC72+AF72+AI72</f>
        <v>45</v>
      </c>
      <c r="AM72" s="262">
        <f t="shared" ref="AM72" si="362">AK72+AL72</f>
        <v>45</v>
      </c>
      <c r="AN72" s="262">
        <f t="shared" ref="AN72" si="363">R72+U72+X72+AA72+AD72+AG72+AJ72</f>
        <v>3</v>
      </c>
      <c r="AO72" s="189">
        <f t="shared" ref="AO72" si="364">O72/H72*100</f>
        <v>7.5</v>
      </c>
      <c r="AP72" s="189">
        <f t="shared" ref="AP72" si="365">AN72/H72*100</f>
        <v>7.5</v>
      </c>
      <c r="AQ72" s="189">
        <f t="shared" ref="AQ72" si="366">AN72/AM72*100</f>
        <v>6.666666666666667</v>
      </c>
      <c r="AR72" s="81">
        <f t="shared" ref="AR72" si="367">AK72/AM72*100</f>
        <v>0</v>
      </c>
      <c r="AS72" s="81">
        <f t="shared" ref="AS72" si="368">AL72/AM72*100</f>
        <v>100</v>
      </c>
      <c r="AT72" s="81">
        <f t="shared" si="266"/>
        <v>0</v>
      </c>
      <c r="AU72" s="81">
        <f t="shared" si="267"/>
        <v>0</v>
      </c>
      <c r="AV72" s="81">
        <f t="shared" si="268"/>
        <v>0</v>
      </c>
      <c r="AW72" s="81">
        <f t="shared" si="269"/>
        <v>0</v>
      </c>
      <c r="AX72" s="81">
        <f t="shared" si="270"/>
        <v>100</v>
      </c>
      <c r="AY72" s="81">
        <f t="shared" si="271"/>
        <v>0</v>
      </c>
      <c r="AZ72" s="81">
        <f t="shared" si="272"/>
        <v>0</v>
      </c>
    </row>
    <row r="73" spans="1:52" s="209" customFormat="1" ht="20.25" customHeight="1">
      <c r="A73" s="396"/>
      <c r="B73" s="211" t="s">
        <v>164</v>
      </c>
      <c r="C73" s="261">
        <v>307</v>
      </c>
      <c r="D73" s="164">
        <v>45783</v>
      </c>
      <c r="E73" s="164">
        <v>45786</v>
      </c>
      <c r="F73" s="261">
        <v>80</v>
      </c>
      <c r="G73" s="261">
        <v>0</v>
      </c>
      <c r="H73" s="261">
        <f t="shared" si="331"/>
        <v>80</v>
      </c>
      <c r="I73" s="261">
        <v>0</v>
      </c>
      <c r="J73" s="261">
        <v>0</v>
      </c>
      <c r="K73" s="262">
        <f t="shared" si="332"/>
        <v>80</v>
      </c>
      <c r="L73" s="261">
        <v>0</v>
      </c>
      <c r="M73" s="261">
        <v>0</v>
      </c>
      <c r="N73" s="261">
        <v>80</v>
      </c>
      <c r="O73" s="261">
        <v>5</v>
      </c>
      <c r="P73" s="261">
        <v>0</v>
      </c>
      <c r="Q73" s="261">
        <v>0</v>
      </c>
      <c r="R73" s="261">
        <v>0</v>
      </c>
      <c r="S73" s="261">
        <v>0</v>
      </c>
      <c r="T73" s="261">
        <v>5</v>
      </c>
      <c r="U73" s="261">
        <v>0</v>
      </c>
      <c r="V73" s="261">
        <v>0</v>
      </c>
      <c r="W73" s="261">
        <v>0</v>
      </c>
      <c r="X73" s="261">
        <v>0</v>
      </c>
      <c r="Y73" s="261">
        <v>0</v>
      </c>
      <c r="Z73" s="261">
        <v>6</v>
      </c>
      <c r="AA73" s="261">
        <v>0</v>
      </c>
      <c r="AB73" s="261">
        <v>0</v>
      </c>
      <c r="AC73" s="261">
        <v>9</v>
      </c>
      <c r="AD73" s="261">
        <v>5</v>
      </c>
      <c r="AE73" s="261">
        <v>0</v>
      </c>
      <c r="AF73" s="261">
        <v>76</v>
      </c>
      <c r="AG73" s="261">
        <v>0</v>
      </c>
      <c r="AH73" s="261">
        <v>0</v>
      </c>
      <c r="AI73" s="261">
        <v>0</v>
      </c>
      <c r="AJ73" s="261">
        <v>0</v>
      </c>
      <c r="AK73" s="262">
        <f t="shared" ref="AK73" si="369">P73+S73+V73+Y73+AB73+AE73+AH73</f>
        <v>0</v>
      </c>
      <c r="AL73" s="262">
        <f t="shared" ref="AL73" si="370">Q73+T73+W73+Z73+AC73+AF73+AI73</f>
        <v>96</v>
      </c>
      <c r="AM73" s="262">
        <f t="shared" ref="AM73" si="371">AK73+AL73</f>
        <v>96</v>
      </c>
      <c r="AN73" s="262">
        <f t="shared" ref="AN73" si="372">R73+U73+X73+AA73+AD73+AG73+AJ73</f>
        <v>5</v>
      </c>
      <c r="AO73" s="189">
        <f t="shared" ref="AO73" si="373">O73/H73*100</f>
        <v>6.25</v>
      </c>
      <c r="AP73" s="189">
        <f t="shared" ref="AP73" si="374">AN73/H73*100</f>
        <v>6.25</v>
      </c>
      <c r="AQ73" s="189">
        <f t="shared" ref="AQ73" si="375">AN73/AM73*100</f>
        <v>5.2083333333333339</v>
      </c>
      <c r="AR73" s="81">
        <f t="shared" ref="AR73" si="376">AK73/AM73*100</f>
        <v>0</v>
      </c>
      <c r="AS73" s="81">
        <f t="shared" ref="AS73" si="377">AL73/AM73*100</f>
        <v>100</v>
      </c>
      <c r="AT73" s="81">
        <f t="shared" ref="AT73:AT75" si="378">R73/AN73*100</f>
        <v>0</v>
      </c>
      <c r="AU73" s="81">
        <f t="shared" ref="AU73:AU75" si="379">U73/AN73*100</f>
        <v>0</v>
      </c>
      <c r="AV73" s="81">
        <f t="shared" ref="AV73:AV75" si="380">X73/AN73*100</f>
        <v>0</v>
      </c>
      <c r="AW73" s="81">
        <f t="shared" ref="AW73:AW75" si="381">AA73/AN73*100</f>
        <v>0</v>
      </c>
      <c r="AX73" s="81">
        <f t="shared" ref="AX73:AX75" si="382">AD73/AN73*100</f>
        <v>100</v>
      </c>
      <c r="AY73" s="81">
        <f t="shared" ref="AY73:AY75" si="383">AG73/AN73*100</f>
        <v>0</v>
      </c>
      <c r="AZ73" s="81">
        <f t="shared" ref="AZ73:AZ75" si="384">AJ73/AN73*100</f>
        <v>0</v>
      </c>
    </row>
    <row r="74" spans="1:52" s="3" customFormat="1" ht="20.25" customHeight="1">
      <c r="A74" s="266" t="s">
        <v>275</v>
      </c>
      <c r="B74" s="83">
        <f>COUNTA(B72:B73)</f>
        <v>2</v>
      </c>
      <c r="C74" s="83">
        <f>C71</f>
        <v>440</v>
      </c>
      <c r="D74" s="104">
        <f>MIN(D72:D73)</f>
        <v>45779</v>
      </c>
      <c r="E74" s="104">
        <f>MAX(E72:E73)</f>
        <v>45786</v>
      </c>
      <c r="F74" s="83">
        <f>F71</f>
        <v>120</v>
      </c>
      <c r="G74" s="83">
        <f t="shared" ref="G74:AJ74" si="385">G71</f>
        <v>0</v>
      </c>
      <c r="H74" s="83">
        <f t="shared" si="385"/>
        <v>120</v>
      </c>
      <c r="I74" s="83">
        <f t="shared" si="385"/>
        <v>0</v>
      </c>
      <c r="J74" s="83">
        <f t="shared" si="385"/>
        <v>0</v>
      </c>
      <c r="K74" s="83">
        <f t="shared" si="385"/>
        <v>120</v>
      </c>
      <c r="L74" s="83">
        <f t="shared" si="385"/>
        <v>0</v>
      </c>
      <c r="M74" s="83">
        <f t="shared" si="385"/>
        <v>0</v>
      </c>
      <c r="N74" s="83">
        <f t="shared" si="385"/>
        <v>120</v>
      </c>
      <c r="O74" s="83">
        <f t="shared" si="385"/>
        <v>8</v>
      </c>
      <c r="P74" s="83">
        <f t="shared" si="385"/>
        <v>0</v>
      </c>
      <c r="Q74" s="83">
        <f t="shared" si="385"/>
        <v>0</v>
      </c>
      <c r="R74" s="83">
        <f t="shared" si="385"/>
        <v>0</v>
      </c>
      <c r="S74" s="83">
        <f t="shared" si="385"/>
        <v>0</v>
      </c>
      <c r="T74" s="83">
        <f t="shared" si="385"/>
        <v>10</v>
      </c>
      <c r="U74" s="83">
        <f t="shared" si="385"/>
        <v>0</v>
      </c>
      <c r="V74" s="83">
        <f t="shared" si="385"/>
        <v>0</v>
      </c>
      <c r="W74" s="83">
        <f t="shared" si="385"/>
        <v>0</v>
      </c>
      <c r="X74" s="83">
        <f t="shared" si="385"/>
        <v>0</v>
      </c>
      <c r="Y74" s="83">
        <f t="shared" si="385"/>
        <v>0</v>
      </c>
      <c r="Z74" s="83">
        <f t="shared" si="385"/>
        <v>7</v>
      </c>
      <c r="AA74" s="83">
        <f t="shared" si="385"/>
        <v>0</v>
      </c>
      <c r="AB74" s="83">
        <f t="shared" si="385"/>
        <v>0</v>
      </c>
      <c r="AC74" s="83">
        <f t="shared" si="385"/>
        <v>16</v>
      </c>
      <c r="AD74" s="83">
        <f t="shared" si="385"/>
        <v>8</v>
      </c>
      <c r="AE74" s="83">
        <f t="shared" si="385"/>
        <v>0</v>
      </c>
      <c r="AF74" s="83">
        <f t="shared" si="385"/>
        <v>108</v>
      </c>
      <c r="AG74" s="83">
        <f t="shared" si="385"/>
        <v>0</v>
      </c>
      <c r="AH74" s="83">
        <f t="shared" si="385"/>
        <v>0</v>
      </c>
      <c r="AI74" s="83">
        <f t="shared" si="385"/>
        <v>0</v>
      </c>
      <c r="AJ74" s="83">
        <f t="shared" si="385"/>
        <v>0</v>
      </c>
      <c r="AK74" s="83">
        <f>P74+S74+V74+Y74+AB74+AE74+AH74</f>
        <v>0</v>
      </c>
      <c r="AL74" s="83">
        <f>Q74+T74+W74+Z74+AC74+AF74+AI74</f>
        <v>141</v>
      </c>
      <c r="AM74" s="83">
        <f>AK74+AL74</f>
        <v>141</v>
      </c>
      <c r="AN74" s="83">
        <f>R74+U74+X74+AA74+AD74+AG74+AJ74</f>
        <v>8</v>
      </c>
      <c r="AO74" s="190">
        <f>O74/H74*100</f>
        <v>6.666666666666667</v>
      </c>
      <c r="AP74" s="190">
        <f>AN74/H74*100</f>
        <v>6.666666666666667</v>
      </c>
      <c r="AQ74" s="190">
        <f>AN74/AM74*100</f>
        <v>5.6737588652482271</v>
      </c>
      <c r="AR74" s="85">
        <f>AK74/AM74*100</f>
        <v>0</v>
      </c>
      <c r="AS74" s="85">
        <f>AL74/AM74*100</f>
        <v>100</v>
      </c>
      <c r="AT74" s="85">
        <f t="shared" si="378"/>
        <v>0</v>
      </c>
      <c r="AU74" s="85">
        <f t="shared" si="379"/>
        <v>0</v>
      </c>
      <c r="AV74" s="85">
        <f t="shared" si="380"/>
        <v>0</v>
      </c>
      <c r="AW74" s="85">
        <f t="shared" si="381"/>
        <v>0</v>
      </c>
      <c r="AX74" s="85">
        <f t="shared" si="382"/>
        <v>100</v>
      </c>
      <c r="AY74" s="85">
        <f t="shared" si="383"/>
        <v>0</v>
      </c>
      <c r="AZ74" s="85">
        <f t="shared" si="384"/>
        <v>0</v>
      </c>
    </row>
    <row r="75" spans="1:52" s="250" customFormat="1" ht="20.25" customHeight="1">
      <c r="A75" s="394" t="s">
        <v>246</v>
      </c>
      <c r="B75" s="77" t="s">
        <v>24</v>
      </c>
      <c r="C75" s="77">
        <f>SUM(C76:C88)</f>
        <v>2143</v>
      </c>
      <c r="D75" s="217">
        <f>MIN(D76:D88)</f>
        <v>45811</v>
      </c>
      <c r="E75" s="217">
        <f>MAX(E76:E88)</f>
        <v>45835</v>
      </c>
      <c r="F75" s="77">
        <f>SUM(F76:F88)</f>
        <v>687</v>
      </c>
      <c r="G75" s="77">
        <f t="shared" ref="G75:AJ75" si="386">SUM(G76:G88)</f>
        <v>0</v>
      </c>
      <c r="H75" s="77">
        <f t="shared" si="386"/>
        <v>687</v>
      </c>
      <c r="I75" s="77">
        <f t="shared" si="386"/>
        <v>0</v>
      </c>
      <c r="J75" s="77">
        <f t="shared" si="386"/>
        <v>0</v>
      </c>
      <c r="K75" s="77">
        <f t="shared" si="386"/>
        <v>687</v>
      </c>
      <c r="L75" s="77">
        <f t="shared" si="386"/>
        <v>0</v>
      </c>
      <c r="M75" s="77">
        <f t="shared" si="386"/>
        <v>0</v>
      </c>
      <c r="N75" s="77">
        <f t="shared" si="386"/>
        <v>0</v>
      </c>
      <c r="O75" s="77">
        <f t="shared" si="386"/>
        <v>16</v>
      </c>
      <c r="P75" s="77">
        <f t="shared" si="386"/>
        <v>0</v>
      </c>
      <c r="Q75" s="77">
        <f t="shared" si="386"/>
        <v>0</v>
      </c>
      <c r="R75" s="77">
        <f t="shared" si="386"/>
        <v>0</v>
      </c>
      <c r="S75" s="77">
        <f t="shared" si="386"/>
        <v>0</v>
      </c>
      <c r="T75" s="77">
        <f t="shared" si="386"/>
        <v>23</v>
      </c>
      <c r="U75" s="77">
        <f t="shared" si="386"/>
        <v>2</v>
      </c>
      <c r="V75" s="77">
        <f t="shared" si="386"/>
        <v>3</v>
      </c>
      <c r="W75" s="77">
        <f t="shared" si="386"/>
        <v>94</v>
      </c>
      <c r="X75" s="77">
        <f t="shared" si="386"/>
        <v>2</v>
      </c>
      <c r="Y75" s="77">
        <f t="shared" si="386"/>
        <v>0</v>
      </c>
      <c r="Z75" s="77">
        <f t="shared" si="386"/>
        <v>41</v>
      </c>
      <c r="AA75" s="77">
        <f t="shared" si="386"/>
        <v>0</v>
      </c>
      <c r="AB75" s="77">
        <f t="shared" si="386"/>
        <v>12</v>
      </c>
      <c r="AC75" s="77">
        <f t="shared" si="386"/>
        <v>155</v>
      </c>
      <c r="AD75" s="77">
        <f t="shared" si="386"/>
        <v>13</v>
      </c>
      <c r="AE75" s="77">
        <f t="shared" si="386"/>
        <v>12</v>
      </c>
      <c r="AF75" s="77">
        <f t="shared" si="386"/>
        <v>338</v>
      </c>
      <c r="AG75" s="77">
        <f t="shared" si="386"/>
        <v>0</v>
      </c>
      <c r="AH75" s="77">
        <f t="shared" si="386"/>
        <v>0</v>
      </c>
      <c r="AI75" s="77">
        <f t="shared" si="386"/>
        <v>4</v>
      </c>
      <c r="AJ75" s="77">
        <f t="shared" si="386"/>
        <v>0</v>
      </c>
      <c r="AK75" s="77">
        <f>P75+S75+V75+Y75+AB75+AE75+AH75</f>
        <v>27</v>
      </c>
      <c r="AL75" s="77">
        <f>Q75+T75+W75+Z75+AC75+AF75+AI75</f>
        <v>655</v>
      </c>
      <c r="AM75" s="77">
        <f>AK75+AL75</f>
        <v>682</v>
      </c>
      <c r="AN75" s="77">
        <f>R75+U75+X75+AA75+AD75+AG75+AJ75</f>
        <v>17</v>
      </c>
      <c r="AO75" s="188">
        <f>O75/H75*100</f>
        <v>2.3289665211062593</v>
      </c>
      <c r="AP75" s="188">
        <f>AN75/H75*100</f>
        <v>2.4745269286754001</v>
      </c>
      <c r="AQ75" s="188">
        <f>AN75/AM75*100</f>
        <v>2.4926686217008798</v>
      </c>
      <c r="AR75" s="88">
        <f t="shared" ref="AR75" si="387">AK75/AM75*100</f>
        <v>3.9589442815249267</v>
      </c>
      <c r="AS75" s="88">
        <f t="shared" ref="AS75" si="388">AL75/AM75*100</f>
        <v>96.041055718475079</v>
      </c>
      <c r="AT75" s="88">
        <f t="shared" si="378"/>
        <v>0</v>
      </c>
      <c r="AU75" s="88">
        <f t="shared" si="379"/>
        <v>11.76470588235294</v>
      </c>
      <c r="AV75" s="88">
        <f t="shared" si="380"/>
        <v>11.76470588235294</v>
      </c>
      <c r="AW75" s="88">
        <f t="shared" si="381"/>
        <v>0</v>
      </c>
      <c r="AX75" s="88">
        <f t="shared" si="382"/>
        <v>76.470588235294116</v>
      </c>
      <c r="AY75" s="88">
        <f t="shared" si="383"/>
        <v>0</v>
      </c>
      <c r="AZ75" s="88">
        <f t="shared" si="384"/>
        <v>0</v>
      </c>
    </row>
    <row r="76" spans="1:52" s="277" customFormat="1" ht="20.25" customHeight="1">
      <c r="A76" s="395"/>
      <c r="B76" s="240" t="s">
        <v>282</v>
      </c>
      <c r="C76" s="235">
        <v>128</v>
      </c>
      <c r="D76" s="276">
        <v>45811</v>
      </c>
      <c r="E76" s="276" t="s">
        <v>283</v>
      </c>
      <c r="F76" s="235">
        <v>40</v>
      </c>
      <c r="G76" s="235">
        <v>0</v>
      </c>
      <c r="H76" s="261">
        <f t="shared" si="331"/>
        <v>40</v>
      </c>
      <c r="I76" s="235">
        <v>0</v>
      </c>
      <c r="J76" s="235">
        <v>0</v>
      </c>
      <c r="K76" s="271">
        <f t="shared" si="332"/>
        <v>40</v>
      </c>
      <c r="L76" s="235">
        <v>0</v>
      </c>
      <c r="M76" s="235">
        <v>0</v>
      </c>
      <c r="N76" s="235">
        <v>0</v>
      </c>
      <c r="O76" s="235">
        <v>3</v>
      </c>
      <c r="P76" s="235">
        <v>0</v>
      </c>
      <c r="Q76" s="235">
        <v>0</v>
      </c>
      <c r="R76" s="235">
        <v>0</v>
      </c>
      <c r="S76" s="235">
        <v>0</v>
      </c>
      <c r="T76" s="235">
        <v>2</v>
      </c>
      <c r="U76" s="235">
        <v>1</v>
      </c>
      <c r="V76" s="235">
        <v>0</v>
      </c>
      <c r="W76" s="235">
        <v>5</v>
      </c>
      <c r="X76" s="235">
        <v>1</v>
      </c>
      <c r="Y76" s="235">
        <v>0</v>
      </c>
      <c r="Z76" s="235">
        <v>8</v>
      </c>
      <c r="AA76" s="235">
        <v>0</v>
      </c>
      <c r="AB76" s="235">
        <v>0</v>
      </c>
      <c r="AC76" s="235">
        <v>10</v>
      </c>
      <c r="AD76" s="235">
        <v>1</v>
      </c>
      <c r="AE76" s="235">
        <v>0</v>
      </c>
      <c r="AF76" s="235">
        <v>5</v>
      </c>
      <c r="AG76" s="235">
        <v>0</v>
      </c>
      <c r="AH76" s="235">
        <v>0</v>
      </c>
      <c r="AI76" s="235">
        <v>0</v>
      </c>
      <c r="AJ76" s="235">
        <v>0</v>
      </c>
      <c r="AK76" s="271">
        <f t="shared" ref="AK76" si="389">P76+S76+V76+Y76+AB76+AE76+AH76</f>
        <v>0</v>
      </c>
      <c r="AL76" s="271">
        <f t="shared" ref="AL76" si="390">Q76+T76+W76+Z76+AC76+AF76+AI76</f>
        <v>30</v>
      </c>
      <c r="AM76" s="271">
        <f t="shared" ref="AM76" si="391">AK76+AL76</f>
        <v>30</v>
      </c>
      <c r="AN76" s="271">
        <f t="shared" ref="AN76" si="392">R76+U76+X76+AA76+AD76+AG76+AJ76</f>
        <v>3</v>
      </c>
      <c r="AO76" s="189">
        <f t="shared" ref="AO76" si="393">O76/H76*100</f>
        <v>7.5</v>
      </c>
      <c r="AP76" s="189">
        <f t="shared" ref="AP76" si="394">AN76/H76*100</f>
        <v>7.5</v>
      </c>
      <c r="AQ76" s="189">
        <f t="shared" ref="AQ76" si="395">AN76/AM76*100</f>
        <v>10</v>
      </c>
      <c r="AR76" s="81">
        <f t="shared" ref="AR76" si="396">AK76/AM76*100</f>
        <v>0</v>
      </c>
      <c r="AS76" s="81">
        <f t="shared" ref="AS76" si="397">AL76/AM76*100</f>
        <v>100</v>
      </c>
      <c r="AT76" s="81">
        <f t="shared" ref="AT76" si="398">R76/AN76*100</f>
        <v>0</v>
      </c>
      <c r="AU76" s="81">
        <f t="shared" ref="AU76" si="399">U76/AN76*100</f>
        <v>33.333333333333329</v>
      </c>
      <c r="AV76" s="81">
        <f t="shared" ref="AV76" si="400">X76/AN76*100</f>
        <v>33.333333333333329</v>
      </c>
      <c r="AW76" s="81">
        <f t="shared" ref="AW76" si="401">AA76/AN76*100</f>
        <v>0</v>
      </c>
      <c r="AX76" s="81">
        <f t="shared" ref="AX76" si="402">AD76/AN76*100</f>
        <v>33.333333333333329</v>
      </c>
      <c r="AY76" s="81">
        <f t="shared" ref="AY76" si="403">AG76/AN76*100</f>
        <v>0</v>
      </c>
      <c r="AZ76" s="81">
        <f t="shared" ref="AZ76" si="404">AJ76/AN76*100</f>
        <v>0</v>
      </c>
    </row>
    <row r="77" spans="1:52" s="277" customFormat="1" ht="20.25" customHeight="1">
      <c r="A77" s="395"/>
      <c r="B77" s="240" t="s">
        <v>211</v>
      </c>
      <c r="C77" s="235">
        <v>132</v>
      </c>
      <c r="D77" s="276">
        <v>45818</v>
      </c>
      <c r="E77" s="276">
        <v>45818</v>
      </c>
      <c r="F77" s="235">
        <v>40</v>
      </c>
      <c r="G77" s="235">
        <v>0</v>
      </c>
      <c r="H77" s="261">
        <f t="shared" si="331"/>
        <v>40</v>
      </c>
      <c r="I77" s="235">
        <v>0</v>
      </c>
      <c r="J77" s="235">
        <v>0</v>
      </c>
      <c r="K77" s="271">
        <f t="shared" si="332"/>
        <v>40</v>
      </c>
      <c r="L77" s="235">
        <v>0</v>
      </c>
      <c r="M77" s="235">
        <v>0</v>
      </c>
      <c r="N77" s="235">
        <v>0</v>
      </c>
      <c r="O77" s="235">
        <v>1</v>
      </c>
      <c r="P77" s="235">
        <v>0</v>
      </c>
      <c r="Q77" s="235">
        <v>0</v>
      </c>
      <c r="R77" s="235">
        <v>0</v>
      </c>
      <c r="S77" s="235">
        <v>0</v>
      </c>
      <c r="T77" s="235">
        <v>1</v>
      </c>
      <c r="U77" s="235">
        <v>0</v>
      </c>
      <c r="V77" s="235">
        <v>0</v>
      </c>
      <c r="W77" s="235">
        <v>16</v>
      </c>
      <c r="X77" s="235">
        <v>0</v>
      </c>
      <c r="Y77" s="235">
        <v>0</v>
      </c>
      <c r="Z77" s="235">
        <v>1</v>
      </c>
      <c r="AA77" s="235">
        <v>0</v>
      </c>
      <c r="AB77" s="235">
        <v>0</v>
      </c>
      <c r="AC77" s="235">
        <v>10</v>
      </c>
      <c r="AD77" s="235">
        <v>1</v>
      </c>
      <c r="AE77" s="235">
        <v>0</v>
      </c>
      <c r="AF77" s="235">
        <v>3</v>
      </c>
      <c r="AG77" s="235">
        <v>0</v>
      </c>
      <c r="AH77" s="235">
        <v>0</v>
      </c>
      <c r="AI77" s="235">
        <v>0</v>
      </c>
      <c r="AJ77" s="235">
        <v>0</v>
      </c>
      <c r="AK77" s="271">
        <f t="shared" ref="AK77:AK90" si="405">P77+S77+V77+Y77+AB77+AE77+AH77</f>
        <v>0</v>
      </c>
      <c r="AL77" s="271">
        <f t="shared" ref="AL77:AL90" si="406">Q77+T77+W77+Z77+AC77+AF77+AI77</f>
        <v>31</v>
      </c>
      <c r="AM77" s="271">
        <f t="shared" ref="AM77:AM90" si="407">AK77+AL77</f>
        <v>31</v>
      </c>
      <c r="AN77" s="271">
        <f t="shared" ref="AN77:AN90" si="408">R77+U77+X77+AA77+AD77+AG77+AJ77</f>
        <v>1</v>
      </c>
      <c r="AO77" s="189">
        <f t="shared" ref="AO77:AO90" si="409">O77/H77*100</f>
        <v>2.5</v>
      </c>
      <c r="AP77" s="189">
        <f t="shared" ref="AP77:AP90" si="410">AN77/H77*100</f>
        <v>2.5</v>
      </c>
      <c r="AQ77" s="189">
        <f t="shared" ref="AQ77:AQ90" si="411">AN77/AM77*100</f>
        <v>3.225806451612903</v>
      </c>
      <c r="AR77" s="81">
        <f t="shared" ref="AR77:AR90" si="412">AK77/AM77*100</f>
        <v>0</v>
      </c>
      <c r="AS77" s="81">
        <f t="shared" ref="AS77:AS90" si="413">AL77/AM77*100</f>
        <v>100</v>
      </c>
      <c r="AT77" s="81">
        <f t="shared" ref="AT77:AT92" si="414">R77/AN77*100</f>
        <v>0</v>
      </c>
      <c r="AU77" s="81">
        <f t="shared" ref="AU77:AU92" si="415">U77/AN77*100</f>
        <v>0</v>
      </c>
      <c r="AV77" s="81">
        <f t="shared" ref="AV77:AV92" si="416">X77/AN77*100</f>
        <v>0</v>
      </c>
      <c r="AW77" s="81">
        <f t="shared" ref="AW77:AW92" si="417">AA77/AN77*100</f>
        <v>0</v>
      </c>
      <c r="AX77" s="81">
        <f t="shared" ref="AX77:AX92" si="418">AD77/AN77*100</f>
        <v>100</v>
      </c>
      <c r="AY77" s="81">
        <f t="shared" ref="AY77:AY92" si="419">AG77/AN77*100</f>
        <v>0</v>
      </c>
      <c r="AZ77" s="81">
        <f t="shared" ref="AZ77:AZ92" si="420">AJ77/AN77*100</f>
        <v>0</v>
      </c>
    </row>
    <row r="78" spans="1:52" s="277" customFormat="1" ht="20.25" customHeight="1">
      <c r="A78" s="395"/>
      <c r="B78" s="240" t="s">
        <v>188</v>
      </c>
      <c r="C78" s="235">
        <v>934</v>
      </c>
      <c r="D78" s="276">
        <v>45818</v>
      </c>
      <c r="E78" s="276">
        <v>45834</v>
      </c>
      <c r="F78" s="235">
        <v>240</v>
      </c>
      <c r="G78" s="235">
        <v>0</v>
      </c>
      <c r="H78" s="261">
        <f t="shared" si="331"/>
        <v>240</v>
      </c>
      <c r="I78" s="235">
        <v>0</v>
      </c>
      <c r="J78" s="235">
        <v>0</v>
      </c>
      <c r="K78" s="271">
        <f t="shared" si="332"/>
        <v>240</v>
      </c>
      <c r="L78" s="235">
        <v>0</v>
      </c>
      <c r="M78" s="235">
        <v>0</v>
      </c>
      <c r="N78" s="235">
        <v>0</v>
      </c>
      <c r="O78" s="235">
        <v>8</v>
      </c>
      <c r="P78" s="235">
        <v>0</v>
      </c>
      <c r="Q78" s="235">
        <v>0</v>
      </c>
      <c r="R78" s="235">
        <v>0</v>
      </c>
      <c r="S78" s="235">
        <v>0</v>
      </c>
      <c r="T78" s="235">
        <v>7</v>
      </c>
      <c r="U78" s="235">
        <v>1</v>
      </c>
      <c r="V78" s="235">
        <v>0</v>
      </c>
      <c r="W78" s="235">
        <v>0</v>
      </c>
      <c r="X78" s="235">
        <v>0</v>
      </c>
      <c r="Y78" s="235">
        <v>0</v>
      </c>
      <c r="Z78" s="235">
        <v>4</v>
      </c>
      <c r="AA78" s="235">
        <v>0</v>
      </c>
      <c r="AB78" s="235">
        <v>12</v>
      </c>
      <c r="AC78" s="235">
        <v>25</v>
      </c>
      <c r="AD78" s="235">
        <v>8</v>
      </c>
      <c r="AE78" s="235">
        <v>12</v>
      </c>
      <c r="AF78" s="235">
        <v>259</v>
      </c>
      <c r="AG78" s="235">
        <v>0</v>
      </c>
      <c r="AH78" s="235">
        <v>0</v>
      </c>
      <c r="AI78" s="235">
        <v>0</v>
      </c>
      <c r="AJ78" s="235">
        <v>0</v>
      </c>
      <c r="AK78" s="271">
        <f t="shared" si="405"/>
        <v>24</v>
      </c>
      <c r="AL78" s="271">
        <f t="shared" si="406"/>
        <v>295</v>
      </c>
      <c r="AM78" s="271">
        <f t="shared" si="407"/>
        <v>319</v>
      </c>
      <c r="AN78" s="271">
        <f t="shared" si="408"/>
        <v>9</v>
      </c>
      <c r="AO78" s="189">
        <f t="shared" si="409"/>
        <v>3.3333333333333335</v>
      </c>
      <c r="AP78" s="189">
        <f t="shared" si="410"/>
        <v>3.75</v>
      </c>
      <c r="AQ78" s="189">
        <f t="shared" si="411"/>
        <v>2.8213166144200628</v>
      </c>
      <c r="AR78" s="81">
        <f t="shared" si="412"/>
        <v>7.523510971786834</v>
      </c>
      <c r="AS78" s="81">
        <f t="shared" si="413"/>
        <v>92.476489028213166</v>
      </c>
      <c r="AT78" s="81">
        <f t="shared" si="414"/>
        <v>0</v>
      </c>
      <c r="AU78" s="81">
        <f t="shared" si="415"/>
        <v>11.111111111111111</v>
      </c>
      <c r="AV78" s="81">
        <f t="shared" si="416"/>
        <v>0</v>
      </c>
      <c r="AW78" s="81">
        <f t="shared" si="417"/>
        <v>0</v>
      </c>
      <c r="AX78" s="81">
        <f t="shared" si="418"/>
        <v>88.888888888888886</v>
      </c>
      <c r="AY78" s="81">
        <f t="shared" si="419"/>
        <v>0</v>
      </c>
      <c r="AZ78" s="81">
        <f t="shared" si="420"/>
        <v>0</v>
      </c>
    </row>
    <row r="79" spans="1:52" s="277" customFormat="1" ht="20.25" customHeight="1">
      <c r="A79" s="395"/>
      <c r="B79" s="240" t="s">
        <v>165</v>
      </c>
      <c r="C79" s="235">
        <v>352</v>
      </c>
      <c r="D79" s="276">
        <v>45819</v>
      </c>
      <c r="E79" s="276">
        <v>45820</v>
      </c>
      <c r="F79" s="235">
        <v>100</v>
      </c>
      <c r="G79" s="235">
        <v>0</v>
      </c>
      <c r="H79" s="261">
        <f t="shared" si="331"/>
        <v>100</v>
      </c>
      <c r="I79" s="235">
        <v>0</v>
      </c>
      <c r="J79" s="235">
        <v>0</v>
      </c>
      <c r="K79" s="271">
        <f t="shared" si="332"/>
        <v>100</v>
      </c>
      <c r="L79" s="235">
        <v>0</v>
      </c>
      <c r="M79" s="235">
        <v>0</v>
      </c>
      <c r="N79" s="235">
        <v>0</v>
      </c>
      <c r="O79" s="235">
        <v>2</v>
      </c>
      <c r="P79" s="235">
        <v>0</v>
      </c>
      <c r="Q79" s="235">
        <v>0</v>
      </c>
      <c r="R79" s="235">
        <v>0</v>
      </c>
      <c r="S79" s="235">
        <v>0</v>
      </c>
      <c r="T79" s="235">
        <v>5</v>
      </c>
      <c r="U79" s="235">
        <v>0</v>
      </c>
      <c r="V79" s="235">
        <v>0</v>
      </c>
      <c r="W79" s="235">
        <v>19</v>
      </c>
      <c r="X79" s="235">
        <v>1</v>
      </c>
      <c r="Y79" s="235">
        <v>0</v>
      </c>
      <c r="Z79" s="235">
        <v>7</v>
      </c>
      <c r="AA79" s="235">
        <v>0</v>
      </c>
      <c r="AB79" s="235">
        <v>0</v>
      </c>
      <c r="AC79" s="235">
        <v>31</v>
      </c>
      <c r="AD79" s="235">
        <v>1</v>
      </c>
      <c r="AE79" s="235">
        <v>0</v>
      </c>
      <c r="AF79" s="235">
        <v>21</v>
      </c>
      <c r="AG79" s="235">
        <v>0</v>
      </c>
      <c r="AH79" s="235">
        <v>0</v>
      </c>
      <c r="AI79" s="235">
        <v>0</v>
      </c>
      <c r="AJ79" s="235">
        <v>0</v>
      </c>
      <c r="AK79" s="271">
        <f t="shared" si="405"/>
        <v>0</v>
      </c>
      <c r="AL79" s="271">
        <f t="shared" si="406"/>
        <v>83</v>
      </c>
      <c r="AM79" s="271">
        <f t="shared" si="407"/>
        <v>83</v>
      </c>
      <c r="AN79" s="271">
        <f t="shared" si="408"/>
        <v>2</v>
      </c>
      <c r="AO79" s="189">
        <f t="shared" si="409"/>
        <v>2</v>
      </c>
      <c r="AP79" s="189">
        <f t="shared" si="410"/>
        <v>2</v>
      </c>
      <c r="AQ79" s="189">
        <f t="shared" si="411"/>
        <v>2.4096385542168677</v>
      </c>
      <c r="AR79" s="81">
        <f t="shared" si="412"/>
        <v>0</v>
      </c>
      <c r="AS79" s="81">
        <f t="shared" si="413"/>
        <v>100</v>
      </c>
      <c r="AT79" s="81">
        <f t="shared" si="414"/>
        <v>0</v>
      </c>
      <c r="AU79" s="81">
        <f t="shared" si="415"/>
        <v>0</v>
      </c>
      <c r="AV79" s="81">
        <f t="shared" si="416"/>
        <v>50</v>
      </c>
      <c r="AW79" s="81">
        <f t="shared" si="417"/>
        <v>0</v>
      </c>
      <c r="AX79" s="81">
        <f t="shared" si="418"/>
        <v>50</v>
      </c>
      <c r="AY79" s="81">
        <f t="shared" si="419"/>
        <v>0</v>
      </c>
      <c r="AZ79" s="81">
        <f t="shared" si="420"/>
        <v>0</v>
      </c>
    </row>
    <row r="80" spans="1:52" s="277" customFormat="1" ht="20.25" customHeight="1">
      <c r="A80" s="395"/>
      <c r="B80" s="240" t="s">
        <v>251</v>
      </c>
      <c r="C80" s="235">
        <v>134</v>
      </c>
      <c r="D80" s="276">
        <v>45820</v>
      </c>
      <c r="E80" s="276">
        <v>45821</v>
      </c>
      <c r="F80" s="235">
        <v>40</v>
      </c>
      <c r="G80" s="235">
        <v>0</v>
      </c>
      <c r="H80" s="261">
        <f t="shared" si="331"/>
        <v>40</v>
      </c>
      <c r="I80" s="235">
        <v>0</v>
      </c>
      <c r="J80" s="235">
        <v>0</v>
      </c>
      <c r="K80" s="271">
        <f t="shared" si="332"/>
        <v>40</v>
      </c>
      <c r="L80" s="235">
        <v>0</v>
      </c>
      <c r="M80" s="235">
        <v>0</v>
      </c>
      <c r="N80" s="235">
        <v>0</v>
      </c>
      <c r="O80" s="235">
        <v>1</v>
      </c>
      <c r="P80" s="235">
        <v>0</v>
      </c>
      <c r="Q80" s="235">
        <v>0</v>
      </c>
      <c r="R80" s="235">
        <v>0</v>
      </c>
      <c r="S80" s="235">
        <v>0</v>
      </c>
      <c r="T80" s="235">
        <v>0</v>
      </c>
      <c r="U80" s="235">
        <v>0</v>
      </c>
      <c r="V80" s="235">
        <v>0</v>
      </c>
      <c r="W80" s="235">
        <v>15</v>
      </c>
      <c r="X80" s="235">
        <v>0</v>
      </c>
      <c r="Y80" s="235">
        <v>0</v>
      </c>
      <c r="Z80" s="235">
        <v>9</v>
      </c>
      <c r="AA80" s="235">
        <v>0</v>
      </c>
      <c r="AB80" s="235">
        <v>0</v>
      </c>
      <c r="AC80" s="235">
        <v>21</v>
      </c>
      <c r="AD80" s="235">
        <v>1</v>
      </c>
      <c r="AE80" s="235">
        <v>0</v>
      </c>
      <c r="AF80" s="235">
        <v>0</v>
      </c>
      <c r="AG80" s="235">
        <v>0</v>
      </c>
      <c r="AH80" s="235">
        <v>0</v>
      </c>
      <c r="AI80" s="235">
        <v>0</v>
      </c>
      <c r="AJ80" s="235">
        <v>0</v>
      </c>
      <c r="AK80" s="271">
        <f t="shared" si="405"/>
        <v>0</v>
      </c>
      <c r="AL80" s="271">
        <f t="shared" si="406"/>
        <v>45</v>
      </c>
      <c r="AM80" s="271">
        <f t="shared" si="407"/>
        <v>45</v>
      </c>
      <c r="AN80" s="271">
        <f t="shared" si="408"/>
        <v>1</v>
      </c>
      <c r="AO80" s="189">
        <f t="shared" si="409"/>
        <v>2.5</v>
      </c>
      <c r="AP80" s="189">
        <f t="shared" si="410"/>
        <v>2.5</v>
      </c>
      <c r="AQ80" s="189">
        <f t="shared" si="411"/>
        <v>2.2222222222222223</v>
      </c>
      <c r="AR80" s="81">
        <f t="shared" si="412"/>
        <v>0</v>
      </c>
      <c r="AS80" s="81">
        <f t="shared" si="413"/>
        <v>100</v>
      </c>
      <c r="AT80" s="81">
        <f t="shared" si="414"/>
        <v>0</v>
      </c>
      <c r="AU80" s="81">
        <f t="shared" si="415"/>
        <v>0</v>
      </c>
      <c r="AV80" s="81">
        <f t="shared" si="416"/>
        <v>0</v>
      </c>
      <c r="AW80" s="81">
        <f t="shared" si="417"/>
        <v>0</v>
      </c>
      <c r="AX80" s="81">
        <f t="shared" si="418"/>
        <v>100</v>
      </c>
      <c r="AY80" s="81">
        <f t="shared" si="419"/>
        <v>0</v>
      </c>
      <c r="AZ80" s="81">
        <f t="shared" si="420"/>
        <v>0</v>
      </c>
    </row>
    <row r="81" spans="1:52" s="277" customFormat="1" ht="20.25" customHeight="1">
      <c r="A81" s="395"/>
      <c r="B81" s="240" t="s">
        <v>164</v>
      </c>
      <c r="C81" s="235">
        <v>80</v>
      </c>
      <c r="D81" s="276">
        <v>45824</v>
      </c>
      <c r="E81" s="276">
        <v>45824</v>
      </c>
      <c r="F81" s="235">
        <v>80</v>
      </c>
      <c r="G81" s="235">
        <v>0</v>
      </c>
      <c r="H81" s="261">
        <f t="shared" si="331"/>
        <v>80</v>
      </c>
      <c r="I81" s="235">
        <v>0</v>
      </c>
      <c r="J81" s="235">
        <v>0</v>
      </c>
      <c r="K81" s="271">
        <f t="shared" si="332"/>
        <v>80</v>
      </c>
      <c r="L81" s="235">
        <v>0</v>
      </c>
      <c r="M81" s="235">
        <v>0</v>
      </c>
      <c r="N81" s="235">
        <v>0</v>
      </c>
      <c r="O81" s="235">
        <v>0</v>
      </c>
      <c r="P81" s="235">
        <v>0</v>
      </c>
      <c r="Q81" s="235">
        <v>0</v>
      </c>
      <c r="R81" s="235">
        <v>0</v>
      </c>
      <c r="S81" s="235">
        <v>0</v>
      </c>
      <c r="T81" s="235">
        <v>3</v>
      </c>
      <c r="U81" s="235">
        <v>0</v>
      </c>
      <c r="V81" s="235">
        <v>0</v>
      </c>
      <c r="W81" s="235">
        <v>23</v>
      </c>
      <c r="X81" s="235">
        <v>0</v>
      </c>
      <c r="Y81" s="235">
        <v>0</v>
      </c>
      <c r="Z81" s="235">
        <v>3</v>
      </c>
      <c r="AA81" s="235">
        <v>0</v>
      </c>
      <c r="AB81" s="235">
        <v>0</v>
      </c>
      <c r="AC81" s="235">
        <v>24</v>
      </c>
      <c r="AD81" s="235">
        <v>0</v>
      </c>
      <c r="AE81" s="235">
        <v>0</v>
      </c>
      <c r="AF81" s="235">
        <v>8</v>
      </c>
      <c r="AG81" s="235">
        <v>0</v>
      </c>
      <c r="AH81" s="235">
        <v>0</v>
      </c>
      <c r="AI81" s="235">
        <v>2</v>
      </c>
      <c r="AJ81" s="235">
        <v>0</v>
      </c>
      <c r="AK81" s="271">
        <f t="shared" si="405"/>
        <v>0</v>
      </c>
      <c r="AL81" s="271">
        <f t="shared" si="406"/>
        <v>63</v>
      </c>
      <c r="AM81" s="271">
        <f t="shared" si="407"/>
        <v>63</v>
      </c>
      <c r="AN81" s="271">
        <f t="shared" si="408"/>
        <v>0</v>
      </c>
      <c r="AO81" s="189">
        <f t="shared" si="409"/>
        <v>0</v>
      </c>
      <c r="AP81" s="189">
        <f t="shared" si="410"/>
        <v>0</v>
      </c>
      <c r="AQ81" s="189">
        <f t="shared" si="411"/>
        <v>0</v>
      </c>
      <c r="AR81" s="81">
        <f t="shared" si="412"/>
        <v>0</v>
      </c>
      <c r="AS81" s="81">
        <f t="shared" si="413"/>
        <v>100</v>
      </c>
      <c r="AT81" s="81" t="e">
        <f t="shared" si="414"/>
        <v>#DIV/0!</v>
      </c>
      <c r="AU81" s="81" t="e">
        <f t="shared" si="415"/>
        <v>#DIV/0!</v>
      </c>
      <c r="AV81" s="81" t="e">
        <f t="shared" si="416"/>
        <v>#DIV/0!</v>
      </c>
      <c r="AW81" s="81" t="e">
        <f t="shared" si="417"/>
        <v>#DIV/0!</v>
      </c>
      <c r="AX81" s="81" t="e">
        <f t="shared" si="418"/>
        <v>#DIV/0!</v>
      </c>
      <c r="AY81" s="81" t="e">
        <f t="shared" si="419"/>
        <v>#DIV/0!</v>
      </c>
      <c r="AZ81" s="81" t="e">
        <f t="shared" si="420"/>
        <v>#DIV/0!</v>
      </c>
    </row>
    <row r="82" spans="1:52" s="277" customFormat="1" ht="20.25" customHeight="1">
      <c r="A82" s="395"/>
      <c r="B82" s="240" t="s">
        <v>146</v>
      </c>
      <c r="C82" s="235">
        <v>59</v>
      </c>
      <c r="D82" s="276">
        <v>45832</v>
      </c>
      <c r="E82" s="276">
        <v>45832</v>
      </c>
      <c r="F82" s="235">
        <v>20</v>
      </c>
      <c r="G82" s="235">
        <v>0</v>
      </c>
      <c r="H82" s="261">
        <f t="shared" si="331"/>
        <v>20</v>
      </c>
      <c r="I82" s="235">
        <v>0</v>
      </c>
      <c r="J82" s="235">
        <v>0</v>
      </c>
      <c r="K82" s="271">
        <f t="shared" si="332"/>
        <v>20</v>
      </c>
      <c r="L82" s="235">
        <v>0</v>
      </c>
      <c r="M82" s="235">
        <v>0</v>
      </c>
      <c r="N82" s="235">
        <v>0</v>
      </c>
      <c r="O82" s="235">
        <v>0</v>
      </c>
      <c r="P82" s="235">
        <v>0</v>
      </c>
      <c r="Q82" s="235">
        <v>0</v>
      </c>
      <c r="R82" s="235">
        <v>0</v>
      </c>
      <c r="S82" s="235">
        <v>0</v>
      </c>
      <c r="T82" s="235">
        <v>0</v>
      </c>
      <c r="U82" s="235">
        <v>0</v>
      </c>
      <c r="V82" s="235">
        <v>0</v>
      </c>
      <c r="W82" s="235">
        <v>4</v>
      </c>
      <c r="X82" s="235">
        <v>0</v>
      </c>
      <c r="Y82" s="235">
        <v>0</v>
      </c>
      <c r="Z82" s="235">
        <v>0</v>
      </c>
      <c r="AA82" s="235">
        <v>0</v>
      </c>
      <c r="AB82" s="235">
        <v>0</v>
      </c>
      <c r="AC82" s="235">
        <v>4</v>
      </c>
      <c r="AD82" s="235">
        <v>0</v>
      </c>
      <c r="AE82" s="235">
        <v>0</v>
      </c>
      <c r="AF82" s="235">
        <v>0</v>
      </c>
      <c r="AG82" s="235">
        <v>0</v>
      </c>
      <c r="AH82" s="235">
        <v>0</v>
      </c>
      <c r="AI82" s="235">
        <v>0</v>
      </c>
      <c r="AJ82" s="235">
        <v>0</v>
      </c>
      <c r="AK82" s="271">
        <f t="shared" si="405"/>
        <v>0</v>
      </c>
      <c r="AL82" s="271">
        <f t="shared" si="406"/>
        <v>8</v>
      </c>
      <c r="AM82" s="271">
        <f t="shared" si="407"/>
        <v>8</v>
      </c>
      <c r="AN82" s="271">
        <f t="shared" si="408"/>
        <v>0</v>
      </c>
      <c r="AO82" s="189">
        <f t="shared" si="409"/>
        <v>0</v>
      </c>
      <c r="AP82" s="189">
        <f t="shared" si="410"/>
        <v>0</v>
      </c>
      <c r="AQ82" s="189">
        <f t="shared" si="411"/>
        <v>0</v>
      </c>
      <c r="AR82" s="81">
        <f t="shared" si="412"/>
        <v>0</v>
      </c>
      <c r="AS82" s="81">
        <f t="shared" si="413"/>
        <v>100</v>
      </c>
      <c r="AT82" s="81" t="e">
        <f t="shared" si="414"/>
        <v>#DIV/0!</v>
      </c>
      <c r="AU82" s="81" t="e">
        <f t="shared" si="415"/>
        <v>#DIV/0!</v>
      </c>
      <c r="AV82" s="81" t="e">
        <f t="shared" si="416"/>
        <v>#DIV/0!</v>
      </c>
      <c r="AW82" s="81" t="e">
        <f t="shared" si="417"/>
        <v>#DIV/0!</v>
      </c>
      <c r="AX82" s="81" t="e">
        <f t="shared" si="418"/>
        <v>#DIV/0!</v>
      </c>
      <c r="AY82" s="81" t="e">
        <f t="shared" si="419"/>
        <v>#DIV/0!</v>
      </c>
      <c r="AZ82" s="81" t="e">
        <f t="shared" si="420"/>
        <v>#DIV/0!</v>
      </c>
    </row>
    <row r="83" spans="1:52" s="277" customFormat="1" ht="20.25" customHeight="1">
      <c r="A83" s="395"/>
      <c r="B83" s="240" t="s">
        <v>284</v>
      </c>
      <c r="C83" s="235">
        <v>62</v>
      </c>
      <c r="D83" s="276">
        <v>45835</v>
      </c>
      <c r="E83" s="276">
        <v>45835</v>
      </c>
      <c r="F83" s="235">
        <v>20</v>
      </c>
      <c r="G83" s="235">
        <v>0</v>
      </c>
      <c r="H83" s="261">
        <f t="shared" si="331"/>
        <v>20</v>
      </c>
      <c r="I83" s="235">
        <v>0</v>
      </c>
      <c r="J83" s="235">
        <v>0</v>
      </c>
      <c r="K83" s="271">
        <f t="shared" si="332"/>
        <v>20</v>
      </c>
      <c r="L83" s="235">
        <v>0</v>
      </c>
      <c r="M83" s="235">
        <v>0</v>
      </c>
      <c r="N83" s="235">
        <v>0</v>
      </c>
      <c r="O83" s="235">
        <v>1</v>
      </c>
      <c r="P83" s="235">
        <v>0</v>
      </c>
      <c r="Q83" s="235">
        <v>0</v>
      </c>
      <c r="R83" s="235">
        <v>0</v>
      </c>
      <c r="S83" s="235">
        <v>0</v>
      </c>
      <c r="T83" s="235">
        <v>1</v>
      </c>
      <c r="U83" s="235">
        <v>0</v>
      </c>
      <c r="V83" s="235">
        <v>0</v>
      </c>
      <c r="W83" s="235">
        <v>0</v>
      </c>
      <c r="X83" s="235">
        <v>0</v>
      </c>
      <c r="Y83" s="235">
        <v>0</v>
      </c>
      <c r="Z83" s="235">
        <v>0</v>
      </c>
      <c r="AA83" s="235">
        <v>0</v>
      </c>
      <c r="AB83" s="235">
        <v>0</v>
      </c>
      <c r="AC83" s="235">
        <v>1</v>
      </c>
      <c r="AD83" s="235">
        <v>1</v>
      </c>
      <c r="AE83" s="235">
        <v>0</v>
      </c>
      <c r="AF83" s="235">
        <v>26</v>
      </c>
      <c r="AG83" s="235">
        <v>0</v>
      </c>
      <c r="AH83" s="235">
        <v>0</v>
      </c>
      <c r="AI83" s="235">
        <v>0</v>
      </c>
      <c r="AJ83" s="235">
        <v>0</v>
      </c>
      <c r="AK83" s="271">
        <f t="shared" si="405"/>
        <v>0</v>
      </c>
      <c r="AL83" s="271">
        <f t="shared" si="406"/>
        <v>28</v>
      </c>
      <c r="AM83" s="271">
        <f t="shared" si="407"/>
        <v>28</v>
      </c>
      <c r="AN83" s="271">
        <f t="shared" si="408"/>
        <v>1</v>
      </c>
      <c r="AO83" s="189">
        <f t="shared" si="409"/>
        <v>5</v>
      </c>
      <c r="AP83" s="189">
        <f t="shared" si="410"/>
        <v>5</v>
      </c>
      <c r="AQ83" s="189">
        <f t="shared" si="411"/>
        <v>3.5714285714285712</v>
      </c>
      <c r="AR83" s="81">
        <f t="shared" si="412"/>
        <v>0</v>
      </c>
      <c r="AS83" s="81">
        <f t="shared" si="413"/>
        <v>100</v>
      </c>
      <c r="AT83" s="81">
        <f t="shared" si="414"/>
        <v>0</v>
      </c>
      <c r="AU83" s="81">
        <f t="shared" si="415"/>
        <v>0</v>
      </c>
      <c r="AV83" s="81">
        <f t="shared" si="416"/>
        <v>0</v>
      </c>
      <c r="AW83" s="81">
        <f t="shared" si="417"/>
        <v>0</v>
      </c>
      <c r="AX83" s="81">
        <f t="shared" si="418"/>
        <v>100</v>
      </c>
      <c r="AY83" s="81">
        <f t="shared" si="419"/>
        <v>0</v>
      </c>
      <c r="AZ83" s="81">
        <f t="shared" si="420"/>
        <v>0</v>
      </c>
    </row>
    <row r="84" spans="1:52" s="277" customFormat="1" ht="20.25" customHeight="1">
      <c r="A84" s="395"/>
      <c r="B84" s="240" t="s">
        <v>131</v>
      </c>
      <c r="C84" s="235">
        <v>89</v>
      </c>
      <c r="D84" s="276">
        <v>45811</v>
      </c>
      <c r="E84" s="276">
        <v>45821</v>
      </c>
      <c r="F84" s="235">
        <v>22</v>
      </c>
      <c r="G84" s="235">
        <v>0</v>
      </c>
      <c r="H84" s="261">
        <f t="shared" si="331"/>
        <v>22</v>
      </c>
      <c r="I84" s="235">
        <v>0</v>
      </c>
      <c r="J84" s="235">
        <v>0</v>
      </c>
      <c r="K84" s="271">
        <f t="shared" si="332"/>
        <v>22</v>
      </c>
      <c r="L84" s="235">
        <v>0</v>
      </c>
      <c r="M84" s="235">
        <v>0</v>
      </c>
      <c r="N84" s="235">
        <v>0</v>
      </c>
      <c r="O84" s="235">
        <v>0</v>
      </c>
      <c r="P84" s="235">
        <v>0</v>
      </c>
      <c r="Q84" s="235">
        <v>0</v>
      </c>
      <c r="R84" s="235">
        <v>0</v>
      </c>
      <c r="S84" s="235">
        <v>0</v>
      </c>
      <c r="T84" s="235">
        <v>2</v>
      </c>
      <c r="U84" s="235">
        <v>0</v>
      </c>
      <c r="V84" s="235">
        <v>0</v>
      </c>
      <c r="W84" s="235">
        <v>2</v>
      </c>
      <c r="X84" s="235">
        <v>0</v>
      </c>
      <c r="Y84" s="235">
        <v>0</v>
      </c>
      <c r="Z84" s="235">
        <v>1</v>
      </c>
      <c r="AA84" s="235">
        <v>0</v>
      </c>
      <c r="AB84" s="235">
        <v>0</v>
      </c>
      <c r="AC84" s="235">
        <v>13</v>
      </c>
      <c r="AD84" s="235">
        <v>0</v>
      </c>
      <c r="AE84" s="235">
        <v>0</v>
      </c>
      <c r="AF84" s="235">
        <v>8</v>
      </c>
      <c r="AG84" s="235">
        <v>0</v>
      </c>
      <c r="AH84" s="235">
        <v>0</v>
      </c>
      <c r="AI84" s="235">
        <v>0</v>
      </c>
      <c r="AJ84" s="235">
        <v>0</v>
      </c>
      <c r="AK84" s="271">
        <f t="shared" si="405"/>
        <v>0</v>
      </c>
      <c r="AL84" s="271">
        <f t="shared" si="406"/>
        <v>26</v>
      </c>
      <c r="AM84" s="271">
        <f t="shared" si="407"/>
        <v>26</v>
      </c>
      <c r="AN84" s="271">
        <f t="shared" si="408"/>
        <v>0</v>
      </c>
      <c r="AO84" s="189">
        <f t="shared" si="409"/>
        <v>0</v>
      </c>
      <c r="AP84" s="189">
        <f t="shared" si="410"/>
        <v>0</v>
      </c>
      <c r="AQ84" s="189">
        <f t="shared" si="411"/>
        <v>0</v>
      </c>
      <c r="AR84" s="81">
        <f t="shared" si="412"/>
        <v>0</v>
      </c>
      <c r="AS84" s="81">
        <f t="shared" si="413"/>
        <v>100</v>
      </c>
      <c r="AT84" s="81" t="e">
        <f t="shared" si="414"/>
        <v>#DIV/0!</v>
      </c>
      <c r="AU84" s="81" t="e">
        <f t="shared" si="415"/>
        <v>#DIV/0!</v>
      </c>
      <c r="AV84" s="81" t="e">
        <f t="shared" si="416"/>
        <v>#DIV/0!</v>
      </c>
      <c r="AW84" s="81" t="e">
        <f t="shared" si="417"/>
        <v>#DIV/0!</v>
      </c>
      <c r="AX84" s="81" t="e">
        <f t="shared" si="418"/>
        <v>#DIV/0!</v>
      </c>
      <c r="AY84" s="81" t="e">
        <f t="shared" si="419"/>
        <v>#DIV/0!</v>
      </c>
      <c r="AZ84" s="81" t="e">
        <f t="shared" si="420"/>
        <v>#DIV/0!</v>
      </c>
    </row>
    <row r="85" spans="1:52" s="277" customFormat="1" ht="20.25" customHeight="1">
      <c r="A85" s="395"/>
      <c r="B85" s="240" t="s">
        <v>132</v>
      </c>
      <c r="C85" s="235">
        <v>54</v>
      </c>
      <c r="D85" s="276">
        <v>45812</v>
      </c>
      <c r="E85" s="276">
        <v>45812</v>
      </c>
      <c r="F85" s="235">
        <v>54</v>
      </c>
      <c r="G85" s="235">
        <v>0</v>
      </c>
      <c r="H85" s="261">
        <f t="shared" si="331"/>
        <v>54</v>
      </c>
      <c r="I85" s="235">
        <v>0</v>
      </c>
      <c r="J85" s="235">
        <v>0</v>
      </c>
      <c r="K85" s="271">
        <f t="shared" si="332"/>
        <v>54</v>
      </c>
      <c r="L85" s="235">
        <v>0</v>
      </c>
      <c r="M85" s="235">
        <v>0</v>
      </c>
      <c r="N85" s="235">
        <v>0</v>
      </c>
      <c r="O85" s="235">
        <v>0</v>
      </c>
      <c r="P85" s="235">
        <v>0</v>
      </c>
      <c r="Q85" s="235">
        <v>0</v>
      </c>
      <c r="R85" s="235">
        <v>0</v>
      </c>
      <c r="S85" s="235">
        <v>0</v>
      </c>
      <c r="T85" s="235">
        <v>0</v>
      </c>
      <c r="U85" s="235">
        <v>0</v>
      </c>
      <c r="V85" s="235">
        <v>2</v>
      </c>
      <c r="W85" s="235">
        <v>0</v>
      </c>
      <c r="X85" s="235">
        <v>0</v>
      </c>
      <c r="Y85" s="235">
        <v>0</v>
      </c>
      <c r="Z85" s="235">
        <v>4</v>
      </c>
      <c r="AA85" s="235">
        <v>0</v>
      </c>
      <c r="AB85" s="235">
        <v>0</v>
      </c>
      <c r="AC85" s="235">
        <v>2</v>
      </c>
      <c r="AD85" s="235">
        <v>0</v>
      </c>
      <c r="AE85" s="235">
        <v>0</v>
      </c>
      <c r="AF85" s="235">
        <v>0</v>
      </c>
      <c r="AG85" s="235">
        <v>0</v>
      </c>
      <c r="AH85" s="235">
        <v>0</v>
      </c>
      <c r="AI85" s="235">
        <v>0</v>
      </c>
      <c r="AJ85" s="235">
        <v>0</v>
      </c>
      <c r="AK85" s="271">
        <f t="shared" si="405"/>
        <v>2</v>
      </c>
      <c r="AL85" s="271">
        <f t="shared" si="406"/>
        <v>6</v>
      </c>
      <c r="AM85" s="271">
        <f t="shared" si="407"/>
        <v>8</v>
      </c>
      <c r="AN85" s="271">
        <f t="shared" si="408"/>
        <v>0</v>
      </c>
      <c r="AO85" s="189">
        <f t="shared" si="409"/>
        <v>0</v>
      </c>
      <c r="AP85" s="189">
        <f t="shared" si="410"/>
        <v>0</v>
      </c>
      <c r="AQ85" s="189">
        <f t="shared" si="411"/>
        <v>0</v>
      </c>
      <c r="AR85" s="81">
        <f t="shared" si="412"/>
        <v>25</v>
      </c>
      <c r="AS85" s="81">
        <f t="shared" si="413"/>
        <v>75</v>
      </c>
      <c r="AT85" s="81" t="e">
        <f t="shared" si="414"/>
        <v>#DIV/0!</v>
      </c>
      <c r="AU85" s="81" t="e">
        <f t="shared" si="415"/>
        <v>#DIV/0!</v>
      </c>
      <c r="AV85" s="81" t="e">
        <f t="shared" si="416"/>
        <v>#DIV/0!</v>
      </c>
      <c r="AW85" s="81" t="e">
        <f t="shared" si="417"/>
        <v>#DIV/0!</v>
      </c>
      <c r="AX85" s="81" t="e">
        <f t="shared" si="418"/>
        <v>#DIV/0!</v>
      </c>
      <c r="AY85" s="81" t="e">
        <f t="shared" si="419"/>
        <v>#DIV/0!</v>
      </c>
      <c r="AZ85" s="81" t="e">
        <f t="shared" si="420"/>
        <v>#DIV/0!</v>
      </c>
    </row>
    <row r="86" spans="1:52" s="277" customFormat="1" ht="20.25" customHeight="1">
      <c r="A86" s="395"/>
      <c r="B86" s="240" t="s">
        <v>143</v>
      </c>
      <c r="C86" s="235">
        <v>41</v>
      </c>
      <c r="D86" s="276">
        <v>45813</v>
      </c>
      <c r="E86" s="276">
        <v>45813</v>
      </c>
      <c r="F86" s="235">
        <v>11</v>
      </c>
      <c r="G86" s="235">
        <v>0</v>
      </c>
      <c r="H86" s="261">
        <f t="shared" si="331"/>
        <v>11</v>
      </c>
      <c r="I86" s="235">
        <v>0</v>
      </c>
      <c r="J86" s="235">
        <v>0</v>
      </c>
      <c r="K86" s="271">
        <f t="shared" si="332"/>
        <v>11</v>
      </c>
      <c r="L86" s="235">
        <v>0</v>
      </c>
      <c r="M86" s="235">
        <v>0</v>
      </c>
      <c r="N86" s="235">
        <v>0</v>
      </c>
      <c r="O86" s="235">
        <v>0</v>
      </c>
      <c r="P86" s="235">
        <v>0</v>
      </c>
      <c r="Q86" s="235">
        <v>0</v>
      </c>
      <c r="R86" s="235">
        <v>0</v>
      </c>
      <c r="S86" s="235">
        <v>0</v>
      </c>
      <c r="T86" s="235">
        <v>0</v>
      </c>
      <c r="U86" s="235">
        <v>0</v>
      </c>
      <c r="V86" s="235">
        <v>0</v>
      </c>
      <c r="W86" s="235">
        <v>4</v>
      </c>
      <c r="X86" s="235">
        <v>0</v>
      </c>
      <c r="Y86" s="235">
        <v>0</v>
      </c>
      <c r="Z86" s="235">
        <v>2</v>
      </c>
      <c r="AA86" s="235">
        <v>0</v>
      </c>
      <c r="AB86" s="235">
        <v>0</v>
      </c>
      <c r="AC86" s="235">
        <v>3</v>
      </c>
      <c r="AD86" s="235">
        <v>0</v>
      </c>
      <c r="AE86" s="235">
        <v>0</v>
      </c>
      <c r="AF86" s="235">
        <v>1</v>
      </c>
      <c r="AG86" s="235">
        <v>0</v>
      </c>
      <c r="AH86" s="235">
        <v>0</v>
      </c>
      <c r="AI86" s="235">
        <v>2</v>
      </c>
      <c r="AJ86" s="235">
        <v>0</v>
      </c>
      <c r="AK86" s="271">
        <f t="shared" si="405"/>
        <v>0</v>
      </c>
      <c r="AL86" s="271">
        <f t="shared" si="406"/>
        <v>12</v>
      </c>
      <c r="AM86" s="271">
        <f t="shared" si="407"/>
        <v>12</v>
      </c>
      <c r="AN86" s="271">
        <f t="shared" si="408"/>
        <v>0</v>
      </c>
      <c r="AO86" s="189">
        <f t="shared" si="409"/>
        <v>0</v>
      </c>
      <c r="AP86" s="189">
        <f t="shared" si="410"/>
        <v>0</v>
      </c>
      <c r="AQ86" s="189">
        <f t="shared" si="411"/>
        <v>0</v>
      </c>
      <c r="AR86" s="81">
        <f t="shared" si="412"/>
        <v>0</v>
      </c>
      <c r="AS86" s="81">
        <f t="shared" si="413"/>
        <v>100</v>
      </c>
      <c r="AT86" s="81" t="e">
        <f t="shared" si="414"/>
        <v>#DIV/0!</v>
      </c>
      <c r="AU86" s="81" t="e">
        <f t="shared" si="415"/>
        <v>#DIV/0!</v>
      </c>
      <c r="AV86" s="81" t="e">
        <f t="shared" si="416"/>
        <v>#DIV/0!</v>
      </c>
      <c r="AW86" s="81" t="e">
        <f t="shared" si="417"/>
        <v>#DIV/0!</v>
      </c>
      <c r="AX86" s="81" t="e">
        <f t="shared" si="418"/>
        <v>#DIV/0!</v>
      </c>
      <c r="AY86" s="81" t="e">
        <f t="shared" si="419"/>
        <v>#DIV/0!</v>
      </c>
      <c r="AZ86" s="81" t="e">
        <f t="shared" si="420"/>
        <v>#DIV/0!</v>
      </c>
    </row>
    <row r="87" spans="1:52" s="277" customFormat="1" ht="20.25" customHeight="1">
      <c r="A87" s="395"/>
      <c r="B87" s="240" t="s">
        <v>188</v>
      </c>
      <c r="C87" s="235">
        <v>47</v>
      </c>
      <c r="D87" s="276">
        <v>45814</v>
      </c>
      <c r="E87" s="276">
        <v>45814</v>
      </c>
      <c r="F87" s="235">
        <v>11</v>
      </c>
      <c r="G87" s="235">
        <v>0</v>
      </c>
      <c r="H87" s="261">
        <f t="shared" ref="H87:H88" si="421">F87+G87</f>
        <v>11</v>
      </c>
      <c r="I87" s="235">
        <v>0</v>
      </c>
      <c r="J87" s="235">
        <v>0</v>
      </c>
      <c r="K87" s="278">
        <f t="shared" ref="K87:K88" si="422">H87+I87+J87</f>
        <v>11</v>
      </c>
      <c r="L87" s="235">
        <v>0</v>
      </c>
      <c r="M87" s="235">
        <v>0</v>
      </c>
      <c r="N87" s="235">
        <v>0</v>
      </c>
      <c r="O87" s="235">
        <v>0</v>
      </c>
      <c r="P87" s="235">
        <v>0</v>
      </c>
      <c r="Q87" s="235">
        <v>0</v>
      </c>
      <c r="R87" s="235">
        <v>0</v>
      </c>
      <c r="S87" s="235">
        <v>0</v>
      </c>
      <c r="T87" s="235">
        <v>2</v>
      </c>
      <c r="U87" s="235">
        <v>0</v>
      </c>
      <c r="V87" s="235">
        <v>0</v>
      </c>
      <c r="W87" s="235">
        <v>4</v>
      </c>
      <c r="X87" s="235">
        <v>0</v>
      </c>
      <c r="Y87" s="235">
        <v>0</v>
      </c>
      <c r="Z87" s="235">
        <v>0</v>
      </c>
      <c r="AA87" s="235">
        <v>0</v>
      </c>
      <c r="AB87" s="235">
        <v>0</v>
      </c>
      <c r="AC87" s="235">
        <v>3</v>
      </c>
      <c r="AD87" s="235">
        <v>0</v>
      </c>
      <c r="AE87" s="235">
        <v>0</v>
      </c>
      <c r="AF87" s="235">
        <v>7</v>
      </c>
      <c r="AG87" s="235">
        <v>0</v>
      </c>
      <c r="AH87" s="235">
        <v>0</v>
      </c>
      <c r="AI87" s="235">
        <v>0</v>
      </c>
      <c r="AJ87" s="235">
        <v>0</v>
      </c>
      <c r="AK87" s="278">
        <f t="shared" ref="AK87:AK88" si="423">P87+S87+V87+Y87+AB87+AE87+AH87</f>
        <v>0</v>
      </c>
      <c r="AL87" s="278">
        <f t="shared" ref="AL87:AL88" si="424">Q87+T87+W87+Z87+AC87+AF87+AI87</f>
        <v>16</v>
      </c>
      <c r="AM87" s="278">
        <f t="shared" ref="AM87:AM88" si="425">AK87+AL87</f>
        <v>16</v>
      </c>
      <c r="AN87" s="278">
        <f t="shared" ref="AN87:AN88" si="426">R87+U87+X87+AA87+AD87+AG87+AJ87</f>
        <v>0</v>
      </c>
      <c r="AO87" s="189">
        <f t="shared" ref="AO87:AO88" si="427">O87/H87*100</f>
        <v>0</v>
      </c>
      <c r="AP87" s="189">
        <f t="shared" ref="AP87:AP88" si="428">AN87/H87*100</f>
        <v>0</v>
      </c>
      <c r="AQ87" s="189">
        <f t="shared" ref="AQ87:AQ88" si="429">AN87/AM87*100</f>
        <v>0</v>
      </c>
      <c r="AR87" s="81">
        <f t="shared" ref="AR87:AR89" si="430">AK87/AM87*100</f>
        <v>0</v>
      </c>
      <c r="AS87" s="81">
        <f t="shared" ref="AS87:AS89" si="431">AL87/AM87*100</f>
        <v>100</v>
      </c>
      <c r="AT87" s="81" t="e">
        <f t="shared" ref="AT87:AT89" si="432">R87/AN87*100</f>
        <v>#DIV/0!</v>
      </c>
      <c r="AU87" s="81" t="e">
        <f t="shared" ref="AU87:AU89" si="433">U87/AN87*100</f>
        <v>#DIV/0!</v>
      </c>
      <c r="AV87" s="81" t="e">
        <f t="shared" ref="AV87:AV89" si="434">X87/AN87*100</f>
        <v>#DIV/0!</v>
      </c>
      <c r="AW87" s="81" t="e">
        <f t="shared" ref="AW87:AW89" si="435">AA87/AN87*100</f>
        <v>#DIV/0!</v>
      </c>
      <c r="AX87" s="81" t="e">
        <f t="shared" ref="AX87:AX89" si="436">AD87/AN87*100</f>
        <v>#DIV/0!</v>
      </c>
      <c r="AY87" s="81" t="e">
        <f t="shared" ref="AY87:AY89" si="437">AG87/AN87*100</f>
        <v>#DIV/0!</v>
      </c>
      <c r="AZ87" s="81" t="e">
        <f t="shared" ref="AZ87:AZ89" si="438">AJ87/AN87*100</f>
        <v>#DIV/0!</v>
      </c>
    </row>
    <row r="88" spans="1:52" s="277" customFormat="1" ht="20.25" customHeight="1">
      <c r="A88" s="396"/>
      <c r="B88" s="240" t="s">
        <v>286</v>
      </c>
      <c r="C88" s="235">
        <v>31</v>
      </c>
      <c r="D88" s="276">
        <v>45817</v>
      </c>
      <c r="E88" s="276">
        <v>45817</v>
      </c>
      <c r="F88" s="235">
        <v>9</v>
      </c>
      <c r="G88" s="235">
        <v>0</v>
      </c>
      <c r="H88" s="261">
        <f t="shared" si="421"/>
        <v>9</v>
      </c>
      <c r="I88" s="235">
        <v>0</v>
      </c>
      <c r="J88" s="235">
        <v>0</v>
      </c>
      <c r="K88" s="278">
        <f t="shared" si="422"/>
        <v>9</v>
      </c>
      <c r="L88" s="235">
        <v>0</v>
      </c>
      <c r="M88" s="235">
        <v>0</v>
      </c>
      <c r="N88" s="235">
        <v>0</v>
      </c>
      <c r="O88" s="235">
        <v>0</v>
      </c>
      <c r="P88" s="235">
        <v>0</v>
      </c>
      <c r="Q88" s="235">
        <v>0</v>
      </c>
      <c r="R88" s="235">
        <v>0</v>
      </c>
      <c r="S88" s="235">
        <v>0</v>
      </c>
      <c r="T88" s="235">
        <v>0</v>
      </c>
      <c r="U88" s="235">
        <v>0</v>
      </c>
      <c r="V88" s="235">
        <v>1</v>
      </c>
      <c r="W88" s="235">
        <v>2</v>
      </c>
      <c r="X88" s="235">
        <v>0</v>
      </c>
      <c r="Y88" s="235">
        <v>0</v>
      </c>
      <c r="Z88" s="235">
        <v>2</v>
      </c>
      <c r="AA88" s="235">
        <v>0</v>
      </c>
      <c r="AB88" s="235">
        <v>0</v>
      </c>
      <c r="AC88" s="235">
        <v>8</v>
      </c>
      <c r="AD88" s="235">
        <v>0</v>
      </c>
      <c r="AE88" s="235">
        <v>0</v>
      </c>
      <c r="AF88" s="235">
        <v>0</v>
      </c>
      <c r="AG88" s="235">
        <v>0</v>
      </c>
      <c r="AH88" s="235">
        <v>0</v>
      </c>
      <c r="AI88" s="235">
        <v>0</v>
      </c>
      <c r="AJ88" s="235">
        <v>0</v>
      </c>
      <c r="AK88" s="278">
        <f t="shared" si="423"/>
        <v>1</v>
      </c>
      <c r="AL88" s="278">
        <f t="shared" si="424"/>
        <v>12</v>
      </c>
      <c r="AM88" s="278">
        <f t="shared" si="425"/>
        <v>13</v>
      </c>
      <c r="AN88" s="278">
        <f t="shared" si="426"/>
        <v>0</v>
      </c>
      <c r="AO88" s="189">
        <f t="shared" si="427"/>
        <v>0</v>
      </c>
      <c r="AP88" s="189">
        <f t="shared" si="428"/>
        <v>0</v>
      </c>
      <c r="AQ88" s="189">
        <f t="shared" si="429"/>
        <v>0</v>
      </c>
      <c r="AR88" s="81">
        <f t="shared" si="430"/>
        <v>7.6923076923076925</v>
      </c>
      <c r="AS88" s="81">
        <f t="shared" si="431"/>
        <v>92.307692307692307</v>
      </c>
      <c r="AT88" s="81" t="e">
        <f t="shared" si="432"/>
        <v>#DIV/0!</v>
      </c>
      <c r="AU88" s="81" t="e">
        <f t="shared" si="433"/>
        <v>#DIV/0!</v>
      </c>
      <c r="AV88" s="81" t="e">
        <f t="shared" si="434"/>
        <v>#DIV/0!</v>
      </c>
      <c r="AW88" s="81" t="e">
        <f t="shared" si="435"/>
        <v>#DIV/0!</v>
      </c>
      <c r="AX88" s="81" t="e">
        <f t="shared" si="436"/>
        <v>#DIV/0!</v>
      </c>
      <c r="AY88" s="81" t="e">
        <f t="shared" si="437"/>
        <v>#DIV/0!</v>
      </c>
      <c r="AZ88" s="81" t="e">
        <f t="shared" si="438"/>
        <v>#DIV/0!</v>
      </c>
    </row>
    <row r="89" spans="1:52" s="250" customFormat="1" ht="20.25" customHeight="1">
      <c r="A89" s="394" t="s">
        <v>215</v>
      </c>
      <c r="B89" s="215" t="s">
        <v>247</v>
      </c>
      <c r="C89" s="77">
        <f>C90</f>
        <v>38</v>
      </c>
      <c r="D89" s="217">
        <f>D90</f>
        <v>45813</v>
      </c>
      <c r="E89" s="217">
        <f>E90</f>
        <v>45813</v>
      </c>
      <c r="F89" s="77">
        <f>F90</f>
        <v>38</v>
      </c>
      <c r="G89" s="77">
        <f t="shared" ref="G89:AJ89" si="439">G90</f>
        <v>0</v>
      </c>
      <c r="H89" s="77">
        <f t="shared" si="439"/>
        <v>38</v>
      </c>
      <c r="I89" s="77">
        <f t="shared" si="439"/>
        <v>0</v>
      </c>
      <c r="J89" s="77">
        <f t="shared" si="439"/>
        <v>0</v>
      </c>
      <c r="K89" s="77">
        <f t="shared" si="439"/>
        <v>38</v>
      </c>
      <c r="L89" s="77">
        <f t="shared" si="439"/>
        <v>0</v>
      </c>
      <c r="M89" s="77">
        <f t="shared" si="439"/>
        <v>0</v>
      </c>
      <c r="N89" s="77">
        <f t="shared" si="439"/>
        <v>0</v>
      </c>
      <c r="O89" s="77">
        <f t="shared" si="439"/>
        <v>1</v>
      </c>
      <c r="P89" s="77">
        <f t="shared" si="439"/>
        <v>0</v>
      </c>
      <c r="Q89" s="77">
        <f t="shared" si="439"/>
        <v>0</v>
      </c>
      <c r="R89" s="77">
        <f t="shared" si="439"/>
        <v>0</v>
      </c>
      <c r="S89" s="77">
        <f t="shared" si="439"/>
        <v>0</v>
      </c>
      <c r="T89" s="77">
        <f t="shared" si="439"/>
        <v>1</v>
      </c>
      <c r="U89" s="77">
        <f t="shared" si="439"/>
        <v>0</v>
      </c>
      <c r="V89" s="77">
        <f t="shared" si="439"/>
        <v>0</v>
      </c>
      <c r="W89" s="77">
        <f t="shared" si="439"/>
        <v>1</v>
      </c>
      <c r="X89" s="77">
        <f t="shared" si="439"/>
        <v>1</v>
      </c>
      <c r="Y89" s="77">
        <f t="shared" si="439"/>
        <v>0</v>
      </c>
      <c r="Z89" s="77">
        <f t="shared" si="439"/>
        <v>0</v>
      </c>
      <c r="AA89" s="77">
        <f t="shared" si="439"/>
        <v>0</v>
      </c>
      <c r="AB89" s="77">
        <f t="shared" si="439"/>
        <v>0</v>
      </c>
      <c r="AC89" s="77">
        <f t="shared" si="439"/>
        <v>3</v>
      </c>
      <c r="AD89" s="77">
        <f t="shared" si="439"/>
        <v>0</v>
      </c>
      <c r="AE89" s="77">
        <f t="shared" si="439"/>
        <v>0</v>
      </c>
      <c r="AF89" s="77">
        <f t="shared" si="439"/>
        <v>5</v>
      </c>
      <c r="AG89" s="77">
        <f t="shared" si="439"/>
        <v>0</v>
      </c>
      <c r="AH89" s="77">
        <f t="shared" si="439"/>
        <v>0</v>
      </c>
      <c r="AI89" s="77">
        <f t="shared" si="439"/>
        <v>0</v>
      </c>
      <c r="AJ89" s="77">
        <f t="shared" si="439"/>
        <v>0</v>
      </c>
      <c r="AK89" s="77">
        <f>P89+S89+V89+Y89+AB89+AE89+AH89</f>
        <v>0</v>
      </c>
      <c r="AL89" s="77">
        <f>Q89+T89+W89+Z89+AC89+AF89+AI89</f>
        <v>10</v>
      </c>
      <c r="AM89" s="77">
        <f>AK89+AL89</f>
        <v>10</v>
      </c>
      <c r="AN89" s="77">
        <f>R89+U89+X89+AA89+AD89+AG89+AJ89</f>
        <v>1</v>
      </c>
      <c r="AO89" s="188">
        <f>O89/H89*100</f>
        <v>2.6315789473684208</v>
      </c>
      <c r="AP89" s="188">
        <f>AN89/H89*100</f>
        <v>2.6315789473684208</v>
      </c>
      <c r="AQ89" s="188">
        <f>AN89/AM89*100</f>
        <v>10</v>
      </c>
      <c r="AR89" s="88">
        <f t="shared" si="430"/>
        <v>0</v>
      </c>
      <c r="AS89" s="88">
        <f t="shared" si="431"/>
        <v>100</v>
      </c>
      <c r="AT89" s="88">
        <f t="shared" si="432"/>
        <v>0</v>
      </c>
      <c r="AU89" s="88">
        <f t="shared" si="433"/>
        <v>0</v>
      </c>
      <c r="AV89" s="88">
        <f t="shared" si="434"/>
        <v>100</v>
      </c>
      <c r="AW89" s="88">
        <f t="shared" si="435"/>
        <v>0</v>
      </c>
      <c r="AX89" s="88">
        <f t="shared" si="436"/>
        <v>0</v>
      </c>
      <c r="AY89" s="88">
        <f t="shared" si="437"/>
        <v>0</v>
      </c>
      <c r="AZ89" s="88">
        <f t="shared" si="438"/>
        <v>0</v>
      </c>
    </row>
    <row r="90" spans="1:52" s="277" customFormat="1" ht="20.25" customHeight="1">
      <c r="A90" s="396"/>
      <c r="B90" s="240" t="s">
        <v>221</v>
      </c>
      <c r="C90" s="235">
        <v>38</v>
      </c>
      <c r="D90" s="276">
        <v>45813</v>
      </c>
      <c r="E90" s="276">
        <v>45813</v>
      </c>
      <c r="F90" s="235">
        <v>38</v>
      </c>
      <c r="G90" s="235">
        <v>0</v>
      </c>
      <c r="H90" s="261">
        <f t="shared" si="331"/>
        <v>38</v>
      </c>
      <c r="I90" s="235">
        <v>0</v>
      </c>
      <c r="J90" s="235">
        <v>0</v>
      </c>
      <c r="K90" s="271">
        <f t="shared" si="332"/>
        <v>38</v>
      </c>
      <c r="L90" s="235">
        <v>0</v>
      </c>
      <c r="M90" s="235">
        <v>0</v>
      </c>
      <c r="N90" s="235">
        <v>0</v>
      </c>
      <c r="O90" s="235">
        <v>1</v>
      </c>
      <c r="P90" s="235">
        <v>0</v>
      </c>
      <c r="Q90" s="235">
        <v>0</v>
      </c>
      <c r="R90" s="235">
        <v>0</v>
      </c>
      <c r="S90" s="235">
        <v>0</v>
      </c>
      <c r="T90" s="235">
        <v>1</v>
      </c>
      <c r="U90" s="235">
        <v>0</v>
      </c>
      <c r="V90" s="235">
        <v>0</v>
      </c>
      <c r="W90" s="235">
        <v>1</v>
      </c>
      <c r="X90" s="235">
        <v>1</v>
      </c>
      <c r="Y90" s="235">
        <v>0</v>
      </c>
      <c r="Z90" s="235">
        <v>0</v>
      </c>
      <c r="AA90" s="235">
        <v>0</v>
      </c>
      <c r="AB90" s="235">
        <v>0</v>
      </c>
      <c r="AC90" s="235">
        <v>3</v>
      </c>
      <c r="AD90" s="235">
        <v>0</v>
      </c>
      <c r="AE90" s="235">
        <v>0</v>
      </c>
      <c r="AF90" s="235">
        <v>5</v>
      </c>
      <c r="AG90" s="235">
        <v>0</v>
      </c>
      <c r="AH90" s="235">
        <v>0</v>
      </c>
      <c r="AI90" s="235">
        <v>0</v>
      </c>
      <c r="AJ90" s="235">
        <v>0</v>
      </c>
      <c r="AK90" s="271">
        <f t="shared" si="405"/>
        <v>0</v>
      </c>
      <c r="AL90" s="271">
        <f t="shared" si="406"/>
        <v>10</v>
      </c>
      <c r="AM90" s="271">
        <f t="shared" si="407"/>
        <v>10</v>
      </c>
      <c r="AN90" s="271">
        <f t="shared" si="408"/>
        <v>1</v>
      </c>
      <c r="AO90" s="189">
        <f t="shared" si="409"/>
        <v>2.6315789473684208</v>
      </c>
      <c r="AP90" s="189">
        <f t="shared" si="410"/>
        <v>2.6315789473684208</v>
      </c>
      <c r="AQ90" s="189">
        <f t="shared" si="411"/>
        <v>10</v>
      </c>
      <c r="AR90" s="81">
        <f t="shared" si="412"/>
        <v>0</v>
      </c>
      <c r="AS90" s="81">
        <f t="shared" si="413"/>
        <v>100</v>
      </c>
      <c r="AT90" s="81">
        <f t="shared" si="414"/>
        <v>0</v>
      </c>
      <c r="AU90" s="81">
        <f t="shared" si="415"/>
        <v>0</v>
      </c>
      <c r="AV90" s="81">
        <f t="shared" si="416"/>
        <v>100</v>
      </c>
      <c r="AW90" s="81">
        <f t="shared" si="417"/>
        <v>0</v>
      </c>
      <c r="AX90" s="81">
        <f t="shared" si="418"/>
        <v>0</v>
      </c>
      <c r="AY90" s="81">
        <f t="shared" si="419"/>
        <v>0</v>
      </c>
      <c r="AZ90" s="81">
        <f t="shared" si="420"/>
        <v>0</v>
      </c>
    </row>
    <row r="91" spans="1:52" s="3" customFormat="1" ht="20.25" customHeight="1">
      <c r="A91" s="83" t="s">
        <v>287</v>
      </c>
      <c r="B91" s="83">
        <f>COUNTA(B76:B90)-1</f>
        <v>14</v>
      </c>
      <c r="C91" s="83">
        <f>C75+C89</f>
        <v>2181</v>
      </c>
      <c r="D91" s="104">
        <f>MIN(D75:D90)</f>
        <v>45811</v>
      </c>
      <c r="E91" s="104">
        <f>MAX(E75:E90)</f>
        <v>45835</v>
      </c>
      <c r="F91" s="83">
        <f>F75+F89</f>
        <v>725</v>
      </c>
      <c r="G91" s="83">
        <f t="shared" ref="G91:AJ91" si="440">G75+G89</f>
        <v>0</v>
      </c>
      <c r="H91" s="83">
        <f t="shared" si="440"/>
        <v>725</v>
      </c>
      <c r="I91" s="83">
        <f t="shared" si="440"/>
        <v>0</v>
      </c>
      <c r="J91" s="83">
        <f t="shared" si="440"/>
        <v>0</v>
      </c>
      <c r="K91" s="83">
        <f t="shared" si="440"/>
        <v>725</v>
      </c>
      <c r="L91" s="83">
        <f t="shared" si="440"/>
        <v>0</v>
      </c>
      <c r="M91" s="83">
        <f t="shared" si="440"/>
        <v>0</v>
      </c>
      <c r="N91" s="83">
        <f t="shared" si="440"/>
        <v>0</v>
      </c>
      <c r="O91" s="83">
        <f t="shared" si="440"/>
        <v>17</v>
      </c>
      <c r="P91" s="83">
        <f t="shared" si="440"/>
        <v>0</v>
      </c>
      <c r="Q91" s="83">
        <f t="shared" si="440"/>
        <v>0</v>
      </c>
      <c r="R91" s="83">
        <f t="shared" si="440"/>
        <v>0</v>
      </c>
      <c r="S91" s="83">
        <f t="shared" si="440"/>
        <v>0</v>
      </c>
      <c r="T91" s="83">
        <f t="shared" si="440"/>
        <v>24</v>
      </c>
      <c r="U91" s="83">
        <f t="shared" si="440"/>
        <v>2</v>
      </c>
      <c r="V91" s="83">
        <f t="shared" si="440"/>
        <v>3</v>
      </c>
      <c r="W91" s="83">
        <f t="shared" si="440"/>
        <v>95</v>
      </c>
      <c r="X91" s="83">
        <f t="shared" si="440"/>
        <v>3</v>
      </c>
      <c r="Y91" s="83">
        <f t="shared" si="440"/>
        <v>0</v>
      </c>
      <c r="Z91" s="83">
        <f t="shared" si="440"/>
        <v>41</v>
      </c>
      <c r="AA91" s="83">
        <f t="shared" si="440"/>
        <v>0</v>
      </c>
      <c r="AB91" s="83">
        <f t="shared" si="440"/>
        <v>12</v>
      </c>
      <c r="AC91" s="83">
        <f t="shared" si="440"/>
        <v>158</v>
      </c>
      <c r="AD91" s="83">
        <f t="shared" si="440"/>
        <v>13</v>
      </c>
      <c r="AE91" s="83">
        <f t="shared" si="440"/>
        <v>12</v>
      </c>
      <c r="AF91" s="83">
        <f t="shared" si="440"/>
        <v>343</v>
      </c>
      <c r="AG91" s="83">
        <f t="shared" si="440"/>
        <v>0</v>
      </c>
      <c r="AH91" s="83">
        <f t="shared" si="440"/>
        <v>0</v>
      </c>
      <c r="AI91" s="83">
        <f t="shared" si="440"/>
        <v>4</v>
      </c>
      <c r="AJ91" s="83">
        <f t="shared" si="440"/>
        <v>0</v>
      </c>
      <c r="AK91" s="83">
        <f>P91+S91+V91+Y91+AB91+AE91+AH91</f>
        <v>27</v>
      </c>
      <c r="AL91" s="83">
        <f>Q91+T91+W91+Z91+AC91+AF91+AI91</f>
        <v>665</v>
      </c>
      <c r="AM91" s="83">
        <f>AK91+AL91</f>
        <v>692</v>
      </c>
      <c r="AN91" s="83">
        <f>R91+U91+X91+AA91+AD91+AG91+AJ91</f>
        <v>18</v>
      </c>
      <c r="AO91" s="190">
        <f>O91/H91*100</f>
        <v>2.3448275862068968</v>
      </c>
      <c r="AP91" s="190">
        <f>AN91/H91*100</f>
        <v>2.4827586206896552</v>
      </c>
      <c r="AQ91" s="190">
        <f>AN91/AM91*100</f>
        <v>2.601156069364162</v>
      </c>
      <c r="AR91" s="85">
        <f>AK91/AM91*100</f>
        <v>3.901734104046243</v>
      </c>
      <c r="AS91" s="85">
        <f>AL91/AM91*100</f>
        <v>96.098265895953759</v>
      </c>
      <c r="AT91" s="85">
        <f t="shared" si="414"/>
        <v>0</v>
      </c>
      <c r="AU91" s="85">
        <f t="shared" si="415"/>
        <v>11.111111111111111</v>
      </c>
      <c r="AV91" s="85">
        <f t="shared" si="416"/>
        <v>16.666666666666664</v>
      </c>
      <c r="AW91" s="85">
        <f t="shared" si="417"/>
        <v>0</v>
      </c>
      <c r="AX91" s="85">
        <f t="shared" si="418"/>
        <v>72.222222222222214</v>
      </c>
      <c r="AY91" s="85">
        <f t="shared" si="419"/>
        <v>0</v>
      </c>
      <c r="AZ91" s="85">
        <f t="shared" si="420"/>
        <v>0</v>
      </c>
    </row>
    <row r="92" spans="1:52" s="250" customFormat="1" ht="20.25" customHeight="1">
      <c r="A92" s="394" t="s">
        <v>246</v>
      </c>
      <c r="B92" s="77" t="s">
        <v>24</v>
      </c>
      <c r="C92" s="77">
        <f>SUM(C93:C103)</f>
        <v>2605</v>
      </c>
      <c r="D92" s="217">
        <f>MIN(D93:D103)</f>
        <v>45839</v>
      </c>
      <c r="E92" s="217">
        <f>MAX(E93:E103)</f>
        <v>45862</v>
      </c>
      <c r="F92" s="77">
        <f>SUM(F93:F103)</f>
        <v>705</v>
      </c>
      <c r="G92" s="77">
        <f t="shared" ref="G92:AJ92" si="441">SUM(G93:G103)</f>
        <v>0</v>
      </c>
      <c r="H92" s="77">
        <f t="shared" si="441"/>
        <v>705</v>
      </c>
      <c r="I92" s="77">
        <f t="shared" si="441"/>
        <v>0</v>
      </c>
      <c r="J92" s="77">
        <f t="shared" si="441"/>
        <v>0</v>
      </c>
      <c r="K92" s="77">
        <f t="shared" si="441"/>
        <v>705</v>
      </c>
      <c r="L92" s="77">
        <f t="shared" si="441"/>
        <v>0</v>
      </c>
      <c r="M92" s="77">
        <f t="shared" si="441"/>
        <v>0</v>
      </c>
      <c r="N92" s="77">
        <f t="shared" si="441"/>
        <v>0</v>
      </c>
      <c r="O92" s="77">
        <f t="shared" si="441"/>
        <v>14</v>
      </c>
      <c r="P92" s="77">
        <f t="shared" si="441"/>
        <v>0</v>
      </c>
      <c r="Q92" s="77">
        <f t="shared" si="441"/>
        <v>0</v>
      </c>
      <c r="R92" s="77">
        <f t="shared" si="441"/>
        <v>0</v>
      </c>
      <c r="S92" s="77">
        <f t="shared" si="441"/>
        <v>0</v>
      </c>
      <c r="T92" s="77">
        <f t="shared" si="441"/>
        <v>30</v>
      </c>
      <c r="U92" s="77">
        <f t="shared" si="441"/>
        <v>5</v>
      </c>
      <c r="V92" s="77">
        <f t="shared" si="441"/>
        <v>12</v>
      </c>
      <c r="W92" s="77">
        <f t="shared" si="441"/>
        <v>122</v>
      </c>
      <c r="X92" s="77">
        <f t="shared" si="441"/>
        <v>6</v>
      </c>
      <c r="Y92" s="77">
        <f t="shared" si="441"/>
        <v>11</v>
      </c>
      <c r="Z92" s="77">
        <f t="shared" si="441"/>
        <v>63</v>
      </c>
      <c r="AA92" s="77">
        <f t="shared" si="441"/>
        <v>0</v>
      </c>
      <c r="AB92" s="77">
        <f t="shared" si="441"/>
        <v>7</v>
      </c>
      <c r="AC92" s="77">
        <f t="shared" si="441"/>
        <v>203</v>
      </c>
      <c r="AD92" s="77">
        <f t="shared" si="441"/>
        <v>4</v>
      </c>
      <c r="AE92" s="77">
        <f t="shared" si="441"/>
        <v>30</v>
      </c>
      <c r="AF92" s="77">
        <f t="shared" si="441"/>
        <v>161</v>
      </c>
      <c r="AG92" s="77">
        <f t="shared" si="441"/>
        <v>0</v>
      </c>
      <c r="AH92" s="77">
        <f t="shared" si="441"/>
        <v>0</v>
      </c>
      <c r="AI92" s="77">
        <f t="shared" si="441"/>
        <v>1</v>
      </c>
      <c r="AJ92" s="77">
        <f t="shared" si="441"/>
        <v>0</v>
      </c>
      <c r="AK92" s="77">
        <f>P92+S92+V92+Y92+AB92+AE92+AH92</f>
        <v>60</v>
      </c>
      <c r="AL92" s="77">
        <f>Q92+T92+W92+Z92+AC92+AF92+AI92</f>
        <v>580</v>
      </c>
      <c r="AM92" s="77">
        <f>AK92+AL92</f>
        <v>640</v>
      </c>
      <c r="AN92" s="77">
        <f>R92+U92+X92+AA92+AD92+AG92+AJ92</f>
        <v>15</v>
      </c>
      <c r="AO92" s="188">
        <f>O92/H92*100</f>
        <v>1.9858156028368796</v>
      </c>
      <c r="AP92" s="188">
        <f>AN92/H92*100</f>
        <v>2.1276595744680851</v>
      </c>
      <c r="AQ92" s="188">
        <f>AN92/AM92*100</f>
        <v>2.34375</v>
      </c>
      <c r="AR92" s="88">
        <f t="shared" ref="AR92" si="442">AK92/AM92*100</f>
        <v>9.375</v>
      </c>
      <c r="AS92" s="88">
        <f t="shared" ref="AS92" si="443">AL92/AM92*100</f>
        <v>90.625</v>
      </c>
      <c r="AT92" s="88">
        <f t="shared" si="414"/>
        <v>0</v>
      </c>
      <c r="AU92" s="88">
        <f t="shared" si="415"/>
        <v>33.333333333333329</v>
      </c>
      <c r="AV92" s="88">
        <f t="shared" si="416"/>
        <v>40</v>
      </c>
      <c r="AW92" s="88">
        <f t="shared" si="417"/>
        <v>0</v>
      </c>
      <c r="AX92" s="88">
        <f t="shared" si="418"/>
        <v>26.666666666666668</v>
      </c>
      <c r="AY92" s="88">
        <f t="shared" si="419"/>
        <v>0</v>
      </c>
      <c r="AZ92" s="88">
        <f t="shared" si="420"/>
        <v>0</v>
      </c>
    </row>
    <row r="93" spans="1:52" s="277" customFormat="1" ht="20.25" customHeight="1">
      <c r="A93" s="395"/>
      <c r="B93" s="240" t="s">
        <v>146</v>
      </c>
      <c r="C93" s="235">
        <v>89</v>
      </c>
      <c r="D93" s="276">
        <v>45842</v>
      </c>
      <c r="E93" s="276">
        <v>45842</v>
      </c>
      <c r="F93" s="235">
        <v>20</v>
      </c>
      <c r="G93" s="235">
        <v>0</v>
      </c>
      <c r="H93" s="261">
        <f t="shared" si="331"/>
        <v>20</v>
      </c>
      <c r="I93" s="235">
        <v>0</v>
      </c>
      <c r="J93" s="235">
        <v>0</v>
      </c>
      <c r="K93" s="271">
        <f t="shared" si="332"/>
        <v>20</v>
      </c>
      <c r="L93" s="235">
        <v>0</v>
      </c>
      <c r="M93" s="235">
        <v>0</v>
      </c>
      <c r="N93" s="235">
        <v>0</v>
      </c>
      <c r="O93" s="235">
        <v>0</v>
      </c>
      <c r="P93" s="235">
        <v>0</v>
      </c>
      <c r="Q93" s="235">
        <v>0</v>
      </c>
      <c r="R93" s="235">
        <v>0</v>
      </c>
      <c r="S93" s="235">
        <v>0</v>
      </c>
      <c r="T93" s="235">
        <v>0</v>
      </c>
      <c r="U93" s="235">
        <v>0</v>
      </c>
      <c r="V93" s="235">
        <v>0</v>
      </c>
      <c r="W93" s="235">
        <v>0</v>
      </c>
      <c r="X93" s="235">
        <v>0</v>
      </c>
      <c r="Y93" s="235">
        <v>0</v>
      </c>
      <c r="Z93" s="235">
        <v>0</v>
      </c>
      <c r="AA93" s="235">
        <v>0</v>
      </c>
      <c r="AB93" s="235">
        <v>0</v>
      </c>
      <c r="AC93" s="235">
        <v>2</v>
      </c>
      <c r="AD93" s="235">
        <v>0</v>
      </c>
      <c r="AE93" s="235">
        <v>0</v>
      </c>
      <c r="AF93" s="235">
        <v>21</v>
      </c>
      <c r="AG93" s="235">
        <v>0</v>
      </c>
      <c r="AH93" s="235">
        <v>0</v>
      </c>
      <c r="AI93" s="235">
        <v>0</v>
      </c>
      <c r="AJ93" s="235">
        <v>0</v>
      </c>
      <c r="AK93" s="271">
        <f t="shared" ref="AK93" si="444">P93+S93+V93+Y93+AB93+AE93+AH93</f>
        <v>0</v>
      </c>
      <c r="AL93" s="271">
        <f t="shared" ref="AL93" si="445">Q93+T93+W93+Z93+AC93+AF93+AI93</f>
        <v>23</v>
      </c>
      <c r="AM93" s="271">
        <f t="shared" ref="AM93" si="446">AK93+AL93</f>
        <v>23</v>
      </c>
      <c r="AN93" s="271">
        <f t="shared" ref="AN93" si="447">R93+U93+X93+AA93+AD93+AG93+AJ93</f>
        <v>0</v>
      </c>
      <c r="AO93" s="189">
        <f t="shared" ref="AO93" si="448">O93/H93*100</f>
        <v>0</v>
      </c>
      <c r="AP93" s="189">
        <f t="shared" ref="AP93" si="449">AN93/H93*100</f>
        <v>0</v>
      </c>
      <c r="AQ93" s="189">
        <f t="shared" ref="AQ93" si="450">AN93/AM93*100</f>
        <v>0</v>
      </c>
      <c r="AR93" s="81">
        <f t="shared" ref="AR93" si="451">AK93/AM93*100</f>
        <v>0</v>
      </c>
      <c r="AS93" s="81">
        <f t="shared" ref="AS93" si="452">AL93/AM93*100</f>
        <v>100</v>
      </c>
      <c r="AT93" s="81" t="e">
        <f t="shared" ref="AT93" si="453">R93/AN93*100</f>
        <v>#DIV/0!</v>
      </c>
      <c r="AU93" s="81" t="e">
        <f t="shared" ref="AU93" si="454">U93/AN93*100</f>
        <v>#DIV/0!</v>
      </c>
      <c r="AV93" s="81" t="e">
        <f t="shared" ref="AV93" si="455">X93/AN93*100</f>
        <v>#DIV/0!</v>
      </c>
      <c r="AW93" s="81" t="e">
        <f t="shared" ref="AW93" si="456">AA93/AN93*100</f>
        <v>#DIV/0!</v>
      </c>
      <c r="AX93" s="81" t="e">
        <f t="shared" ref="AX93" si="457">AD93/AN93*100</f>
        <v>#DIV/0!</v>
      </c>
      <c r="AY93" s="81" t="e">
        <f t="shared" ref="AY93" si="458">AG93/AN93*100</f>
        <v>#DIV/0!</v>
      </c>
      <c r="AZ93" s="81" t="e">
        <f t="shared" ref="AZ93" si="459">AJ93/AN93*100</f>
        <v>#DIV/0!</v>
      </c>
    </row>
    <row r="94" spans="1:52" s="277" customFormat="1" ht="20.25" customHeight="1">
      <c r="A94" s="395"/>
      <c r="B94" s="240" t="s">
        <v>251</v>
      </c>
      <c r="C94" s="235">
        <v>172</v>
      </c>
      <c r="D94" s="276">
        <v>45845</v>
      </c>
      <c r="E94" s="276">
        <v>45845</v>
      </c>
      <c r="F94" s="235">
        <v>40</v>
      </c>
      <c r="G94" s="235">
        <v>0</v>
      </c>
      <c r="H94" s="235">
        <f t="shared" si="331"/>
        <v>40</v>
      </c>
      <c r="I94" s="235">
        <v>0</v>
      </c>
      <c r="J94" s="235">
        <v>0</v>
      </c>
      <c r="K94" s="235">
        <f t="shared" si="332"/>
        <v>40</v>
      </c>
      <c r="L94" s="235">
        <v>0</v>
      </c>
      <c r="M94" s="235">
        <v>0</v>
      </c>
      <c r="N94" s="235">
        <v>0</v>
      </c>
      <c r="O94" s="235">
        <v>0</v>
      </c>
      <c r="P94" s="235">
        <v>0</v>
      </c>
      <c r="Q94" s="235">
        <v>0</v>
      </c>
      <c r="R94" s="235">
        <v>0</v>
      </c>
      <c r="S94" s="235">
        <v>0</v>
      </c>
      <c r="T94" s="235">
        <v>1</v>
      </c>
      <c r="U94" s="235">
        <v>0</v>
      </c>
      <c r="V94" s="235">
        <v>0</v>
      </c>
      <c r="W94" s="235">
        <v>15</v>
      </c>
      <c r="X94" s="235">
        <v>0</v>
      </c>
      <c r="Y94" s="235">
        <v>0</v>
      </c>
      <c r="Z94" s="235">
        <v>4</v>
      </c>
      <c r="AA94" s="235">
        <v>0</v>
      </c>
      <c r="AB94" s="235">
        <v>0</v>
      </c>
      <c r="AC94" s="235">
        <v>10</v>
      </c>
      <c r="AD94" s="235">
        <v>0</v>
      </c>
      <c r="AE94" s="235">
        <v>0</v>
      </c>
      <c r="AF94" s="235">
        <v>5</v>
      </c>
      <c r="AG94" s="235">
        <v>0</v>
      </c>
      <c r="AH94" s="235">
        <v>0</v>
      </c>
      <c r="AI94" s="235">
        <v>0</v>
      </c>
      <c r="AJ94" s="235">
        <v>0</v>
      </c>
      <c r="AK94" s="271">
        <f t="shared" ref="AK94:AK101" si="460">P94+S94+V94+Y94+AB94+AE94+AH94</f>
        <v>0</v>
      </c>
      <c r="AL94" s="271">
        <f t="shared" ref="AL94:AL101" si="461">Q94+T94+W94+Z94+AC94+AF94+AI94</f>
        <v>35</v>
      </c>
      <c r="AM94" s="271">
        <f t="shared" ref="AM94:AM101" si="462">AK94+AL94</f>
        <v>35</v>
      </c>
      <c r="AN94" s="271">
        <f t="shared" ref="AN94:AN101" si="463">R94+U94+X94+AA94+AD94+AG94+AJ94</f>
        <v>0</v>
      </c>
      <c r="AO94" s="189">
        <f t="shared" ref="AO94:AO101" si="464">O94/H94*100</f>
        <v>0</v>
      </c>
      <c r="AP94" s="189">
        <f t="shared" ref="AP94:AP101" si="465">AN94/H94*100</f>
        <v>0</v>
      </c>
      <c r="AQ94" s="189">
        <f t="shared" ref="AQ94:AQ101" si="466">AN94/AM94*100</f>
        <v>0</v>
      </c>
      <c r="AR94" s="81">
        <f t="shared" ref="AR94:AR101" si="467">AK94/AM94*100</f>
        <v>0</v>
      </c>
      <c r="AS94" s="81">
        <f t="shared" ref="AS94:AS101" si="468">AL94/AM94*100</f>
        <v>100</v>
      </c>
      <c r="AT94" s="81" t="e">
        <f t="shared" ref="AT94:AT101" si="469">R94/AN94*100</f>
        <v>#DIV/0!</v>
      </c>
      <c r="AU94" s="81" t="e">
        <f t="shared" ref="AU94:AU101" si="470">U94/AN94*100</f>
        <v>#DIV/0!</v>
      </c>
      <c r="AV94" s="81" t="e">
        <f t="shared" ref="AV94:AV101" si="471">X94/AN94*100</f>
        <v>#DIV/0!</v>
      </c>
      <c r="AW94" s="81" t="e">
        <f t="shared" ref="AW94:AW101" si="472">AA94/AN94*100</f>
        <v>#DIV/0!</v>
      </c>
      <c r="AX94" s="81" t="e">
        <f t="shared" ref="AX94:AX101" si="473">AD94/AN94*100</f>
        <v>#DIV/0!</v>
      </c>
      <c r="AY94" s="81" t="e">
        <f t="shared" ref="AY94:AY101" si="474">AG94/AN94*100</f>
        <v>#DIV/0!</v>
      </c>
      <c r="AZ94" s="81" t="e">
        <f t="shared" ref="AZ94:AZ101" si="475">AJ94/AN94*100</f>
        <v>#DIV/0!</v>
      </c>
    </row>
    <row r="95" spans="1:52" s="277" customFormat="1" ht="20.25" customHeight="1">
      <c r="A95" s="395"/>
      <c r="B95" s="240" t="s">
        <v>282</v>
      </c>
      <c r="C95" s="235">
        <v>151</v>
      </c>
      <c r="D95" s="276">
        <v>45848</v>
      </c>
      <c r="E95" s="276">
        <v>45848</v>
      </c>
      <c r="F95" s="235">
        <v>40</v>
      </c>
      <c r="G95" s="235">
        <v>0</v>
      </c>
      <c r="H95" s="235">
        <f t="shared" si="331"/>
        <v>40</v>
      </c>
      <c r="I95" s="235">
        <v>0</v>
      </c>
      <c r="J95" s="235">
        <v>0</v>
      </c>
      <c r="K95" s="235">
        <f t="shared" si="332"/>
        <v>40</v>
      </c>
      <c r="L95" s="235">
        <v>0</v>
      </c>
      <c r="M95" s="235">
        <v>0</v>
      </c>
      <c r="N95" s="235">
        <v>0</v>
      </c>
      <c r="O95" s="235">
        <v>2</v>
      </c>
      <c r="P95" s="235">
        <v>0</v>
      </c>
      <c r="Q95" s="235">
        <v>0</v>
      </c>
      <c r="R95" s="235">
        <v>0</v>
      </c>
      <c r="S95" s="235">
        <v>0</v>
      </c>
      <c r="T95" s="235">
        <v>1</v>
      </c>
      <c r="U95" s="235">
        <v>1</v>
      </c>
      <c r="V95" s="235">
        <v>0</v>
      </c>
      <c r="W95" s="235">
        <v>16</v>
      </c>
      <c r="X95" s="235">
        <v>0</v>
      </c>
      <c r="Y95" s="235">
        <v>0</v>
      </c>
      <c r="Z95" s="235">
        <v>5</v>
      </c>
      <c r="AA95" s="235">
        <v>0</v>
      </c>
      <c r="AB95" s="235">
        <v>0</v>
      </c>
      <c r="AC95" s="235">
        <v>20</v>
      </c>
      <c r="AD95" s="235">
        <v>1</v>
      </c>
      <c r="AE95" s="235">
        <v>0</v>
      </c>
      <c r="AF95" s="235">
        <v>6</v>
      </c>
      <c r="AG95" s="235">
        <v>0</v>
      </c>
      <c r="AH95" s="235">
        <v>0</v>
      </c>
      <c r="AI95" s="235">
        <v>1</v>
      </c>
      <c r="AJ95" s="235">
        <v>0</v>
      </c>
      <c r="AK95" s="271">
        <f t="shared" si="460"/>
        <v>0</v>
      </c>
      <c r="AL95" s="271">
        <f t="shared" si="461"/>
        <v>49</v>
      </c>
      <c r="AM95" s="271">
        <f t="shared" si="462"/>
        <v>49</v>
      </c>
      <c r="AN95" s="271">
        <f t="shared" si="463"/>
        <v>2</v>
      </c>
      <c r="AO95" s="189">
        <f t="shared" si="464"/>
        <v>5</v>
      </c>
      <c r="AP95" s="189">
        <f t="shared" si="465"/>
        <v>5</v>
      </c>
      <c r="AQ95" s="189">
        <f t="shared" si="466"/>
        <v>4.0816326530612246</v>
      </c>
      <c r="AR95" s="81">
        <f t="shared" si="467"/>
        <v>0</v>
      </c>
      <c r="AS95" s="81">
        <f t="shared" si="468"/>
        <v>100</v>
      </c>
      <c r="AT95" s="81">
        <f t="shared" si="469"/>
        <v>0</v>
      </c>
      <c r="AU95" s="81">
        <f t="shared" si="470"/>
        <v>50</v>
      </c>
      <c r="AV95" s="81">
        <f t="shared" si="471"/>
        <v>0</v>
      </c>
      <c r="AW95" s="81">
        <f t="shared" si="472"/>
        <v>0</v>
      </c>
      <c r="AX95" s="81">
        <f t="shared" si="473"/>
        <v>50</v>
      </c>
      <c r="AY95" s="81">
        <f t="shared" si="474"/>
        <v>0</v>
      </c>
      <c r="AZ95" s="81">
        <f t="shared" si="475"/>
        <v>0</v>
      </c>
    </row>
    <row r="96" spans="1:52" s="277" customFormat="1" ht="20.25" customHeight="1">
      <c r="A96" s="395"/>
      <c r="B96" s="240" t="s">
        <v>285</v>
      </c>
      <c r="C96" s="235">
        <v>287</v>
      </c>
      <c r="D96" s="276">
        <v>45849</v>
      </c>
      <c r="E96" s="276">
        <v>45853</v>
      </c>
      <c r="F96" s="235">
        <v>80</v>
      </c>
      <c r="G96" s="235">
        <v>0</v>
      </c>
      <c r="H96" s="235">
        <f t="shared" si="331"/>
        <v>80</v>
      </c>
      <c r="I96" s="235">
        <v>0</v>
      </c>
      <c r="J96" s="235">
        <v>0</v>
      </c>
      <c r="K96" s="235">
        <f t="shared" si="332"/>
        <v>80</v>
      </c>
      <c r="L96" s="235">
        <v>0</v>
      </c>
      <c r="M96" s="235">
        <v>0</v>
      </c>
      <c r="N96" s="235">
        <v>0</v>
      </c>
      <c r="O96" s="235">
        <v>1</v>
      </c>
      <c r="P96" s="235">
        <v>0</v>
      </c>
      <c r="Q96" s="235">
        <v>0</v>
      </c>
      <c r="R96" s="235">
        <v>0</v>
      </c>
      <c r="S96" s="235">
        <v>0</v>
      </c>
      <c r="T96" s="235">
        <v>5</v>
      </c>
      <c r="U96" s="235">
        <v>0</v>
      </c>
      <c r="V96" s="235">
        <v>0</v>
      </c>
      <c r="W96" s="235">
        <v>11</v>
      </c>
      <c r="X96" s="235">
        <v>1</v>
      </c>
      <c r="Y96" s="235">
        <v>0</v>
      </c>
      <c r="Z96" s="235">
        <v>5</v>
      </c>
      <c r="AA96" s="235">
        <v>0</v>
      </c>
      <c r="AB96" s="235">
        <v>0</v>
      </c>
      <c r="AC96" s="235">
        <v>18</v>
      </c>
      <c r="AD96" s="235">
        <v>0</v>
      </c>
      <c r="AE96" s="235">
        <v>0</v>
      </c>
      <c r="AF96" s="235">
        <v>24</v>
      </c>
      <c r="AG96" s="235">
        <v>0</v>
      </c>
      <c r="AH96" s="235">
        <v>0</v>
      </c>
      <c r="AI96" s="235">
        <v>0</v>
      </c>
      <c r="AJ96" s="235">
        <v>0</v>
      </c>
      <c r="AK96" s="271">
        <f t="shared" si="460"/>
        <v>0</v>
      </c>
      <c r="AL96" s="271">
        <f t="shared" si="461"/>
        <v>63</v>
      </c>
      <c r="AM96" s="271">
        <f t="shared" si="462"/>
        <v>63</v>
      </c>
      <c r="AN96" s="271">
        <f t="shared" si="463"/>
        <v>1</v>
      </c>
      <c r="AO96" s="189">
        <f t="shared" si="464"/>
        <v>1.25</v>
      </c>
      <c r="AP96" s="189">
        <f t="shared" si="465"/>
        <v>1.25</v>
      </c>
      <c r="AQ96" s="189">
        <f t="shared" si="466"/>
        <v>1.5873015873015872</v>
      </c>
      <c r="AR96" s="81">
        <f t="shared" si="467"/>
        <v>0</v>
      </c>
      <c r="AS96" s="81">
        <f t="shared" si="468"/>
        <v>100</v>
      </c>
      <c r="AT96" s="81">
        <f t="shared" si="469"/>
        <v>0</v>
      </c>
      <c r="AU96" s="81">
        <f t="shared" si="470"/>
        <v>0</v>
      </c>
      <c r="AV96" s="81">
        <f t="shared" si="471"/>
        <v>100</v>
      </c>
      <c r="AW96" s="81">
        <f t="shared" si="472"/>
        <v>0</v>
      </c>
      <c r="AX96" s="81">
        <f t="shared" si="473"/>
        <v>0</v>
      </c>
      <c r="AY96" s="81">
        <f t="shared" si="474"/>
        <v>0</v>
      </c>
      <c r="AZ96" s="81">
        <f t="shared" si="475"/>
        <v>0</v>
      </c>
    </row>
    <row r="97" spans="1:52" s="277" customFormat="1" ht="20.25" customHeight="1">
      <c r="A97" s="395"/>
      <c r="B97" s="240" t="s">
        <v>187</v>
      </c>
      <c r="C97" s="235">
        <v>362</v>
      </c>
      <c r="D97" s="276">
        <v>45854</v>
      </c>
      <c r="E97" s="276">
        <v>45856</v>
      </c>
      <c r="F97" s="235">
        <v>100</v>
      </c>
      <c r="G97" s="235">
        <v>0</v>
      </c>
      <c r="H97" s="235">
        <f t="shared" si="331"/>
        <v>100</v>
      </c>
      <c r="I97" s="235">
        <v>0</v>
      </c>
      <c r="J97" s="235">
        <v>0</v>
      </c>
      <c r="K97" s="235">
        <f t="shared" si="332"/>
        <v>100</v>
      </c>
      <c r="L97" s="235">
        <v>0</v>
      </c>
      <c r="M97" s="235">
        <v>0</v>
      </c>
      <c r="N97" s="235">
        <v>0</v>
      </c>
      <c r="O97" s="235">
        <v>5</v>
      </c>
      <c r="P97" s="235">
        <v>0</v>
      </c>
      <c r="Q97" s="235">
        <v>0</v>
      </c>
      <c r="R97" s="235">
        <v>0</v>
      </c>
      <c r="S97" s="235">
        <v>0</v>
      </c>
      <c r="T97" s="235">
        <v>7</v>
      </c>
      <c r="U97" s="235">
        <v>2</v>
      </c>
      <c r="V97" s="235">
        <v>0</v>
      </c>
      <c r="W97" s="235">
        <v>19</v>
      </c>
      <c r="X97" s="235">
        <v>2</v>
      </c>
      <c r="Y97" s="235">
        <v>6</v>
      </c>
      <c r="Z97" s="235">
        <v>6</v>
      </c>
      <c r="AA97" s="235">
        <v>0</v>
      </c>
      <c r="AB97" s="235">
        <v>3</v>
      </c>
      <c r="AC97" s="235">
        <v>27</v>
      </c>
      <c r="AD97" s="235">
        <v>1</v>
      </c>
      <c r="AE97" s="235">
        <v>30</v>
      </c>
      <c r="AF97" s="235">
        <v>34</v>
      </c>
      <c r="AG97" s="235">
        <v>0</v>
      </c>
      <c r="AH97" s="235">
        <v>0</v>
      </c>
      <c r="AI97" s="235">
        <v>0</v>
      </c>
      <c r="AJ97" s="235">
        <v>0</v>
      </c>
      <c r="AK97" s="271">
        <f t="shared" si="460"/>
        <v>39</v>
      </c>
      <c r="AL97" s="271">
        <f t="shared" si="461"/>
        <v>93</v>
      </c>
      <c r="AM97" s="271">
        <f t="shared" si="462"/>
        <v>132</v>
      </c>
      <c r="AN97" s="271">
        <f t="shared" si="463"/>
        <v>5</v>
      </c>
      <c r="AO97" s="189">
        <f t="shared" si="464"/>
        <v>5</v>
      </c>
      <c r="AP97" s="189">
        <f t="shared" si="465"/>
        <v>5</v>
      </c>
      <c r="AQ97" s="189">
        <f t="shared" si="466"/>
        <v>3.7878787878787881</v>
      </c>
      <c r="AR97" s="81">
        <f t="shared" si="467"/>
        <v>29.545454545454547</v>
      </c>
      <c r="AS97" s="81">
        <f t="shared" si="468"/>
        <v>70.454545454545453</v>
      </c>
      <c r="AT97" s="81">
        <f t="shared" si="469"/>
        <v>0</v>
      </c>
      <c r="AU97" s="81">
        <f t="shared" si="470"/>
        <v>40</v>
      </c>
      <c r="AV97" s="81">
        <f t="shared" si="471"/>
        <v>40</v>
      </c>
      <c r="AW97" s="81">
        <f t="shared" si="472"/>
        <v>0</v>
      </c>
      <c r="AX97" s="81">
        <f t="shared" si="473"/>
        <v>20</v>
      </c>
      <c r="AY97" s="81">
        <f t="shared" si="474"/>
        <v>0</v>
      </c>
      <c r="AZ97" s="81">
        <f t="shared" si="475"/>
        <v>0</v>
      </c>
    </row>
    <row r="98" spans="1:52" s="277" customFormat="1" ht="20.25" customHeight="1">
      <c r="A98" s="395"/>
      <c r="B98" s="240" t="s">
        <v>211</v>
      </c>
      <c r="C98" s="235">
        <v>115</v>
      </c>
      <c r="D98" s="276">
        <v>45855</v>
      </c>
      <c r="E98" s="276">
        <v>45855</v>
      </c>
      <c r="F98" s="235">
        <v>40</v>
      </c>
      <c r="G98" s="235">
        <v>0</v>
      </c>
      <c r="H98" s="235">
        <f t="shared" si="331"/>
        <v>40</v>
      </c>
      <c r="I98" s="235">
        <v>0</v>
      </c>
      <c r="J98" s="235">
        <v>0</v>
      </c>
      <c r="K98" s="235">
        <f t="shared" si="332"/>
        <v>40</v>
      </c>
      <c r="L98" s="235">
        <v>0</v>
      </c>
      <c r="M98" s="235">
        <v>0</v>
      </c>
      <c r="N98" s="235">
        <v>0</v>
      </c>
      <c r="O98" s="235">
        <v>0</v>
      </c>
      <c r="P98" s="235">
        <v>0</v>
      </c>
      <c r="Q98" s="235">
        <v>0</v>
      </c>
      <c r="R98" s="235">
        <v>0</v>
      </c>
      <c r="S98" s="235">
        <v>0</v>
      </c>
      <c r="T98" s="235">
        <v>0</v>
      </c>
      <c r="U98" s="235">
        <v>0</v>
      </c>
      <c r="V98" s="235">
        <v>0</v>
      </c>
      <c r="W98" s="235">
        <v>12</v>
      </c>
      <c r="X98" s="235">
        <v>0</v>
      </c>
      <c r="Y98" s="235">
        <v>0</v>
      </c>
      <c r="Z98" s="235">
        <v>4</v>
      </c>
      <c r="AA98" s="235">
        <v>0</v>
      </c>
      <c r="AB98" s="235">
        <v>0</v>
      </c>
      <c r="AC98" s="235">
        <v>12</v>
      </c>
      <c r="AD98" s="235">
        <v>0</v>
      </c>
      <c r="AE98" s="235">
        <v>0</v>
      </c>
      <c r="AF98" s="235">
        <v>10</v>
      </c>
      <c r="AG98" s="235">
        <v>0</v>
      </c>
      <c r="AH98" s="235">
        <v>0</v>
      </c>
      <c r="AI98" s="235">
        <v>0</v>
      </c>
      <c r="AJ98" s="235">
        <v>0</v>
      </c>
      <c r="AK98" s="271">
        <f t="shared" si="460"/>
        <v>0</v>
      </c>
      <c r="AL98" s="271">
        <f t="shared" si="461"/>
        <v>38</v>
      </c>
      <c r="AM98" s="271">
        <f t="shared" si="462"/>
        <v>38</v>
      </c>
      <c r="AN98" s="271">
        <f t="shared" si="463"/>
        <v>0</v>
      </c>
      <c r="AO98" s="189">
        <f t="shared" si="464"/>
        <v>0</v>
      </c>
      <c r="AP98" s="189">
        <f t="shared" si="465"/>
        <v>0</v>
      </c>
      <c r="AQ98" s="189">
        <f t="shared" si="466"/>
        <v>0</v>
      </c>
      <c r="AR98" s="81">
        <f t="shared" si="467"/>
        <v>0</v>
      </c>
      <c r="AS98" s="81">
        <f t="shared" si="468"/>
        <v>100</v>
      </c>
      <c r="AT98" s="81" t="e">
        <f t="shared" si="469"/>
        <v>#DIV/0!</v>
      </c>
      <c r="AU98" s="81" t="e">
        <f t="shared" si="470"/>
        <v>#DIV/0!</v>
      </c>
      <c r="AV98" s="81" t="e">
        <f t="shared" si="471"/>
        <v>#DIV/0!</v>
      </c>
      <c r="AW98" s="81" t="e">
        <f t="shared" si="472"/>
        <v>#DIV/0!</v>
      </c>
      <c r="AX98" s="81" t="e">
        <f t="shared" si="473"/>
        <v>#DIV/0!</v>
      </c>
      <c r="AY98" s="81" t="e">
        <f t="shared" si="474"/>
        <v>#DIV/0!</v>
      </c>
      <c r="AZ98" s="81" t="e">
        <f t="shared" si="475"/>
        <v>#DIV/0!</v>
      </c>
    </row>
    <row r="99" spans="1:52" s="277" customFormat="1" ht="20.25" customHeight="1">
      <c r="A99" s="395"/>
      <c r="B99" s="240" t="s">
        <v>165</v>
      </c>
      <c r="C99" s="235">
        <v>346</v>
      </c>
      <c r="D99" s="276">
        <v>45855</v>
      </c>
      <c r="E99" s="276">
        <v>45860</v>
      </c>
      <c r="F99" s="235">
        <v>100</v>
      </c>
      <c r="G99" s="235">
        <v>0</v>
      </c>
      <c r="H99" s="235">
        <f t="shared" si="331"/>
        <v>100</v>
      </c>
      <c r="I99" s="235">
        <v>0</v>
      </c>
      <c r="J99" s="235">
        <v>0</v>
      </c>
      <c r="K99" s="235">
        <f t="shared" si="332"/>
        <v>100</v>
      </c>
      <c r="L99" s="235">
        <v>0</v>
      </c>
      <c r="M99" s="235">
        <v>0</v>
      </c>
      <c r="N99" s="235">
        <v>0</v>
      </c>
      <c r="O99" s="235">
        <v>1</v>
      </c>
      <c r="P99" s="235">
        <v>0</v>
      </c>
      <c r="Q99" s="235">
        <v>0</v>
      </c>
      <c r="R99" s="235">
        <v>0</v>
      </c>
      <c r="S99" s="235">
        <v>0</v>
      </c>
      <c r="T99" s="235">
        <v>3</v>
      </c>
      <c r="U99" s="235">
        <v>0</v>
      </c>
      <c r="V99" s="235">
        <v>12</v>
      </c>
      <c r="W99" s="235">
        <v>8</v>
      </c>
      <c r="X99" s="235">
        <v>1</v>
      </c>
      <c r="Y99" s="235">
        <v>5</v>
      </c>
      <c r="Z99" s="235">
        <v>9</v>
      </c>
      <c r="AA99" s="235">
        <v>0</v>
      </c>
      <c r="AB99" s="235">
        <v>3</v>
      </c>
      <c r="AC99" s="235">
        <v>15</v>
      </c>
      <c r="AD99" s="235">
        <v>0</v>
      </c>
      <c r="AE99" s="235">
        <v>0</v>
      </c>
      <c r="AF99" s="235">
        <v>8</v>
      </c>
      <c r="AG99" s="235">
        <v>0</v>
      </c>
      <c r="AH99" s="235">
        <v>0</v>
      </c>
      <c r="AI99" s="235">
        <v>0</v>
      </c>
      <c r="AJ99" s="235">
        <v>0</v>
      </c>
      <c r="AK99" s="271">
        <f t="shared" si="460"/>
        <v>20</v>
      </c>
      <c r="AL99" s="271">
        <f t="shared" si="461"/>
        <v>43</v>
      </c>
      <c r="AM99" s="271">
        <f t="shared" si="462"/>
        <v>63</v>
      </c>
      <c r="AN99" s="271">
        <f t="shared" si="463"/>
        <v>1</v>
      </c>
      <c r="AO99" s="189">
        <f t="shared" si="464"/>
        <v>1</v>
      </c>
      <c r="AP99" s="189">
        <f t="shared" si="465"/>
        <v>1</v>
      </c>
      <c r="AQ99" s="189">
        <f t="shared" si="466"/>
        <v>1.5873015873015872</v>
      </c>
      <c r="AR99" s="81">
        <f t="shared" si="467"/>
        <v>31.746031746031743</v>
      </c>
      <c r="AS99" s="81">
        <f t="shared" si="468"/>
        <v>68.253968253968253</v>
      </c>
      <c r="AT99" s="81">
        <f t="shared" si="469"/>
        <v>0</v>
      </c>
      <c r="AU99" s="81">
        <f t="shared" si="470"/>
        <v>0</v>
      </c>
      <c r="AV99" s="81">
        <f t="shared" si="471"/>
        <v>100</v>
      </c>
      <c r="AW99" s="81">
        <f t="shared" si="472"/>
        <v>0</v>
      </c>
      <c r="AX99" s="81">
        <f t="shared" si="473"/>
        <v>0</v>
      </c>
      <c r="AY99" s="81">
        <f t="shared" si="474"/>
        <v>0</v>
      </c>
      <c r="AZ99" s="81">
        <f t="shared" si="475"/>
        <v>0</v>
      </c>
    </row>
    <row r="100" spans="1:52" s="277" customFormat="1" ht="20.25" customHeight="1">
      <c r="A100" s="395"/>
      <c r="B100" s="240" t="s">
        <v>188</v>
      </c>
      <c r="C100" s="235">
        <v>907</v>
      </c>
      <c r="D100" s="276">
        <v>45856</v>
      </c>
      <c r="E100" s="276">
        <v>45862</v>
      </c>
      <c r="F100" s="235">
        <v>240</v>
      </c>
      <c r="G100" s="235">
        <v>0</v>
      </c>
      <c r="H100" s="235">
        <f t="shared" si="331"/>
        <v>240</v>
      </c>
      <c r="I100" s="235">
        <v>0</v>
      </c>
      <c r="J100" s="235">
        <v>0</v>
      </c>
      <c r="K100" s="235">
        <f t="shared" si="332"/>
        <v>240</v>
      </c>
      <c r="L100" s="235">
        <v>0</v>
      </c>
      <c r="M100" s="235">
        <v>0</v>
      </c>
      <c r="N100" s="235">
        <v>0</v>
      </c>
      <c r="O100" s="235">
        <v>4</v>
      </c>
      <c r="P100" s="235">
        <v>0</v>
      </c>
      <c r="Q100" s="235">
        <v>0</v>
      </c>
      <c r="R100" s="235">
        <v>0</v>
      </c>
      <c r="S100" s="235">
        <v>0</v>
      </c>
      <c r="T100" s="235">
        <v>9</v>
      </c>
      <c r="U100" s="235">
        <v>2</v>
      </c>
      <c r="V100" s="235">
        <v>0</v>
      </c>
      <c r="W100" s="235">
        <v>36</v>
      </c>
      <c r="X100" s="235">
        <v>2</v>
      </c>
      <c r="Y100" s="235">
        <v>0</v>
      </c>
      <c r="Z100" s="235">
        <v>26</v>
      </c>
      <c r="AA100" s="235">
        <v>0</v>
      </c>
      <c r="AB100" s="235">
        <v>0</v>
      </c>
      <c r="AC100" s="235">
        <v>94</v>
      </c>
      <c r="AD100" s="235">
        <v>1</v>
      </c>
      <c r="AE100" s="235">
        <v>0</v>
      </c>
      <c r="AF100" s="235">
        <v>23</v>
      </c>
      <c r="AG100" s="235">
        <v>0</v>
      </c>
      <c r="AH100" s="235">
        <v>0</v>
      </c>
      <c r="AI100" s="235">
        <v>0</v>
      </c>
      <c r="AJ100" s="235">
        <v>0</v>
      </c>
      <c r="AK100" s="271">
        <f t="shared" si="460"/>
        <v>0</v>
      </c>
      <c r="AL100" s="271">
        <f t="shared" si="461"/>
        <v>188</v>
      </c>
      <c r="AM100" s="271">
        <f t="shared" si="462"/>
        <v>188</v>
      </c>
      <c r="AN100" s="271">
        <f t="shared" si="463"/>
        <v>5</v>
      </c>
      <c r="AO100" s="189">
        <f t="shared" si="464"/>
        <v>1.6666666666666667</v>
      </c>
      <c r="AP100" s="189">
        <f t="shared" si="465"/>
        <v>2.083333333333333</v>
      </c>
      <c r="AQ100" s="189">
        <f t="shared" si="466"/>
        <v>2.6595744680851063</v>
      </c>
      <c r="AR100" s="81">
        <f t="shared" si="467"/>
        <v>0</v>
      </c>
      <c r="AS100" s="81">
        <f t="shared" si="468"/>
        <v>100</v>
      </c>
      <c r="AT100" s="81">
        <f t="shared" si="469"/>
        <v>0</v>
      </c>
      <c r="AU100" s="81">
        <f t="shared" si="470"/>
        <v>40</v>
      </c>
      <c r="AV100" s="81">
        <f t="shared" si="471"/>
        <v>40</v>
      </c>
      <c r="AW100" s="81">
        <f t="shared" si="472"/>
        <v>0</v>
      </c>
      <c r="AX100" s="81">
        <f t="shared" si="473"/>
        <v>20</v>
      </c>
      <c r="AY100" s="81">
        <f t="shared" si="474"/>
        <v>0</v>
      </c>
      <c r="AZ100" s="81">
        <f t="shared" si="475"/>
        <v>0</v>
      </c>
    </row>
    <row r="101" spans="1:52" s="277" customFormat="1" ht="20.25" customHeight="1">
      <c r="A101" s="395"/>
      <c r="B101" s="240" t="s">
        <v>143</v>
      </c>
      <c r="C101" s="235">
        <v>75</v>
      </c>
      <c r="D101" s="276">
        <v>45862</v>
      </c>
      <c r="E101" s="276">
        <v>45862</v>
      </c>
      <c r="F101" s="235">
        <v>20</v>
      </c>
      <c r="G101" s="235">
        <v>0</v>
      </c>
      <c r="H101" s="235">
        <f t="shared" si="331"/>
        <v>20</v>
      </c>
      <c r="I101" s="235">
        <v>0</v>
      </c>
      <c r="J101" s="235">
        <v>0</v>
      </c>
      <c r="K101" s="235">
        <f t="shared" si="332"/>
        <v>20</v>
      </c>
      <c r="L101" s="235">
        <v>0</v>
      </c>
      <c r="M101" s="235">
        <v>0</v>
      </c>
      <c r="N101" s="235">
        <v>0</v>
      </c>
      <c r="O101" s="235">
        <v>0</v>
      </c>
      <c r="P101" s="235">
        <v>0</v>
      </c>
      <c r="Q101" s="235">
        <v>0</v>
      </c>
      <c r="R101" s="235">
        <v>0</v>
      </c>
      <c r="S101" s="235">
        <v>0</v>
      </c>
      <c r="T101" s="235">
        <v>0</v>
      </c>
      <c r="U101" s="235">
        <v>0</v>
      </c>
      <c r="V101" s="235">
        <v>0</v>
      </c>
      <c r="W101" s="235">
        <v>0</v>
      </c>
      <c r="X101" s="235">
        <v>0</v>
      </c>
      <c r="Y101" s="235">
        <v>0</v>
      </c>
      <c r="Z101" s="235">
        <v>0</v>
      </c>
      <c r="AA101" s="235">
        <v>0</v>
      </c>
      <c r="AB101" s="235">
        <v>1</v>
      </c>
      <c r="AC101" s="235">
        <v>0</v>
      </c>
      <c r="AD101" s="235">
        <v>0</v>
      </c>
      <c r="AE101" s="235">
        <v>0</v>
      </c>
      <c r="AF101" s="235">
        <v>22</v>
      </c>
      <c r="AG101" s="235">
        <v>0</v>
      </c>
      <c r="AH101" s="235">
        <v>0</v>
      </c>
      <c r="AI101" s="235">
        <v>0</v>
      </c>
      <c r="AJ101" s="235">
        <v>0</v>
      </c>
      <c r="AK101" s="271">
        <f t="shared" si="460"/>
        <v>1</v>
      </c>
      <c r="AL101" s="271">
        <f t="shared" si="461"/>
        <v>22</v>
      </c>
      <c r="AM101" s="271">
        <f t="shared" si="462"/>
        <v>23</v>
      </c>
      <c r="AN101" s="271">
        <f t="shared" si="463"/>
        <v>0</v>
      </c>
      <c r="AO101" s="189">
        <f t="shared" si="464"/>
        <v>0</v>
      </c>
      <c r="AP101" s="189">
        <f t="shared" si="465"/>
        <v>0</v>
      </c>
      <c r="AQ101" s="189">
        <f t="shared" si="466"/>
        <v>0</v>
      </c>
      <c r="AR101" s="81">
        <f t="shared" si="467"/>
        <v>4.3478260869565215</v>
      </c>
      <c r="AS101" s="81">
        <f t="shared" si="468"/>
        <v>95.652173913043484</v>
      </c>
      <c r="AT101" s="81" t="e">
        <f t="shared" si="469"/>
        <v>#DIV/0!</v>
      </c>
      <c r="AU101" s="81" t="e">
        <f t="shared" si="470"/>
        <v>#DIV/0!</v>
      </c>
      <c r="AV101" s="81" t="e">
        <f t="shared" si="471"/>
        <v>#DIV/0!</v>
      </c>
      <c r="AW101" s="81" t="e">
        <f t="shared" si="472"/>
        <v>#DIV/0!</v>
      </c>
      <c r="AX101" s="81" t="e">
        <f t="shared" si="473"/>
        <v>#DIV/0!</v>
      </c>
      <c r="AY101" s="81" t="e">
        <f t="shared" si="474"/>
        <v>#DIV/0!</v>
      </c>
      <c r="AZ101" s="81" t="e">
        <f t="shared" si="475"/>
        <v>#DIV/0!</v>
      </c>
    </row>
    <row r="102" spans="1:52" s="277" customFormat="1" ht="20.25" customHeight="1">
      <c r="A102" s="395"/>
      <c r="B102" s="240" t="s">
        <v>131</v>
      </c>
      <c r="C102" s="235">
        <v>47</v>
      </c>
      <c r="D102" s="276">
        <v>45839</v>
      </c>
      <c r="E102" s="276">
        <v>45839</v>
      </c>
      <c r="F102" s="235">
        <v>14</v>
      </c>
      <c r="G102" s="235">
        <v>0</v>
      </c>
      <c r="H102" s="235">
        <f t="shared" ref="H102:H103" si="476">F102+G102</f>
        <v>14</v>
      </c>
      <c r="I102" s="235">
        <v>0</v>
      </c>
      <c r="J102" s="235">
        <v>0</v>
      </c>
      <c r="K102" s="235">
        <f t="shared" ref="K102:K103" si="477">H102+I102+J102</f>
        <v>14</v>
      </c>
      <c r="L102" s="235">
        <v>0</v>
      </c>
      <c r="M102" s="235">
        <v>0</v>
      </c>
      <c r="N102" s="235">
        <v>0</v>
      </c>
      <c r="O102" s="235">
        <v>0</v>
      </c>
      <c r="P102" s="235">
        <v>0</v>
      </c>
      <c r="Q102" s="235">
        <v>0</v>
      </c>
      <c r="R102" s="235">
        <v>0</v>
      </c>
      <c r="S102" s="235">
        <v>0</v>
      </c>
      <c r="T102" s="235">
        <v>2</v>
      </c>
      <c r="U102" s="235">
        <v>0</v>
      </c>
      <c r="V102" s="235">
        <v>0</v>
      </c>
      <c r="W102" s="235">
        <v>2</v>
      </c>
      <c r="X102" s="235">
        <v>0</v>
      </c>
      <c r="Y102" s="235">
        <v>0</v>
      </c>
      <c r="Z102" s="235">
        <v>2</v>
      </c>
      <c r="AA102" s="235">
        <v>0</v>
      </c>
      <c r="AB102" s="235">
        <v>0</v>
      </c>
      <c r="AC102" s="235">
        <v>3</v>
      </c>
      <c r="AD102" s="235">
        <v>0</v>
      </c>
      <c r="AE102" s="235">
        <v>0</v>
      </c>
      <c r="AF102" s="235">
        <v>5</v>
      </c>
      <c r="AG102" s="235">
        <v>0</v>
      </c>
      <c r="AH102" s="235">
        <v>0</v>
      </c>
      <c r="AI102" s="235">
        <v>0</v>
      </c>
      <c r="AJ102" s="235">
        <v>0</v>
      </c>
      <c r="AK102" s="278">
        <f t="shared" ref="AK102:AK103" si="478">P102+S102+V102+Y102+AB102+AE102+AH102</f>
        <v>0</v>
      </c>
      <c r="AL102" s="278">
        <f t="shared" ref="AL102:AL103" si="479">Q102+T102+W102+Z102+AC102+AF102+AI102</f>
        <v>14</v>
      </c>
      <c r="AM102" s="278">
        <f t="shared" ref="AM102:AM103" si="480">AK102+AL102</f>
        <v>14</v>
      </c>
      <c r="AN102" s="278">
        <f t="shared" ref="AN102:AN103" si="481">R102+U102+X102+AA102+AD102+AG102+AJ102</f>
        <v>0</v>
      </c>
      <c r="AO102" s="189">
        <f t="shared" ref="AO102:AO103" si="482">O102/H102*100</f>
        <v>0</v>
      </c>
      <c r="AP102" s="189">
        <f t="shared" ref="AP102:AP103" si="483">AN102/H102*100</f>
        <v>0</v>
      </c>
      <c r="AQ102" s="189">
        <f t="shared" ref="AQ102:AQ103" si="484">AN102/AM102*100</f>
        <v>0</v>
      </c>
      <c r="AR102" s="81">
        <f t="shared" ref="AR102:AR104" si="485">AK102/AM102*100</f>
        <v>0</v>
      </c>
      <c r="AS102" s="81">
        <f t="shared" ref="AS102:AS104" si="486">AL102/AM102*100</f>
        <v>100</v>
      </c>
      <c r="AT102" s="81" t="e">
        <f t="shared" ref="AT102:AT104" si="487">R102/AN102*100</f>
        <v>#DIV/0!</v>
      </c>
      <c r="AU102" s="81" t="e">
        <f t="shared" ref="AU102:AU104" si="488">U102/AN102*100</f>
        <v>#DIV/0!</v>
      </c>
      <c r="AV102" s="81" t="e">
        <f t="shared" ref="AV102:AV104" si="489">X102/AN102*100</f>
        <v>#DIV/0!</v>
      </c>
      <c r="AW102" s="81" t="e">
        <f t="shared" ref="AW102:AW104" si="490">AA102/AN102*100</f>
        <v>#DIV/0!</v>
      </c>
      <c r="AX102" s="81" t="e">
        <f t="shared" ref="AX102:AX104" si="491">AD102/AN102*100</f>
        <v>#DIV/0!</v>
      </c>
      <c r="AY102" s="81" t="e">
        <f t="shared" ref="AY102:AY104" si="492">AG102/AN102*100</f>
        <v>#DIV/0!</v>
      </c>
      <c r="AZ102" s="81" t="e">
        <f t="shared" ref="AZ102:AZ104" si="493">AJ102/AN102*100</f>
        <v>#DIV/0!</v>
      </c>
    </row>
    <row r="103" spans="1:52" s="277" customFormat="1" ht="20.25" customHeight="1">
      <c r="A103" s="396"/>
      <c r="B103" s="240" t="s">
        <v>187</v>
      </c>
      <c r="C103" s="235">
        <v>54</v>
      </c>
      <c r="D103" s="276">
        <v>45845</v>
      </c>
      <c r="E103" s="276">
        <v>45845</v>
      </c>
      <c r="F103" s="235">
        <v>11</v>
      </c>
      <c r="G103" s="235">
        <v>0</v>
      </c>
      <c r="H103" s="235">
        <f t="shared" si="476"/>
        <v>11</v>
      </c>
      <c r="I103" s="235">
        <v>0</v>
      </c>
      <c r="J103" s="235">
        <v>0</v>
      </c>
      <c r="K103" s="235">
        <f t="shared" si="477"/>
        <v>11</v>
      </c>
      <c r="L103" s="235">
        <v>0</v>
      </c>
      <c r="M103" s="235">
        <v>0</v>
      </c>
      <c r="N103" s="235">
        <v>0</v>
      </c>
      <c r="O103" s="235">
        <v>1</v>
      </c>
      <c r="P103" s="235">
        <v>0</v>
      </c>
      <c r="Q103" s="235">
        <v>0</v>
      </c>
      <c r="R103" s="235">
        <v>0</v>
      </c>
      <c r="S103" s="235">
        <v>0</v>
      </c>
      <c r="T103" s="235">
        <v>2</v>
      </c>
      <c r="U103" s="235">
        <v>0</v>
      </c>
      <c r="V103" s="235">
        <v>0</v>
      </c>
      <c r="W103" s="235">
        <v>3</v>
      </c>
      <c r="X103" s="235">
        <v>0</v>
      </c>
      <c r="Y103" s="235">
        <v>0</v>
      </c>
      <c r="Z103" s="235">
        <v>2</v>
      </c>
      <c r="AA103" s="235">
        <v>0</v>
      </c>
      <c r="AB103" s="235">
        <v>0</v>
      </c>
      <c r="AC103" s="235">
        <v>2</v>
      </c>
      <c r="AD103" s="235">
        <v>1</v>
      </c>
      <c r="AE103" s="235">
        <v>0</v>
      </c>
      <c r="AF103" s="235">
        <v>3</v>
      </c>
      <c r="AG103" s="235">
        <v>0</v>
      </c>
      <c r="AH103" s="235">
        <v>0</v>
      </c>
      <c r="AI103" s="235">
        <v>0</v>
      </c>
      <c r="AJ103" s="235">
        <v>0</v>
      </c>
      <c r="AK103" s="278">
        <f t="shared" si="478"/>
        <v>0</v>
      </c>
      <c r="AL103" s="278">
        <f t="shared" si="479"/>
        <v>12</v>
      </c>
      <c r="AM103" s="278">
        <f t="shared" si="480"/>
        <v>12</v>
      </c>
      <c r="AN103" s="278">
        <f t="shared" si="481"/>
        <v>1</v>
      </c>
      <c r="AO103" s="189">
        <f t="shared" si="482"/>
        <v>9.0909090909090917</v>
      </c>
      <c r="AP103" s="189">
        <f t="shared" si="483"/>
        <v>9.0909090909090917</v>
      </c>
      <c r="AQ103" s="189">
        <f t="shared" si="484"/>
        <v>8.3333333333333321</v>
      </c>
      <c r="AR103" s="81">
        <f t="shared" si="485"/>
        <v>0</v>
      </c>
      <c r="AS103" s="81">
        <f t="shared" si="486"/>
        <v>100</v>
      </c>
      <c r="AT103" s="81">
        <f t="shared" si="487"/>
        <v>0</v>
      </c>
      <c r="AU103" s="81">
        <f t="shared" si="488"/>
        <v>0</v>
      </c>
      <c r="AV103" s="81">
        <f t="shared" si="489"/>
        <v>0</v>
      </c>
      <c r="AW103" s="81">
        <f t="shared" si="490"/>
        <v>0</v>
      </c>
      <c r="AX103" s="81">
        <f t="shared" si="491"/>
        <v>100</v>
      </c>
      <c r="AY103" s="81">
        <f t="shared" si="492"/>
        <v>0</v>
      </c>
      <c r="AZ103" s="81">
        <f t="shared" si="493"/>
        <v>0</v>
      </c>
    </row>
    <row r="104" spans="1:52" s="250" customFormat="1" ht="20.25" customHeight="1">
      <c r="A104" s="394" t="s">
        <v>215</v>
      </c>
      <c r="B104" s="77" t="s">
        <v>247</v>
      </c>
      <c r="C104" s="77">
        <f>C105</f>
        <v>509</v>
      </c>
      <c r="D104" s="217">
        <f>D105</f>
        <v>45846</v>
      </c>
      <c r="E104" s="217">
        <f>E105</f>
        <v>45861</v>
      </c>
      <c r="F104" s="77">
        <f>F105</f>
        <v>280</v>
      </c>
      <c r="G104" s="77">
        <f t="shared" ref="G104:AJ104" si="494">G105</f>
        <v>0</v>
      </c>
      <c r="H104" s="77">
        <f t="shared" si="494"/>
        <v>280</v>
      </c>
      <c r="I104" s="77">
        <f t="shared" si="494"/>
        <v>0</v>
      </c>
      <c r="J104" s="77">
        <f t="shared" si="494"/>
        <v>0</v>
      </c>
      <c r="K104" s="77">
        <f t="shared" si="494"/>
        <v>280</v>
      </c>
      <c r="L104" s="77">
        <f t="shared" si="494"/>
        <v>0</v>
      </c>
      <c r="M104" s="77">
        <f t="shared" si="494"/>
        <v>0</v>
      </c>
      <c r="N104" s="77">
        <f t="shared" si="494"/>
        <v>0</v>
      </c>
      <c r="O104" s="77">
        <f t="shared" si="494"/>
        <v>2</v>
      </c>
      <c r="P104" s="77">
        <f t="shared" si="494"/>
        <v>0</v>
      </c>
      <c r="Q104" s="77">
        <f t="shared" si="494"/>
        <v>0</v>
      </c>
      <c r="R104" s="77">
        <f t="shared" si="494"/>
        <v>0</v>
      </c>
      <c r="S104" s="77">
        <f t="shared" si="494"/>
        <v>0</v>
      </c>
      <c r="T104" s="77">
        <f t="shared" si="494"/>
        <v>2</v>
      </c>
      <c r="U104" s="77">
        <f t="shared" si="494"/>
        <v>0</v>
      </c>
      <c r="V104" s="77">
        <f t="shared" si="494"/>
        <v>0</v>
      </c>
      <c r="W104" s="77">
        <f t="shared" si="494"/>
        <v>0</v>
      </c>
      <c r="X104" s="77">
        <f t="shared" si="494"/>
        <v>0</v>
      </c>
      <c r="Y104" s="77">
        <f t="shared" si="494"/>
        <v>0</v>
      </c>
      <c r="Z104" s="77">
        <f t="shared" si="494"/>
        <v>0</v>
      </c>
      <c r="AA104" s="77">
        <f t="shared" si="494"/>
        <v>0</v>
      </c>
      <c r="AB104" s="77">
        <f t="shared" si="494"/>
        <v>2</v>
      </c>
      <c r="AC104" s="77">
        <f t="shared" si="494"/>
        <v>9</v>
      </c>
      <c r="AD104" s="77">
        <f t="shared" si="494"/>
        <v>2</v>
      </c>
      <c r="AE104" s="77">
        <f t="shared" si="494"/>
        <v>0</v>
      </c>
      <c r="AF104" s="77">
        <f t="shared" si="494"/>
        <v>123</v>
      </c>
      <c r="AG104" s="77">
        <f t="shared" si="494"/>
        <v>0</v>
      </c>
      <c r="AH104" s="77">
        <f t="shared" si="494"/>
        <v>0</v>
      </c>
      <c r="AI104" s="77">
        <f t="shared" si="494"/>
        <v>0</v>
      </c>
      <c r="AJ104" s="77">
        <f t="shared" si="494"/>
        <v>0</v>
      </c>
      <c r="AK104" s="77">
        <f>P104+S104+V104+Y104+AB104+AE104+AH104</f>
        <v>2</v>
      </c>
      <c r="AL104" s="77">
        <f>Q104+T104+W104+Z104+AC104+AF104+AI104</f>
        <v>134</v>
      </c>
      <c r="AM104" s="77">
        <f>AK104+AL104</f>
        <v>136</v>
      </c>
      <c r="AN104" s="77">
        <f>R104+U104+X104+AA104+AD104+AG104+AJ104</f>
        <v>2</v>
      </c>
      <c r="AO104" s="188">
        <f>O104/H104*100</f>
        <v>0.7142857142857143</v>
      </c>
      <c r="AP104" s="188">
        <f>AN104/H104*100</f>
        <v>0.7142857142857143</v>
      </c>
      <c r="AQ104" s="188">
        <f>AN104/AM104*100</f>
        <v>1.4705882352941175</v>
      </c>
      <c r="AR104" s="88">
        <f t="shared" si="485"/>
        <v>1.4705882352941175</v>
      </c>
      <c r="AS104" s="88">
        <f t="shared" si="486"/>
        <v>98.529411764705884</v>
      </c>
      <c r="AT104" s="88">
        <f t="shared" si="487"/>
        <v>0</v>
      </c>
      <c r="AU104" s="88">
        <f t="shared" si="488"/>
        <v>0</v>
      </c>
      <c r="AV104" s="88">
        <f t="shared" si="489"/>
        <v>0</v>
      </c>
      <c r="AW104" s="88">
        <f t="shared" si="490"/>
        <v>0</v>
      </c>
      <c r="AX104" s="88">
        <f t="shared" si="491"/>
        <v>100</v>
      </c>
      <c r="AY104" s="88">
        <f t="shared" si="492"/>
        <v>0</v>
      </c>
      <c r="AZ104" s="88">
        <f t="shared" si="493"/>
        <v>0</v>
      </c>
    </row>
    <row r="105" spans="1:52" s="277" customFormat="1" ht="20.25" customHeight="1">
      <c r="A105" s="396"/>
      <c r="B105" s="240" t="s">
        <v>221</v>
      </c>
      <c r="C105" s="235">
        <v>509</v>
      </c>
      <c r="D105" s="276">
        <v>45846</v>
      </c>
      <c r="E105" s="276">
        <v>45861</v>
      </c>
      <c r="F105" s="235">
        <v>280</v>
      </c>
      <c r="G105" s="235">
        <v>0</v>
      </c>
      <c r="H105" s="235">
        <f t="shared" ref="H105" si="495">F105+G105</f>
        <v>280</v>
      </c>
      <c r="I105" s="235">
        <v>0</v>
      </c>
      <c r="J105" s="235">
        <v>0</v>
      </c>
      <c r="K105" s="235">
        <f t="shared" ref="K105" si="496">H105+I105+J105</f>
        <v>280</v>
      </c>
      <c r="L105" s="235">
        <v>0</v>
      </c>
      <c r="M105" s="235">
        <v>0</v>
      </c>
      <c r="N105" s="235">
        <v>0</v>
      </c>
      <c r="O105" s="235">
        <v>2</v>
      </c>
      <c r="P105" s="235">
        <v>0</v>
      </c>
      <c r="Q105" s="235">
        <v>0</v>
      </c>
      <c r="R105" s="235">
        <v>0</v>
      </c>
      <c r="S105" s="235">
        <v>0</v>
      </c>
      <c r="T105" s="235">
        <v>2</v>
      </c>
      <c r="U105" s="235">
        <v>0</v>
      </c>
      <c r="V105" s="235">
        <v>0</v>
      </c>
      <c r="W105" s="235">
        <v>0</v>
      </c>
      <c r="X105" s="235">
        <v>0</v>
      </c>
      <c r="Y105" s="235">
        <v>0</v>
      </c>
      <c r="Z105" s="235">
        <v>0</v>
      </c>
      <c r="AA105" s="235">
        <v>0</v>
      </c>
      <c r="AB105" s="235">
        <v>2</v>
      </c>
      <c r="AC105" s="235">
        <v>9</v>
      </c>
      <c r="AD105" s="235">
        <v>2</v>
      </c>
      <c r="AE105" s="235">
        <v>0</v>
      </c>
      <c r="AF105" s="235">
        <v>123</v>
      </c>
      <c r="AG105" s="235">
        <v>0</v>
      </c>
      <c r="AH105" s="235">
        <v>0</v>
      </c>
      <c r="AI105" s="235">
        <v>0</v>
      </c>
      <c r="AJ105" s="235">
        <v>0</v>
      </c>
      <c r="AK105" s="278">
        <f t="shared" ref="AK105" si="497">P105+S105+V105+Y105+AB105+AE105+AH105</f>
        <v>2</v>
      </c>
      <c r="AL105" s="278">
        <f t="shared" ref="AL105" si="498">Q105+T105+W105+Z105+AC105+AF105+AI105</f>
        <v>134</v>
      </c>
      <c r="AM105" s="278">
        <f t="shared" ref="AM105" si="499">AK105+AL105</f>
        <v>136</v>
      </c>
      <c r="AN105" s="278">
        <f t="shared" ref="AN105" si="500">R105+U105+X105+AA105+AD105+AG105+AJ105</f>
        <v>2</v>
      </c>
      <c r="AO105" s="189">
        <f t="shared" ref="AO105" si="501">O105/H105*100</f>
        <v>0.7142857142857143</v>
      </c>
      <c r="AP105" s="189">
        <f t="shared" ref="AP105" si="502">AN105/H105*100</f>
        <v>0.7142857142857143</v>
      </c>
      <c r="AQ105" s="189">
        <f t="shared" ref="AQ105" si="503">AN105/AM105*100</f>
        <v>1.4705882352941175</v>
      </c>
      <c r="AR105" s="81">
        <f t="shared" ref="AR105" si="504">AK105/AM105*100</f>
        <v>1.4705882352941175</v>
      </c>
      <c r="AS105" s="81">
        <f t="shared" ref="AS105" si="505">AL105/AM105*100</f>
        <v>98.529411764705884</v>
      </c>
      <c r="AT105" s="81">
        <f t="shared" ref="AT105:AT120" si="506">R105/AN105*100</f>
        <v>0</v>
      </c>
      <c r="AU105" s="81">
        <f t="shared" ref="AU105:AU120" si="507">U105/AN105*100</f>
        <v>0</v>
      </c>
      <c r="AV105" s="81">
        <f t="shared" ref="AV105:AV120" si="508">X105/AN105*100</f>
        <v>0</v>
      </c>
      <c r="AW105" s="81">
        <f t="shared" ref="AW105:AW120" si="509">AA105/AN105*100</f>
        <v>0</v>
      </c>
      <c r="AX105" s="81">
        <f t="shared" ref="AX105:AX120" si="510">AD105/AN105*100</f>
        <v>100</v>
      </c>
      <c r="AY105" s="81">
        <f t="shared" ref="AY105:AY120" si="511">AG105/AN105*100</f>
        <v>0</v>
      </c>
      <c r="AZ105" s="81">
        <f t="shared" ref="AZ105:AZ120" si="512">AJ105/AN105*100</f>
        <v>0</v>
      </c>
    </row>
    <row r="106" spans="1:52" s="3" customFormat="1" ht="20.25" customHeight="1">
      <c r="A106" s="83" t="s">
        <v>288</v>
      </c>
      <c r="B106" s="83">
        <f>COUNTA(B93:B105)-1</f>
        <v>12</v>
      </c>
      <c r="C106" s="83">
        <f>C92+C104</f>
        <v>3114</v>
      </c>
      <c r="D106" s="104">
        <f>MIN(D92:D105)</f>
        <v>45839</v>
      </c>
      <c r="E106" s="104">
        <f>MAX(E92:E105)</f>
        <v>45862</v>
      </c>
      <c r="F106" s="83">
        <f>F92+F104</f>
        <v>985</v>
      </c>
      <c r="G106" s="83">
        <f t="shared" ref="G106:AJ106" si="513">G92+G104</f>
        <v>0</v>
      </c>
      <c r="H106" s="83">
        <f t="shared" si="513"/>
        <v>985</v>
      </c>
      <c r="I106" s="83">
        <f t="shared" si="513"/>
        <v>0</v>
      </c>
      <c r="J106" s="83">
        <f t="shared" si="513"/>
        <v>0</v>
      </c>
      <c r="K106" s="83">
        <f t="shared" si="513"/>
        <v>985</v>
      </c>
      <c r="L106" s="83">
        <f t="shared" si="513"/>
        <v>0</v>
      </c>
      <c r="M106" s="83">
        <f t="shared" si="513"/>
        <v>0</v>
      </c>
      <c r="N106" s="83">
        <f t="shared" si="513"/>
        <v>0</v>
      </c>
      <c r="O106" s="83">
        <f t="shared" si="513"/>
        <v>16</v>
      </c>
      <c r="P106" s="83">
        <f t="shared" si="513"/>
        <v>0</v>
      </c>
      <c r="Q106" s="83">
        <f t="shared" si="513"/>
        <v>0</v>
      </c>
      <c r="R106" s="83">
        <f t="shared" si="513"/>
        <v>0</v>
      </c>
      <c r="S106" s="83">
        <f t="shared" si="513"/>
        <v>0</v>
      </c>
      <c r="T106" s="83">
        <f t="shared" si="513"/>
        <v>32</v>
      </c>
      <c r="U106" s="83">
        <f t="shared" si="513"/>
        <v>5</v>
      </c>
      <c r="V106" s="83">
        <f t="shared" si="513"/>
        <v>12</v>
      </c>
      <c r="W106" s="83">
        <f t="shared" si="513"/>
        <v>122</v>
      </c>
      <c r="X106" s="83">
        <f t="shared" si="513"/>
        <v>6</v>
      </c>
      <c r="Y106" s="83">
        <f t="shared" si="513"/>
        <v>11</v>
      </c>
      <c r="Z106" s="83">
        <f t="shared" si="513"/>
        <v>63</v>
      </c>
      <c r="AA106" s="83">
        <f t="shared" si="513"/>
        <v>0</v>
      </c>
      <c r="AB106" s="83">
        <f t="shared" si="513"/>
        <v>9</v>
      </c>
      <c r="AC106" s="83">
        <f t="shared" si="513"/>
        <v>212</v>
      </c>
      <c r="AD106" s="83">
        <f t="shared" si="513"/>
        <v>6</v>
      </c>
      <c r="AE106" s="83">
        <f t="shared" si="513"/>
        <v>30</v>
      </c>
      <c r="AF106" s="83">
        <f t="shared" si="513"/>
        <v>284</v>
      </c>
      <c r="AG106" s="83">
        <f t="shared" si="513"/>
        <v>0</v>
      </c>
      <c r="AH106" s="83">
        <f t="shared" si="513"/>
        <v>0</v>
      </c>
      <c r="AI106" s="83">
        <f t="shared" si="513"/>
        <v>1</v>
      </c>
      <c r="AJ106" s="83">
        <f t="shared" si="513"/>
        <v>0</v>
      </c>
      <c r="AK106" s="83">
        <f>P106+S106+V106+Y106+AB106+AE106+AH106</f>
        <v>62</v>
      </c>
      <c r="AL106" s="83">
        <f>Q106+T106+W106+Z106+AC106+AF106+AI106</f>
        <v>714</v>
      </c>
      <c r="AM106" s="83">
        <f>AK106+AL106</f>
        <v>776</v>
      </c>
      <c r="AN106" s="83">
        <f>R106+U106+X106+AA106+AD106+AG106+AJ106</f>
        <v>17</v>
      </c>
      <c r="AO106" s="190">
        <f>O106/H106*100</f>
        <v>1.6243654822335025</v>
      </c>
      <c r="AP106" s="190">
        <f>AN106/H106*100</f>
        <v>1.7258883248730965</v>
      </c>
      <c r="AQ106" s="190">
        <f>AN106/AM106*100</f>
        <v>2.1907216494845358</v>
      </c>
      <c r="AR106" s="85">
        <f>AK106/AM106*100</f>
        <v>7.9896907216494837</v>
      </c>
      <c r="AS106" s="85">
        <f>AL106/AM106*100</f>
        <v>92.010309278350505</v>
      </c>
      <c r="AT106" s="85">
        <f t="shared" si="506"/>
        <v>0</v>
      </c>
      <c r="AU106" s="85">
        <f t="shared" si="507"/>
        <v>29.411764705882355</v>
      </c>
      <c r="AV106" s="85">
        <f t="shared" si="508"/>
        <v>35.294117647058826</v>
      </c>
      <c r="AW106" s="85">
        <f t="shared" si="509"/>
        <v>0</v>
      </c>
      <c r="AX106" s="85">
        <f t="shared" si="510"/>
        <v>35.294117647058826</v>
      </c>
      <c r="AY106" s="85">
        <f t="shared" si="511"/>
        <v>0</v>
      </c>
      <c r="AZ106" s="85">
        <f t="shared" si="512"/>
        <v>0</v>
      </c>
    </row>
    <row r="107" spans="1:52" s="3" customFormat="1" ht="20.25" customHeight="1">
      <c r="A107" s="400" t="s">
        <v>246</v>
      </c>
      <c r="B107" s="77" t="s">
        <v>24</v>
      </c>
      <c r="C107" s="77">
        <f>SUM(C108:C118)</f>
        <v>3274</v>
      </c>
      <c r="D107" s="217">
        <f>MIN(D108:D118)</f>
        <v>45870</v>
      </c>
      <c r="E107" s="217">
        <f>MAX(E108:E118)</f>
        <v>45898</v>
      </c>
      <c r="F107" s="77">
        <f>SUM(F108:F118)</f>
        <v>880</v>
      </c>
      <c r="G107" s="77">
        <f t="shared" ref="G107:AJ107" si="514">SUM(G108:G118)</f>
        <v>0</v>
      </c>
      <c r="H107" s="77">
        <f t="shared" si="514"/>
        <v>880</v>
      </c>
      <c r="I107" s="77">
        <f t="shared" si="514"/>
        <v>0</v>
      </c>
      <c r="J107" s="77">
        <f t="shared" si="514"/>
        <v>0</v>
      </c>
      <c r="K107" s="77">
        <f t="shared" si="514"/>
        <v>880</v>
      </c>
      <c r="L107" s="77">
        <f t="shared" si="514"/>
        <v>0</v>
      </c>
      <c r="M107" s="77">
        <f t="shared" si="514"/>
        <v>0</v>
      </c>
      <c r="N107" s="77">
        <f t="shared" si="514"/>
        <v>880</v>
      </c>
      <c r="O107" s="77">
        <f t="shared" si="514"/>
        <v>7</v>
      </c>
      <c r="P107" s="77">
        <f t="shared" si="514"/>
        <v>0</v>
      </c>
      <c r="Q107" s="77">
        <f t="shared" si="514"/>
        <v>0</v>
      </c>
      <c r="R107" s="77">
        <f t="shared" si="514"/>
        <v>0</v>
      </c>
      <c r="S107" s="77">
        <f t="shared" si="514"/>
        <v>1</v>
      </c>
      <c r="T107" s="77">
        <f t="shared" si="514"/>
        <v>40</v>
      </c>
      <c r="U107" s="77">
        <f t="shared" si="514"/>
        <v>3</v>
      </c>
      <c r="V107" s="77">
        <f t="shared" si="514"/>
        <v>8</v>
      </c>
      <c r="W107" s="77">
        <f t="shared" si="514"/>
        <v>97</v>
      </c>
      <c r="X107" s="77">
        <f t="shared" si="514"/>
        <v>2</v>
      </c>
      <c r="Y107" s="77">
        <f t="shared" si="514"/>
        <v>0</v>
      </c>
      <c r="Z107" s="77">
        <f t="shared" si="514"/>
        <v>65</v>
      </c>
      <c r="AA107" s="77">
        <f t="shared" si="514"/>
        <v>0</v>
      </c>
      <c r="AB107" s="77">
        <f t="shared" si="514"/>
        <v>4</v>
      </c>
      <c r="AC107" s="77">
        <f t="shared" si="514"/>
        <v>131</v>
      </c>
      <c r="AD107" s="77">
        <f t="shared" si="514"/>
        <v>2</v>
      </c>
      <c r="AE107" s="77">
        <f t="shared" si="514"/>
        <v>33</v>
      </c>
      <c r="AF107" s="77">
        <f t="shared" si="514"/>
        <v>301</v>
      </c>
      <c r="AG107" s="77">
        <f t="shared" si="514"/>
        <v>0</v>
      </c>
      <c r="AH107" s="77">
        <f t="shared" si="514"/>
        <v>0</v>
      </c>
      <c r="AI107" s="77">
        <f t="shared" si="514"/>
        <v>0</v>
      </c>
      <c r="AJ107" s="77">
        <f t="shared" si="514"/>
        <v>0</v>
      </c>
      <c r="AK107" s="77">
        <f>P107+S107+V107+Y107+AB107+AE107+AH107</f>
        <v>46</v>
      </c>
      <c r="AL107" s="77">
        <f>Q107+T107+W107+Z107+AC107+AF107+AI107</f>
        <v>634</v>
      </c>
      <c r="AM107" s="77">
        <f>AK107+AL107</f>
        <v>680</v>
      </c>
      <c r="AN107" s="77">
        <f>R107+U107+X107+AA107+AD107+AG107+AJ107</f>
        <v>7</v>
      </c>
      <c r="AO107" s="188">
        <f>O107/H107*100</f>
        <v>0.79545454545454541</v>
      </c>
      <c r="AP107" s="188">
        <f>AN107/H107*100</f>
        <v>0.79545454545454541</v>
      </c>
      <c r="AQ107" s="188">
        <f>AN107/AM107*100</f>
        <v>1.0294117647058822</v>
      </c>
      <c r="AR107" s="88">
        <f t="shared" ref="AR107:AR120" si="515">AK107/AM107*100</f>
        <v>6.7647058823529411</v>
      </c>
      <c r="AS107" s="88">
        <f t="shared" ref="AS107:AS120" si="516">AL107/AM107*100</f>
        <v>93.235294117647058</v>
      </c>
      <c r="AT107" s="88">
        <f t="shared" si="506"/>
        <v>0</v>
      </c>
      <c r="AU107" s="88">
        <f t="shared" si="507"/>
        <v>42.857142857142854</v>
      </c>
      <c r="AV107" s="88">
        <f t="shared" si="508"/>
        <v>28.571428571428569</v>
      </c>
      <c r="AW107" s="88">
        <f t="shared" si="509"/>
        <v>0</v>
      </c>
      <c r="AX107" s="88">
        <f t="shared" si="510"/>
        <v>28.571428571428569</v>
      </c>
      <c r="AY107" s="88">
        <f t="shared" si="511"/>
        <v>0</v>
      </c>
      <c r="AZ107" s="88">
        <f t="shared" si="512"/>
        <v>0</v>
      </c>
    </row>
    <row r="108" spans="1:52" s="209" customFormat="1" ht="20.25" customHeight="1">
      <c r="A108" s="401"/>
      <c r="B108" s="240" t="s">
        <v>132</v>
      </c>
      <c r="C108" s="261">
        <v>315</v>
      </c>
      <c r="D108" s="164">
        <v>45870</v>
      </c>
      <c r="E108" s="164">
        <v>45874</v>
      </c>
      <c r="F108" s="261">
        <v>80</v>
      </c>
      <c r="G108" s="261">
        <v>0</v>
      </c>
      <c r="H108" s="235">
        <f t="shared" ref="H108" si="517">F108+G108</f>
        <v>80</v>
      </c>
      <c r="I108" s="261">
        <v>0</v>
      </c>
      <c r="J108" s="261">
        <v>0</v>
      </c>
      <c r="K108" s="235">
        <f t="shared" ref="K108:K120" si="518">H108+I108+J108</f>
        <v>80</v>
      </c>
      <c r="L108" s="261">
        <v>0</v>
      </c>
      <c r="M108" s="261">
        <v>0</v>
      </c>
      <c r="N108" s="261">
        <v>80</v>
      </c>
      <c r="O108" s="261">
        <v>0</v>
      </c>
      <c r="P108" s="261">
        <v>0</v>
      </c>
      <c r="Q108" s="261">
        <v>0</v>
      </c>
      <c r="R108" s="261">
        <v>0</v>
      </c>
      <c r="S108" s="261">
        <v>0</v>
      </c>
      <c r="T108" s="261">
        <v>4</v>
      </c>
      <c r="U108" s="261">
        <v>0</v>
      </c>
      <c r="V108" s="261">
        <v>0</v>
      </c>
      <c r="W108" s="261">
        <v>20</v>
      </c>
      <c r="X108" s="261">
        <v>0</v>
      </c>
      <c r="Y108" s="261">
        <v>0</v>
      </c>
      <c r="Z108" s="261">
        <v>12</v>
      </c>
      <c r="AA108" s="261">
        <v>0</v>
      </c>
      <c r="AB108" s="261">
        <v>0</v>
      </c>
      <c r="AC108" s="261">
        <v>14</v>
      </c>
      <c r="AD108" s="261">
        <v>0</v>
      </c>
      <c r="AE108" s="261">
        <v>0</v>
      </c>
      <c r="AF108" s="261">
        <v>8</v>
      </c>
      <c r="AG108" s="261">
        <v>0</v>
      </c>
      <c r="AH108" s="261">
        <v>0</v>
      </c>
      <c r="AI108" s="261">
        <v>0</v>
      </c>
      <c r="AJ108" s="261">
        <v>0</v>
      </c>
      <c r="AK108" s="287">
        <f t="shared" ref="AK108:AL120" si="519">P108+S108+V108+Y108+AB108+AE108+AH108</f>
        <v>0</v>
      </c>
      <c r="AL108" s="287">
        <f t="shared" si="519"/>
        <v>58</v>
      </c>
      <c r="AM108" s="287">
        <f t="shared" ref="AM108:AM120" si="520">AK108+AL108</f>
        <v>58</v>
      </c>
      <c r="AN108" s="287">
        <f t="shared" ref="AN108:AN120" si="521">R108+U108+X108+AA108+AD108+AG108+AJ108</f>
        <v>0</v>
      </c>
      <c r="AO108" s="189">
        <f t="shared" ref="AO108:AO120" si="522">O108/H108*100</f>
        <v>0</v>
      </c>
      <c r="AP108" s="189">
        <f t="shared" ref="AP108:AP120" si="523">AN108/H108*100</f>
        <v>0</v>
      </c>
      <c r="AQ108" s="189">
        <f t="shared" ref="AQ108:AQ120" si="524">AN108/AM108*100</f>
        <v>0</v>
      </c>
      <c r="AR108" s="81">
        <f t="shared" si="515"/>
        <v>0</v>
      </c>
      <c r="AS108" s="81">
        <f t="shared" si="516"/>
        <v>100</v>
      </c>
      <c r="AT108" s="81" t="e">
        <f t="shared" si="506"/>
        <v>#DIV/0!</v>
      </c>
      <c r="AU108" s="81" t="e">
        <f t="shared" si="507"/>
        <v>#DIV/0!</v>
      </c>
      <c r="AV108" s="81" t="e">
        <f t="shared" si="508"/>
        <v>#DIV/0!</v>
      </c>
      <c r="AW108" s="81" t="e">
        <f t="shared" si="509"/>
        <v>#DIV/0!</v>
      </c>
      <c r="AX108" s="81" t="e">
        <f t="shared" si="510"/>
        <v>#DIV/0!</v>
      </c>
      <c r="AY108" s="81" t="e">
        <f t="shared" si="511"/>
        <v>#DIV/0!</v>
      </c>
      <c r="AZ108" s="81" t="e">
        <f t="shared" si="512"/>
        <v>#DIV/0!</v>
      </c>
    </row>
    <row r="109" spans="1:52" s="209" customFormat="1" ht="20.25" customHeight="1">
      <c r="A109" s="401"/>
      <c r="B109" s="286" t="s">
        <v>144</v>
      </c>
      <c r="C109" s="261">
        <v>218</v>
      </c>
      <c r="D109" s="164">
        <v>45870</v>
      </c>
      <c r="E109" s="164">
        <v>45874</v>
      </c>
      <c r="F109" s="261">
        <v>60</v>
      </c>
      <c r="G109" s="261">
        <v>0</v>
      </c>
      <c r="H109" s="261">
        <v>60</v>
      </c>
      <c r="I109" s="261">
        <v>0</v>
      </c>
      <c r="J109" s="261">
        <v>0</v>
      </c>
      <c r="K109" s="235">
        <f t="shared" si="518"/>
        <v>60</v>
      </c>
      <c r="L109" s="261">
        <v>0</v>
      </c>
      <c r="M109" s="261">
        <v>0</v>
      </c>
      <c r="N109" s="261">
        <v>60</v>
      </c>
      <c r="O109" s="261">
        <v>1</v>
      </c>
      <c r="P109" s="261">
        <v>0</v>
      </c>
      <c r="Q109" s="261">
        <v>0</v>
      </c>
      <c r="R109" s="261">
        <v>0</v>
      </c>
      <c r="S109" s="261">
        <v>1</v>
      </c>
      <c r="T109" s="261">
        <v>2</v>
      </c>
      <c r="U109" s="261">
        <v>0</v>
      </c>
      <c r="V109" s="261">
        <v>0</v>
      </c>
      <c r="W109" s="261">
        <v>0</v>
      </c>
      <c r="X109" s="261">
        <v>0</v>
      </c>
      <c r="Y109" s="261">
        <v>0</v>
      </c>
      <c r="Z109" s="261">
        <v>1</v>
      </c>
      <c r="AA109" s="261">
        <v>0</v>
      </c>
      <c r="AB109" s="261">
        <v>4</v>
      </c>
      <c r="AC109" s="261">
        <v>5</v>
      </c>
      <c r="AD109" s="261">
        <v>1</v>
      </c>
      <c r="AE109" s="261">
        <v>0</v>
      </c>
      <c r="AF109" s="261">
        <v>36</v>
      </c>
      <c r="AG109" s="261">
        <v>0</v>
      </c>
      <c r="AH109" s="261">
        <v>0</v>
      </c>
      <c r="AI109" s="261">
        <v>0</v>
      </c>
      <c r="AJ109" s="261">
        <v>0</v>
      </c>
      <c r="AK109" s="287">
        <f t="shared" si="519"/>
        <v>5</v>
      </c>
      <c r="AL109" s="287">
        <f t="shared" si="519"/>
        <v>44</v>
      </c>
      <c r="AM109" s="287">
        <f t="shared" si="520"/>
        <v>49</v>
      </c>
      <c r="AN109" s="287">
        <f t="shared" si="521"/>
        <v>1</v>
      </c>
      <c r="AO109" s="189">
        <f t="shared" si="522"/>
        <v>1.6666666666666667</v>
      </c>
      <c r="AP109" s="189">
        <f t="shared" si="523"/>
        <v>1.6666666666666667</v>
      </c>
      <c r="AQ109" s="189">
        <f t="shared" si="524"/>
        <v>2.0408163265306123</v>
      </c>
      <c r="AR109" s="81">
        <f t="shared" si="515"/>
        <v>10.204081632653061</v>
      </c>
      <c r="AS109" s="81">
        <f t="shared" si="516"/>
        <v>89.795918367346943</v>
      </c>
      <c r="AT109" s="81">
        <f t="shared" si="506"/>
        <v>0</v>
      </c>
      <c r="AU109" s="81">
        <f t="shared" si="507"/>
        <v>0</v>
      </c>
      <c r="AV109" s="81">
        <f t="shared" si="508"/>
        <v>0</v>
      </c>
      <c r="AW109" s="81">
        <f t="shared" si="509"/>
        <v>0</v>
      </c>
      <c r="AX109" s="81">
        <f t="shared" si="510"/>
        <v>100</v>
      </c>
      <c r="AY109" s="81">
        <f t="shared" si="511"/>
        <v>0</v>
      </c>
      <c r="AZ109" s="81">
        <f t="shared" si="512"/>
        <v>0</v>
      </c>
    </row>
    <row r="110" spans="1:52" s="209" customFormat="1" ht="20.25" customHeight="1">
      <c r="A110" s="401"/>
      <c r="B110" s="240" t="s">
        <v>146</v>
      </c>
      <c r="C110" s="261">
        <v>90</v>
      </c>
      <c r="D110" s="164">
        <v>45877</v>
      </c>
      <c r="E110" s="164">
        <v>45877</v>
      </c>
      <c r="F110" s="261">
        <v>20</v>
      </c>
      <c r="G110" s="261">
        <v>0</v>
      </c>
      <c r="H110" s="261">
        <v>20</v>
      </c>
      <c r="I110" s="261">
        <v>0</v>
      </c>
      <c r="J110" s="261">
        <v>0</v>
      </c>
      <c r="K110" s="235">
        <f t="shared" si="518"/>
        <v>20</v>
      </c>
      <c r="L110" s="261">
        <v>0</v>
      </c>
      <c r="M110" s="261">
        <v>0</v>
      </c>
      <c r="N110" s="261">
        <v>20</v>
      </c>
      <c r="O110" s="261">
        <v>0</v>
      </c>
      <c r="P110" s="261">
        <v>0</v>
      </c>
      <c r="Q110" s="261">
        <v>0</v>
      </c>
      <c r="R110" s="261">
        <v>0</v>
      </c>
      <c r="S110" s="261">
        <v>0</v>
      </c>
      <c r="T110" s="261">
        <v>1</v>
      </c>
      <c r="U110" s="261">
        <v>0</v>
      </c>
      <c r="V110" s="261">
        <v>0</v>
      </c>
      <c r="W110" s="261">
        <v>0</v>
      </c>
      <c r="X110" s="261">
        <v>0</v>
      </c>
      <c r="Y110" s="261">
        <v>0</v>
      </c>
      <c r="Z110" s="261">
        <v>0</v>
      </c>
      <c r="AA110" s="261">
        <v>0</v>
      </c>
      <c r="AB110" s="261">
        <v>0</v>
      </c>
      <c r="AC110" s="261">
        <v>3</v>
      </c>
      <c r="AD110" s="261">
        <v>0</v>
      </c>
      <c r="AE110" s="261">
        <v>0</v>
      </c>
      <c r="AF110" s="261">
        <v>12</v>
      </c>
      <c r="AG110" s="261">
        <v>0</v>
      </c>
      <c r="AH110" s="261">
        <v>0</v>
      </c>
      <c r="AI110" s="261">
        <v>0</v>
      </c>
      <c r="AJ110" s="261">
        <v>0</v>
      </c>
      <c r="AK110" s="287">
        <v>0</v>
      </c>
      <c r="AL110" s="287">
        <f t="shared" si="519"/>
        <v>16</v>
      </c>
      <c r="AM110" s="287">
        <f t="shared" si="520"/>
        <v>16</v>
      </c>
      <c r="AN110" s="287">
        <f t="shared" si="521"/>
        <v>0</v>
      </c>
      <c r="AO110" s="189">
        <f t="shared" si="522"/>
        <v>0</v>
      </c>
      <c r="AP110" s="189">
        <f t="shared" si="523"/>
        <v>0</v>
      </c>
      <c r="AQ110" s="189">
        <f t="shared" si="524"/>
        <v>0</v>
      </c>
      <c r="AR110" s="81">
        <f t="shared" si="515"/>
        <v>0</v>
      </c>
      <c r="AS110" s="81">
        <f t="shared" si="516"/>
        <v>100</v>
      </c>
      <c r="AT110" s="81" t="e">
        <f t="shared" si="506"/>
        <v>#DIV/0!</v>
      </c>
      <c r="AU110" s="81" t="e">
        <f t="shared" si="507"/>
        <v>#DIV/0!</v>
      </c>
      <c r="AV110" s="81" t="e">
        <f t="shared" si="508"/>
        <v>#DIV/0!</v>
      </c>
      <c r="AW110" s="81" t="e">
        <f t="shared" si="509"/>
        <v>#DIV/0!</v>
      </c>
      <c r="AX110" s="81" t="e">
        <f t="shared" si="510"/>
        <v>#DIV/0!</v>
      </c>
      <c r="AY110" s="81" t="e">
        <f t="shared" si="511"/>
        <v>#DIV/0!</v>
      </c>
      <c r="AZ110" s="81" t="e">
        <f t="shared" si="512"/>
        <v>#DIV/0!</v>
      </c>
    </row>
    <row r="111" spans="1:52" s="209" customFormat="1" ht="20.25" customHeight="1">
      <c r="A111" s="401"/>
      <c r="B111" s="240" t="s">
        <v>165</v>
      </c>
      <c r="C111" s="261">
        <v>358</v>
      </c>
      <c r="D111" s="164">
        <v>45880</v>
      </c>
      <c r="E111" s="164">
        <v>45882</v>
      </c>
      <c r="F111" s="261">
        <v>100</v>
      </c>
      <c r="G111" s="261">
        <v>0</v>
      </c>
      <c r="H111" s="261">
        <v>100</v>
      </c>
      <c r="I111" s="261">
        <v>0</v>
      </c>
      <c r="J111" s="261">
        <v>0</v>
      </c>
      <c r="K111" s="235">
        <f t="shared" si="518"/>
        <v>100</v>
      </c>
      <c r="L111" s="261">
        <v>0</v>
      </c>
      <c r="M111" s="261">
        <v>0</v>
      </c>
      <c r="N111" s="261">
        <v>100</v>
      </c>
      <c r="O111" s="261">
        <v>2</v>
      </c>
      <c r="P111" s="261">
        <v>0</v>
      </c>
      <c r="Q111" s="261">
        <v>0</v>
      </c>
      <c r="R111" s="261">
        <v>0</v>
      </c>
      <c r="S111" s="261">
        <v>0</v>
      </c>
      <c r="T111" s="261">
        <v>11</v>
      </c>
      <c r="U111" s="261">
        <v>1</v>
      </c>
      <c r="V111" s="261">
        <v>0</v>
      </c>
      <c r="W111" s="261">
        <v>25</v>
      </c>
      <c r="X111" s="261">
        <v>0</v>
      </c>
      <c r="Y111" s="261">
        <v>0</v>
      </c>
      <c r="Z111" s="261">
        <v>4</v>
      </c>
      <c r="AA111" s="261">
        <v>0</v>
      </c>
      <c r="AB111" s="261">
        <v>0</v>
      </c>
      <c r="AC111" s="261">
        <v>23</v>
      </c>
      <c r="AD111" s="261">
        <v>1</v>
      </c>
      <c r="AE111" s="261">
        <v>0</v>
      </c>
      <c r="AF111" s="261">
        <v>30</v>
      </c>
      <c r="AG111" s="261">
        <v>0</v>
      </c>
      <c r="AH111" s="261">
        <v>0</v>
      </c>
      <c r="AI111" s="261">
        <v>0</v>
      </c>
      <c r="AJ111" s="261">
        <v>0</v>
      </c>
      <c r="AK111" s="287">
        <f t="shared" si="519"/>
        <v>0</v>
      </c>
      <c r="AL111" s="287">
        <f t="shared" si="519"/>
        <v>93</v>
      </c>
      <c r="AM111" s="287">
        <f t="shared" si="520"/>
        <v>93</v>
      </c>
      <c r="AN111" s="287">
        <f t="shared" si="521"/>
        <v>2</v>
      </c>
      <c r="AO111" s="189">
        <f t="shared" si="522"/>
        <v>2</v>
      </c>
      <c r="AP111" s="189">
        <f t="shared" si="523"/>
        <v>2</v>
      </c>
      <c r="AQ111" s="189">
        <f t="shared" si="524"/>
        <v>2.1505376344086025</v>
      </c>
      <c r="AR111" s="81">
        <f t="shared" si="515"/>
        <v>0</v>
      </c>
      <c r="AS111" s="81">
        <f t="shared" si="516"/>
        <v>100</v>
      </c>
      <c r="AT111" s="81">
        <f t="shared" si="506"/>
        <v>0</v>
      </c>
      <c r="AU111" s="81">
        <f t="shared" si="507"/>
        <v>50</v>
      </c>
      <c r="AV111" s="81">
        <f t="shared" si="508"/>
        <v>0</v>
      </c>
      <c r="AW111" s="81">
        <f t="shared" si="509"/>
        <v>0</v>
      </c>
      <c r="AX111" s="81">
        <f t="shared" si="510"/>
        <v>50</v>
      </c>
      <c r="AY111" s="81">
        <f t="shared" si="511"/>
        <v>0</v>
      </c>
      <c r="AZ111" s="81">
        <f t="shared" si="512"/>
        <v>0</v>
      </c>
    </row>
    <row r="112" spans="1:52" s="209" customFormat="1" ht="20.25" customHeight="1">
      <c r="A112" s="401"/>
      <c r="B112" s="240" t="s">
        <v>211</v>
      </c>
      <c r="C112" s="261">
        <v>142</v>
      </c>
      <c r="D112" s="164">
        <v>45880</v>
      </c>
      <c r="E112" s="164">
        <v>45881</v>
      </c>
      <c r="F112" s="261">
        <v>40</v>
      </c>
      <c r="G112" s="261">
        <v>0</v>
      </c>
      <c r="H112" s="261">
        <v>40</v>
      </c>
      <c r="I112" s="261">
        <v>0</v>
      </c>
      <c r="J112" s="261">
        <v>0</v>
      </c>
      <c r="K112" s="235">
        <f t="shared" si="518"/>
        <v>40</v>
      </c>
      <c r="L112" s="261">
        <v>0</v>
      </c>
      <c r="M112" s="261">
        <v>0</v>
      </c>
      <c r="N112" s="261">
        <v>40</v>
      </c>
      <c r="O112" s="261">
        <v>0</v>
      </c>
      <c r="P112" s="261">
        <v>0</v>
      </c>
      <c r="Q112" s="261">
        <v>0</v>
      </c>
      <c r="R112" s="261">
        <v>0</v>
      </c>
      <c r="S112" s="261">
        <v>0</v>
      </c>
      <c r="T112" s="261">
        <v>2</v>
      </c>
      <c r="U112" s="261">
        <v>0</v>
      </c>
      <c r="V112" s="261">
        <v>0</v>
      </c>
      <c r="W112" s="261">
        <v>0</v>
      </c>
      <c r="X112" s="261">
        <v>0</v>
      </c>
      <c r="Y112" s="261">
        <v>0</v>
      </c>
      <c r="Z112" s="261">
        <v>1</v>
      </c>
      <c r="AA112" s="261">
        <v>0</v>
      </c>
      <c r="AB112" s="261">
        <v>0</v>
      </c>
      <c r="AC112" s="261">
        <v>0</v>
      </c>
      <c r="AD112" s="261">
        <v>0</v>
      </c>
      <c r="AE112" s="261">
        <v>0</v>
      </c>
      <c r="AF112" s="261">
        <v>24</v>
      </c>
      <c r="AG112" s="261">
        <v>0</v>
      </c>
      <c r="AH112" s="261">
        <v>0</v>
      </c>
      <c r="AI112" s="261">
        <v>0</v>
      </c>
      <c r="AJ112" s="261">
        <v>0</v>
      </c>
      <c r="AK112" s="287">
        <f t="shared" si="519"/>
        <v>0</v>
      </c>
      <c r="AL112" s="287">
        <f t="shared" si="519"/>
        <v>27</v>
      </c>
      <c r="AM112" s="287">
        <f t="shared" si="520"/>
        <v>27</v>
      </c>
      <c r="AN112" s="287">
        <f t="shared" si="521"/>
        <v>0</v>
      </c>
      <c r="AO112" s="189">
        <f t="shared" si="522"/>
        <v>0</v>
      </c>
      <c r="AP112" s="189">
        <f t="shared" si="523"/>
        <v>0</v>
      </c>
      <c r="AQ112" s="189">
        <f t="shared" si="524"/>
        <v>0</v>
      </c>
      <c r="AR112" s="81">
        <f t="shared" si="515"/>
        <v>0</v>
      </c>
      <c r="AS112" s="81">
        <f t="shared" si="516"/>
        <v>100</v>
      </c>
      <c r="AT112" s="81" t="e">
        <f t="shared" si="506"/>
        <v>#DIV/0!</v>
      </c>
      <c r="AU112" s="81" t="e">
        <f t="shared" si="507"/>
        <v>#DIV/0!</v>
      </c>
      <c r="AV112" s="81" t="e">
        <f t="shared" si="508"/>
        <v>#DIV/0!</v>
      </c>
      <c r="AW112" s="81" t="e">
        <f t="shared" si="509"/>
        <v>#DIV/0!</v>
      </c>
      <c r="AX112" s="81" t="e">
        <f t="shared" si="510"/>
        <v>#DIV/0!</v>
      </c>
      <c r="AY112" s="81" t="e">
        <f t="shared" si="511"/>
        <v>#DIV/0!</v>
      </c>
      <c r="AZ112" s="81" t="e">
        <f t="shared" si="512"/>
        <v>#DIV/0!</v>
      </c>
    </row>
    <row r="113" spans="1:52" s="209" customFormat="1" ht="20.25" customHeight="1">
      <c r="A113" s="401"/>
      <c r="B113" s="240" t="s">
        <v>282</v>
      </c>
      <c r="C113" s="261">
        <v>129</v>
      </c>
      <c r="D113" s="164">
        <v>45882</v>
      </c>
      <c r="E113" s="164">
        <v>45883</v>
      </c>
      <c r="F113" s="261">
        <v>40</v>
      </c>
      <c r="G113" s="261">
        <v>0</v>
      </c>
      <c r="H113" s="261">
        <v>40</v>
      </c>
      <c r="I113" s="261">
        <v>0</v>
      </c>
      <c r="J113" s="261">
        <v>0</v>
      </c>
      <c r="K113" s="235">
        <f t="shared" si="518"/>
        <v>40</v>
      </c>
      <c r="L113" s="261">
        <v>0</v>
      </c>
      <c r="M113" s="261">
        <v>0</v>
      </c>
      <c r="N113" s="261">
        <v>40</v>
      </c>
      <c r="O113" s="261">
        <v>0</v>
      </c>
      <c r="P113" s="261">
        <v>0</v>
      </c>
      <c r="Q113" s="261">
        <v>0</v>
      </c>
      <c r="R113" s="261">
        <v>0</v>
      </c>
      <c r="S113" s="261">
        <v>0</v>
      </c>
      <c r="T113" s="261">
        <v>5</v>
      </c>
      <c r="U113" s="261">
        <v>0</v>
      </c>
      <c r="V113" s="261">
        <v>0</v>
      </c>
      <c r="W113" s="261">
        <v>3</v>
      </c>
      <c r="X113" s="261">
        <v>0</v>
      </c>
      <c r="Y113" s="261">
        <v>0</v>
      </c>
      <c r="Z113" s="261">
        <v>11</v>
      </c>
      <c r="AA113" s="261">
        <v>0</v>
      </c>
      <c r="AB113" s="261">
        <v>0</v>
      </c>
      <c r="AC113" s="261">
        <v>1</v>
      </c>
      <c r="AD113" s="261">
        <v>0</v>
      </c>
      <c r="AE113" s="261">
        <v>0</v>
      </c>
      <c r="AF113" s="261">
        <v>9</v>
      </c>
      <c r="AG113" s="261">
        <v>0</v>
      </c>
      <c r="AH113" s="261">
        <v>0</v>
      </c>
      <c r="AI113" s="261">
        <v>0</v>
      </c>
      <c r="AJ113" s="261">
        <v>0</v>
      </c>
      <c r="AK113" s="287">
        <v>0</v>
      </c>
      <c r="AL113" s="287">
        <f t="shared" si="519"/>
        <v>29</v>
      </c>
      <c r="AM113" s="287">
        <f t="shared" si="520"/>
        <v>29</v>
      </c>
      <c r="AN113" s="287">
        <f t="shared" si="521"/>
        <v>0</v>
      </c>
      <c r="AO113" s="189">
        <f t="shared" si="522"/>
        <v>0</v>
      </c>
      <c r="AP113" s="189">
        <f t="shared" si="523"/>
        <v>0</v>
      </c>
      <c r="AQ113" s="189">
        <f t="shared" si="524"/>
        <v>0</v>
      </c>
      <c r="AR113" s="81">
        <f t="shared" si="515"/>
        <v>0</v>
      </c>
      <c r="AS113" s="81">
        <f t="shared" si="516"/>
        <v>100</v>
      </c>
      <c r="AT113" s="81" t="e">
        <f t="shared" si="506"/>
        <v>#DIV/0!</v>
      </c>
      <c r="AU113" s="81" t="e">
        <f t="shared" si="507"/>
        <v>#DIV/0!</v>
      </c>
      <c r="AV113" s="81" t="e">
        <f t="shared" si="508"/>
        <v>#DIV/0!</v>
      </c>
      <c r="AW113" s="81" t="e">
        <f t="shared" si="509"/>
        <v>#DIV/0!</v>
      </c>
      <c r="AX113" s="81" t="e">
        <f t="shared" si="510"/>
        <v>#DIV/0!</v>
      </c>
      <c r="AY113" s="81" t="e">
        <f t="shared" si="511"/>
        <v>#DIV/0!</v>
      </c>
      <c r="AZ113" s="81" t="e">
        <f t="shared" si="512"/>
        <v>#DIV/0!</v>
      </c>
    </row>
    <row r="114" spans="1:52" s="209" customFormat="1" ht="20.25" customHeight="1">
      <c r="A114" s="401"/>
      <c r="B114" s="240" t="s">
        <v>285</v>
      </c>
      <c r="C114" s="261">
        <v>290</v>
      </c>
      <c r="D114" s="164">
        <v>45882</v>
      </c>
      <c r="E114" s="164">
        <v>45887</v>
      </c>
      <c r="F114" s="261">
        <v>80</v>
      </c>
      <c r="G114" s="261">
        <v>0</v>
      </c>
      <c r="H114" s="261">
        <v>80</v>
      </c>
      <c r="I114" s="261">
        <v>0</v>
      </c>
      <c r="J114" s="261">
        <v>0</v>
      </c>
      <c r="K114" s="235">
        <f t="shared" si="518"/>
        <v>80</v>
      </c>
      <c r="L114" s="261">
        <v>0</v>
      </c>
      <c r="M114" s="261">
        <v>0</v>
      </c>
      <c r="N114" s="261">
        <v>80</v>
      </c>
      <c r="O114" s="261">
        <v>0</v>
      </c>
      <c r="P114" s="261">
        <v>0</v>
      </c>
      <c r="Q114" s="261">
        <v>0</v>
      </c>
      <c r="R114" s="261">
        <v>0</v>
      </c>
      <c r="S114" s="261">
        <v>0</v>
      </c>
      <c r="T114" s="261">
        <v>2</v>
      </c>
      <c r="U114" s="261">
        <v>0</v>
      </c>
      <c r="V114" s="261">
        <v>0</v>
      </c>
      <c r="W114" s="261">
        <v>0</v>
      </c>
      <c r="X114" s="261">
        <v>0</v>
      </c>
      <c r="Y114" s="261">
        <v>0</v>
      </c>
      <c r="Z114" s="261">
        <v>6</v>
      </c>
      <c r="AA114" s="261">
        <v>0</v>
      </c>
      <c r="AB114" s="261">
        <v>0</v>
      </c>
      <c r="AC114" s="261">
        <v>6</v>
      </c>
      <c r="AD114" s="261">
        <v>0</v>
      </c>
      <c r="AE114" s="261">
        <v>0</v>
      </c>
      <c r="AF114" s="261">
        <v>46</v>
      </c>
      <c r="AG114" s="261">
        <v>0</v>
      </c>
      <c r="AH114" s="261">
        <v>0</v>
      </c>
      <c r="AI114" s="261">
        <v>0</v>
      </c>
      <c r="AJ114" s="261">
        <v>0</v>
      </c>
      <c r="AK114" s="287">
        <f t="shared" si="519"/>
        <v>0</v>
      </c>
      <c r="AL114" s="287">
        <f t="shared" si="519"/>
        <v>60</v>
      </c>
      <c r="AM114" s="287">
        <f t="shared" si="520"/>
        <v>60</v>
      </c>
      <c r="AN114" s="287">
        <f t="shared" si="521"/>
        <v>0</v>
      </c>
      <c r="AO114" s="189">
        <f t="shared" si="522"/>
        <v>0</v>
      </c>
      <c r="AP114" s="189">
        <f t="shared" si="523"/>
        <v>0</v>
      </c>
      <c r="AQ114" s="189">
        <f t="shared" si="524"/>
        <v>0</v>
      </c>
      <c r="AR114" s="81">
        <f t="shared" si="515"/>
        <v>0</v>
      </c>
      <c r="AS114" s="81">
        <f t="shared" si="516"/>
        <v>100</v>
      </c>
      <c r="AT114" s="81" t="e">
        <f t="shared" si="506"/>
        <v>#DIV/0!</v>
      </c>
      <c r="AU114" s="81" t="e">
        <f t="shared" si="507"/>
        <v>#DIV/0!</v>
      </c>
      <c r="AV114" s="81" t="e">
        <f t="shared" si="508"/>
        <v>#DIV/0!</v>
      </c>
      <c r="AW114" s="81" t="e">
        <f t="shared" si="509"/>
        <v>#DIV/0!</v>
      </c>
      <c r="AX114" s="81" t="e">
        <f t="shared" si="510"/>
        <v>#DIV/0!</v>
      </c>
      <c r="AY114" s="81" t="e">
        <f t="shared" si="511"/>
        <v>#DIV/0!</v>
      </c>
      <c r="AZ114" s="81" t="e">
        <f t="shared" si="512"/>
        <v>#DIV/0!</v>
      </c>
    </row>
    <row r="115" spans="1:52" s="209" customFormat="1" ht="20.25" customHeight="1">
      <c r="A115" s="401"/>
      <c r="B115" s="286" t="s">
        <v>147</v>
      </c>
      <c r="C115" s="261">
        <v>318</v>
      </c>
      <c r="D115" s="164">
        <v>45888</v>
      </c>
      <c r="E115" s="164">
        <v>45888</v>
      </c>
      <c r="F115" s="261">
        <v>80</v>
      </c>
      <c r="G115" s="261">
        <v>0</v>
      </c>
      <c r="H115" s="261">
        <v>80</v>
      </c>
      <c r="I115" s="261">
        <v>0</v>
      </c>
      <c r="J115" s="261">
        <v>0</v>
      </c>
      <c r="K115" s="235">
        <f t="shared" si="518"/>
        <v>80</v>
      </c>
      <c r="L115" s="261">
        <v>0</v>
      </c>
      <c r="M115" s="261">
        <v>0</v>
      </c>
      <c r="N115" s="261">
        <v>80</v>
      </c>
      <c r="O115" s="261">
        <v>1</v>
      </c>
      <c r="P115" s="261">
        <v>0</v>
      </c>
      <c r="Q115" s="261">
        <v>0</v>
      </c>
      <c r="R115" s="261">
        <v>0</v>
      </c>
      <c r="S115" s="261">
        <v>0</v>
      </c>
      <c r="T115" s="261">
        <v>3</v>
      </c>
      <c r="U115" s="261">
        <v>0</v>
      </c>
      <c r="V115" s="261">
        <v>2</v>
      </c>
      <c r="W115" s="261">
        <v>13</v>
      </c>
      <c r="X115" s="261">
        <v>1</v>
      </c>
      <c r="Y115" s="261">
        <v>0</v>
      </c>
      <c r="Z115" s="261">
        <v>8</v>
      </c>
      <c r="AA115" s="261">
        <v>0</v>
      </c>
      <c r="AB115" s="261">
        <v>0</v>
      </c>
      <c r="AC115" s="261">
        <v>14</v>
      </c>
      <c r="AD115" s="261">
        <v>0</v>
      </c>
      <c r="AE115" s="261">
        <v>5</v>
      </c>
      <c r="AF115" s="261">
        <v>3</v>
      </c>
      <c r="AG115" s="261">
        <v>0</v>
      </c>
      <c r="AH115" s="261">
        <v>0</v>
      </c>
      <c r="AI115" s="261">
        <v>0</v>
      </c>
      <c r="AJ115" s="261">
        <v>0</v>
      </c>
      <c r="AK115" s="287">
        <f t="shared" si="519"/>
        <v>7</v>
      </c>
      <c r="AL115" s="287">
        <f t="shared" si="519"/>
        <v>41</v>
      </c>
      <c r="AM115" s="287">
        <f t="shared" si="520"/>
        <v>48</v>
      </c>
      <c r="AN115" s="287">
        <f t="shared" si="521"/>
        <v>1</v>
      </c>
      <c r="AO115" s="189">
        <f t="shared" si="522"/>
        <v>1.25</v>
      </c>
      <c r="AP115" s="189">
        <f t="shared" si="523"/>
        <v>1.25</v>
      </c>
      <c r="AQ115" s="189">
        <f t="shared" si="524"/>
        <v>2.083333333333333</v>
      </c>
      <c r="AR115" s="81">
        <f t="shared" si="515"/>
        <v>14.583333333333334</v>
      </c>
      <c r="AS115" s="81">
        <f t="shared" si="516"/>
        <v>85.416666666666657</v>
      </c>
      <c r="AT115" s="81">
        <f t="shared" si="506"/>
        <v>0</v>
      </c>
      <c r="AU115" s="81">
        <f t="shared" si="507"/>
        <v>0</v>
      </c>
      <c r="AV115" s="81">
        <f t="shared" si="508"/>
        <v>100</v>
      </c>
      <c r="AW115" s="81">
        <f t="shared" si="509"/>
        <v>0</v>
      </c>
      <c r="AX115" s="81">
        <f t="shared" si="510"/>
        <v>0</v>
      </c>
      <c r="AY115" s="81">
        <f t="shared" si="511"/>
        <v>0</v>
      </c>
      <c r="AZ115" s="81">
        <f t="shared" si="512"/>
        <v>0</v>
      </c>
    </row>
    <row r="116" spans="1:52" s="209" customFormat="1" ht="20.25" customHeight="1">
      <c r="A116" s="401"/>
      <c r="B116" s="240" t="s">
        <v>187</v>
      </c>
      <c r="C116" s="261">
        <v>355</v>
      </c>
      <c r="D116" s="164">
        <v>45888</v>
      </c>
      <c r="E116" s="164">
        <v>45895</v>
      </c>
      <c r="F116" s="261">
        <v>100</v>
      </c>
      <c r="G116" s="261">
        <v>0</v>
      </c>
      <c r="H116" s="261">
        <v>100</v>
      </c>
      <c r="I116" s="261">
        <v>0</v>
      </c>
      <c r="J116" s="261">
        <v>0</v>
      </c>
      <c r="K116" s="235">
        <f t="shared" si="518"/>
        <v>100</v>
      </c>
      <c r="L116" s="261">
        <v>0</v>
      </c>
      <c r="M116" s="261">
        <v>0</v>
      </c>
      <c r="N116" s="261">
        <v>100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3</v>
      </c>
      <c r="U116" s="261">
        <v>0</v>
      </c>
      <c r="V116" s="261">
        <v>0</v>
      </c>
      <c r="W116" s="261">
        <v>0</v>
      </c>
      <c r="X116" s="261">
        <v>0</v>
      </c>
      <c r="Y116" s="261">
        <v>0</v>
      </c>
      <c r="Z116" s="261">
        <v>5</v>
      </c>
      <c r="AA116" s="261">
        <v>0</v>
      </c>
      <c r="AB116" s="261">
        <v>0</v>
      </c>
      <c r="AC116" s="261">
        <v>9</v>
      </c>
      <c r="AD116" s="261">
        <v>0</v>
      </c>
      <c r="AE116" s="261">
        <v>0</v>
      </c>
      <c r="AF116" s="261">
        <v>92</v>
      </c>
      <c r="AG116" s="261">
        <v>0</v>
      </c>
      <c r="AH116" s="261">
        <v>0</v>
      </c>
      <c r="AI116" s="261">
        <v>0</v>
      </c>
      <c r="AJ116" s="261">
        <v>0</v>
      </c>
      <c r="AK116" s="287">
        <f t="shared" si="519"/>
        <v>0</v>
      </c>
      <c r="AL116" s="287">
        <f t="shared" si="519"/>
        <v>109</v>
      </c>
      <c r="AM116" s="287">
        <f t="shared" si="520"/>
        <v>109</v>
      </c>
      <c r="AN116" s="287">
        <f t="shared" si="521"/>
        <v>0</v>
      </c>
      <c r="AO116" s="189">
        <f t="shared" si="522"/>
        <v>0</v>
      </c>
      <c r="AP116" s="189">
        <f t="shared" si="523"/>
        <v>0</v>
      </c>
      <c r="AQ116" s="189">
        <f t="shared" si="524"/>
        <v>0</v>
      </c>
      <c r="AR116" s="81">
        <f t="shared" si="515"/>
        <v>0</v>
      </c>
      <c r="AS116" s="81">
        <f t="shared" si="516"/>
        <v>100</v>
      </c>
      <c r="AT116" s="81" t="e">
        <f t="shared" si="506"/>
        <v>#DIV/0!</v>
      </c>
      <c r="AU116" s="81" t="e">
        <f t="shared" si="507"/>
        <v>#DIV/0!</v>
      </c>
      <c r="AV116" s="81" t="e">
        <f t="shared" si="508"/>
        <v>#DIV/0!</v>
      </c>
      <c r="AW116" s="81" t="e">
        <f t="shared" si="509"/>
        <v>#DIV/0!</v>
      </c>
      <c r="AX116" s="81" t="e">
        <f t="shared" si="510"/>
        <v>#DIV/0!</v>
      </c>
      <c r="AY116" s="81" t="e">
        <f t="shared" si="511"/>
        <v>#DIV/0!</v>
      </c>
      <c r="AZ116" s="81" t="e">
        <f t="shared" si="512"/>
        <v>#DIV/0!</v>
      </c>
    </row>
    <row r="117" spans="1:52" s="209" customFormat="1" ht="20.25" customHeight="1">
      <c r="A117" s="401"/>
      <c r="B117" s="240" t="s">
        <v>188</v>
      </c>
      <c r="C117" s="261">
        <v>925</v>
      </c>
      <c r="D117" s="164">
        <v>45895</v>
      </c>
      <c r="E117" s="164">
        <v>45898</v>
      </c>
      <c r="F117" s="261">
        <v>240</v>
      </c>
      <c r="G117" s="261">
        <v>0</v>
      </c>
      <c r="H117" s="235">
        <f t="shared" ref="H117:H118" si="525">F117+G117</f>
        <v>240</v>
      </c>
      <c r="I117" s="261">
        <v>0</v>
      </c>
      <c r="J117" s="261">
        <v>0</v>
      </c>
      <c r="K117" s="235">
        <f t="shared" ref="K117:K118" si="526">H117+I117+J117</f>
        <v>240</v>
      </c>
      <c r="L117" s="261">
        <v>0</v>
      </c>
      <c r="M117" s="261">
        <v>0</v>
      </c>
      <c r="N117" s="261">
        <v>240</v>
      </c>
      <c r="O117" s="261">
        <v>3</v>
      </c>
      <c r="P117" s="261">
        <v>0</v>
      </c>
      <c r="Q117" s="261">
        <v>0</v>
      </c>
      <c r="R117" s="261">
        <v>0</v>
      </c>
      <c r="S117" s="261">
        <v>0</v>
      </c>
      <c r="T117" s="261">
        <v>6</v>
      </c>
      <c r="U117" s="261">
        <v>2</v>
      </c>
      <c r="V117" s="261">
        <v>6</v>
      </c>
      <c r="W117" s="261">
        <v>36</v>
      </c>
      <c r="X117" s="261">
        <v>1</v>
      </c>
      <c r="Y117" s="261">
        <v>0</v>
      </c>
      <c r="Z117" s="261">
        <v>7</v>
      </c>
      <c r="AA117" s="261">
        <v>0</v>
      </c>
      <c r="AB117" s="261">
        <v>0</v>
      </c>
      <c r="AC117" s="261">
        <v>56</v>
      </c>
      <c r="AD117" s="261">
        <v>0</v>
      </c>
      <c r="AE117" s="261">
        <v>28</v>
      </c>
      <c r="AF117" s="261">
        <v>27</v>
      </c>
      <c r="AG117" s="261">
        <v>0</v>
      </c>
      <c r="AH117" s="261">
        <v>0</v>
      </c>
      <c r="AI117" s="261">
        <v>0</v>
      </c>
      <c r="AJ117" s="261">
        <v>0</v>
      </c>
      <c r="AK117" s="287">
        <f t="shared" ref="AK117" si="527">P117+S117+V117+Y117+AB117+AE117+AH117</f>
        <v>34</v>
      </c>
      <c r="AL117" s="287">
        <f t="shared" ref="AL117:AL118" si="528">Q117+T117+W117+Z117+AC117+AF117+AI117</f>
        <v>132</v>
      </c>
      <c r="AM117" s="287">
        <f t="shared" ref="AM117:AM118" si="529">AK117+AL117</f>
        <v>166</v>
      </c>
      <c r="AN117" s="287">
        <f t="shared" ref="AN117:AN118" si="530">R117+U117+X117+AA117+AD117+AG117+AJ117</f>
        <v>3</v>
      </c>
      <c r="AO117" s="189">
        <f t="shared" ref="AO117:AO118" si="531">O117/H117*100</f>
        <v>1.25</v>
      </c>
      <c r="AP117" s="189">
        <f t="shared" ref="AP117:AP118" si="532">AN117/H117*100</f>
        <v>1.25</v>
      </c>
      <c r="AQ117" s="189">
        <f t="shared" ref="AQ117:AQ118" si="533">AN117/AM117*100</f>
        <v>1.8072289156626504</v>
      </c>
      <c r="AR117" s="81">
        <f t="shared" ref="AR117:AR119" si="534">AK117/AM117*100</f>
        <v>20.481927710843372</v>
      </c>
      <c r="AS117" s="81">
        <f t="shared" ref="AS117:AS119" si="535">AL117/AM117*100</f>
        <v>79.518072289156621</v>
      </c>
      <c r="AT117" s="81">
        <f t="shared" ref="AT117:AT119" si="536">R117/AN117*100</f>
        <v>0</v>
      </c>
      <c r="AU117" s="81">
        <f t="shared" ref="AU117:AU119" si="537">U117/AN117*100</f>
        <v>66.666666666666657</v>
      </c>
      <c r="AV117" s="81">
        <f t="shared" ref="AV117:AV119" si="538">X117/AN117*100</f>
        <v>33.333333333333329</v>
      </c>
      <c r="AW117" s="81">
        <f t="shared" ref="AW117:AW119" si="539">AA117/AN117*100</f>
        <v>0</v>
      </c>
      <c r="AX117" s="81">
        <f t="shared" ref="AX117:AX119" si="540">AD117/AN117*100</f>
        <v>0</v>
      </c>
      <c r="AY117" s="81">
        <f t="shared" ref="AY117:AY119" si="541">AG117/AN117*100</f>
        <v>0</v>
      </c>
      <c r="AZ117" s="81">
        <f t="shared" ref="AZ117:AZ119" si="542">AJ117/AN117*100</f>
        <v>0</v>
      </c>
    </row>
    <row r="118" spans="1:52" s="209" customFormat="1" ht="20.25" customHeight="1">
      <c r="A118" s="402"/>
      <c r="B118" s="240" t="s">
        <v>251</v>
      </c>
      <c r="C118" s="261">
        <v>134</v>
      </c>
      <c r="D118" s="164">
        <v>45896</v>
      </c>
      <c r="E118" s="164">
        <v>45897</v>
      </c>
      <c r="F118" s="261">
        <v>40</v>
      </c>
      <c r="G118" s="261">
        <v>0</v>
      </c>
      <c r="H118" s="235">
        <f t="shared" si="525"/>
        <v>40</v>
      </c>
      <c r="I118" s="261">
        <v>0</v>
      </c>
      <c r="J118" s="261">
        <v>0</v>
      </c>
      <c r="K118" s="235">
        <f t="shared" si="526"/>
        <v>40</v>
      </c>
      <c r="L118" s="261">
        <v>0</v>
      </c>
      <c r="M118" s="261">
        <v>0</v>
      </c>
      <c r="N118" s="261">
        <v>40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1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Z118" s="261">
        <v>10</v>
      </c>
      <c r="AA118" s="261">
        <v>0</v>
      </c>
      <c r="AB118" s="261">
        <v>0</v>
      </c>
      <c r="AC118" s="261">
        <v>0</v>
      </c>
      <c r="AD118" s="261">
        <v>0</v>
      </c>
      <c r="AE118" s="261">
        <v>0</v>
      </c>
      <c r="AF118" s="261">
        <v>14</v>
      </c>
      <c r="AG118" s="261">
        <v>0</v>
      </c>
      <c r="AH118" s="261">
        <v>0</v>
      </c>
      <c r="AI118" s="261">
        <v>0</v>
      </c>
      <c r="AJ118" s="261">
        <v>0</v>
      </c>
      <c r="AK118" s="287">
        <v>0</v>
      </c>
      <c r="AL118" s="287">
        <f t="shared" si="528"/>
        <v>25</v>
      </c>
      <c r="AM118" s="287">
        <f t="shared" si="529"/>
        <v>25</v>
      </c>
      <c r="AN118" s="287">
        <f t="shared" si="530"/>
        <v>0</v>
      </c>
      <c r="AO118" s="189">
        <f t="shared" si="531"/>
        <v>0</v>
      </c>
      <c r="AP118" s="189">
        <f t="shared" si="532"/>
        <v>0</v>
      </c>
      <c r="AQ118" s="189">
        <f t="shared" si="533"/>
        <v>0</v>
      </c>
      <c r="AR118" s="81">
        <f t="shared" si="534"/>
        <v>0</v>
      </c>
      <c r="AS118" s="81">
        <f t="shared" si="535"/>
        <v>100</v>
      </c>
      <c r="AT118" s="81" t="e">
        <f t="shared" si="536"/>
        <v>#DIV/0!</v>
      </c>
      <c r="AU118" s="81" t="e">
        <f t="shared" si="537"/>
        <v>#DIV/0!</v>
      </c>
      <c r="AV118" s="81" t="e">
        <f t="shared" si="538"/>
        <v>#DIV/0!</v>
      </c>
      <c r="AW118" s="81" t="e">
        <f t="shared" si="539"/>
        <v>#DIV/0!</v>
      </c>
      <c r="AX118" s="81" t="e">
        <f t="shared" si="540"/>
        <v>#DIV/0!</v>
      </c>
      <c r="AY118" s="81" t="e">
        <f t="shared" si="541"/>
        <v>#DIV/0!</v>
      </c>
      <c r="AZ118" s="81" t="e">
        <f t="shared" si="542"/>
        <v>#DIV/0!</v>
      </c>
    </row>
    <row r="119" spans="1:52" s="250" customFormat="1" ht="20.25" customHeight="1">
      <c r="A119" s="403" t="s">
        <v>215</v>
      </c>
      <c r="B119" s="77" t="s">
        <v>247</v>
      </c>
      <c r="C119" s="77">
        <f>C120</f>
        <v>519</v>
      </c>
      <c r="D119" s="217">
        <f>D120</f>
        <v>45894</v>
      </c>
      <c r="E119" s="217">
        <f>E120</f>
        <v>45896</v>
      </c>
      <c r="F119" s="77">
        <f>F120</f>
        <v>140</v>
      </c>
      <c r="G119" s="77">
        <f t="shared" ref="G119:AJ119" si="543">G120</f>
        <v>0</v>
      </c>
      <c r="H119" s="77">
        <f t="shared" si="543"/>
        <v>140</v>
      </c>
      <c r="I119" s="77">
        <f t="shared" si="543"/>
        <v>0</v>
      </c>
      <c r="J119" s="77">
        <f t="shared" si="543"/>
        <v>0</v>
      </c>
      <c r="K119" s="77">
        <f t="shared" si="543"/>
        <v>140</v>
      </c>
      <c r="L119" s="77">
        <f t="shared" si="543"/>
        <v>0</v>
      </c>
      <c r="M119" s="77">
        <f t="shared" si="543"/>
        <v>0</v>
      </c>
      <c r="N119" s="77">
        <f t="shared" si="543"/>
        <v>140</v>
      </c>
      <c r="O119" s="77">
        <f t="shared" si="543"/>
        <v>3</v>
      </c>
      <c r="P119" s="77">
        <f t="shared" si="543"/>
        <v>0</v>
      </c>
      <c r="Q119" s="77">
        <f t="shared" si="543"/>
        <v>0</v>
      </c>
      <c r="R119" s="77">
        <f t="shared" si="543"/>
        <v>0</v>
      </c>
      <c r="S119" s="77">
        <f t="shared" si="543"/>
        <v>0</v>
      </c>
      <c r="T119" s="77">
        <f t="shared" si="543"/>
        <v>6</v>
      </c>
      <c r="U119" s="77">
        <f t="shared" si="543"/>
        <v>1</v>
      </c>
      <c r="V119" s="77">
        <f t="shared" si="543"/>
        <v>3</v>
      </c>
      <c r="W119" s="77">
        <f t="shared" si="543"/>
        <v>14</v>
      </c>
      <c r="X119" s="77">
        <f t="shared" si="543"/>
        <v>0</v>
      </c>
      <c r="Y119" s="77">
        <f t="shared" si="543"/>
        <v>0</v>
      </c>
      <c r="Z119" s="77">
        <f t="shared" si="543"/>
        <v>6</v>
      </c>
      <c r="AA119" s="77">
        <f t="shared" si="543"/>
        <v>0</v>
      </c>
      <c r="AB119" s="77">
        <f t="shared" si="543"/>
        <v>0</v>
      </c>
      <c r="AC119" s="77">
        <f t="shared" si="543"/>
        <v>41</v>
      </c>
      <c r="AD119" s="77">
        <f t="shared" si="543"/>
        <v>1</v>
      </c>
      <c r="AE119" s="77">
        <f t="shared" si="543"/>
        <v>6</v>
      </c>
      <c r="AF119" s="77">
        <f t="shared" si="543"/>
        <v>14</v>
      </c>
      <c r="AG119" s="77">
        <f t="shared" si="543"/>
        <v>1</v>
      </c>
      <c r="AH119" s="77">
        <f t="shared" si="543"/>
        <v>0</v>
      </c>
      <c r="AI119" s="77">
        <f t="shared" si="543"/>
        <v>0</v>
      </c>
      <c r="AJ119" s="77">
        <f t="shared" si="543"/>
        <v>0</v>
      </c>
      <c r="AK119" s="77">
        <f>P119+S119+V119+Y119+AB119+AE119+AH119</f>
        <v>9</v>
      </c>
      <c r="AL119" s="77">
        <f>Q119+T119+W119+Z119+AC119+AF119+AI119</f>
        <v>81</v>
      </c>
      <c r="AM119" s="77">
        <f>AK119+AL119</f>
        <v>90</v>
      </c>
      <c r="AN119" s="77">
        <f>R119+U119+X119+AA119+AD119+AG119+AJ119</f>
        <v>3</v>
      </c>
      <c r="AO119" s="188">
        <f>O119/H119*100</f>
        <v>2.1428571428571428</v>
      </c>
      <c r="AP119" s="188">
        <f>AN119/H119*100</f>
        <v>2.1428571428571428</v>
      </c>
      <c r="AQ119" s="188">
        <f>AN119/AM119*100</f>
        <v>3.3333333333333335</v>
      </c>
      <c r="AR119" s="88">
        <f t="shared" si="534"/>
        <v>10</v>
      </c>
      <c r="AS119" s="88">
        <f t="shared" si="535"/>
        <v>90</v>
      </c>
      <c r="AT119" s="88">
        <f t="shared" si="536"/>
        <v>0</v>
      </c>
      <c r="AU119" s="88">
        <f t="shared" si="537"/>
        <v>33.333333333333329</v>
      </c>
      <c r="AV119" s="88">
        <f t="shared" si="538"/>
        <v>0</v>
      </c>
      <c r="AW119" s="88">
        <f t="shared" si="539"/>
        <v>0</v>
      </c>
      <c r="AX119" s="88">
        <f t="shared" si="540"/>
        <v>33.333333333333329</v>
      </c>
      <c r="AY119" s="88">
        <f t="shared" si="541"/>
        <v>33.333333333333329</v>
      </c>
      <c r="AZ119" s="88">
        <f t="shared" si="542"/>
        <v>0</v>
      </c>
    </row>
    <row r="120" spans="1:52" s="209" customFormat="1" ht="20.25" customHeight="1">
      <c r="A120" s="404"/>
      <c r="B120" s="240" t="s">
        <v>221</v>
      </c>
      <c r="C120" s="261">
        <v>519</v>
      </c>
      <c r="D120" s="164">
        <v>45894</v>
      </c>
      <c r="E120" s="164">
        <v>45896</v>
      </c>
      <c r="F120" s="261">
        <v>140</v>
      </c>
      <c r="G120" s="261">
        <v>0</v>
      </c>
      <c r="H120" s="261">
        <v>140</v>
      </c>
      <c r="I120" s="261">
        <v>0</v>
      </c>
      <c r="J120" s="261">
        <v>0</v>
      </c>
      <c r="K120" s="235">
        <f t="shared" si="518"/>
        <v>140</v>
      </c>
      <c r="L120" s="261">
        <v>0</v>
      </c>
      <c r="M120" s="261">
        <v>0</v>
      </c>
      <c r="N120" s="261">
        <v>140</v>
      </c>
      <c r="O120" s="261">
        <v>3</v>
      </c>
      <c r="P120" s="261">
        <v>0</v>
      </c>
      <c r="Q120" s="261">
        <v>0</v>
      </c>
      <c r="R120" s="261">
        <v>0</v>
      </c>
      <c r="S120" s="261">
        <v>0</v>
      </c>
      <c r="T120" s="261">
        <v>6</v>
      </c>
      <c r="U120" s="261">
        <v>1</v>
      </c>
      <c r="V120" s="261">
        <v>3</v>
      </c>
      <c r="W120" s="261">
        <v>14</v>
      </c>
      <c r="X120" s="261">
        <v>0</v>
      </c>
      <c r="Y120" s="261">
        <v>0</v>
      </c>
      <c r="Z120" s="261">
        <v>6</v>
      </c>
      <c r="AA120" s="261">
        <v>0</v>
      </c>
      <c r="AB120" s="261">
        <v>0</v>
      </c>
      <c r="AC120" s="261">
        <v>41</v>
      </c>
      <c r="AD120" s="261">
        <v>1</v>
      </c>
      <c r="AE120" s="261">
        <v>6</v>
      </c>
      <c r="AF120" s="261">
        <v>14</v>
      </c>
      <c r="AG120" s="261">
        <v>1</v>
      </c>
      <c r="AH120" s="261">
        <v>0</v>
      </c>
      <c r="AI120" s="261">
        <v>0</v>
      </c>
      <c r="AJ120" s="261">
        <v>0</v>
      </c>
      <c r="AK120" s="287">
        <f t="shared" si="519"/>
        <v>9</v>
      </c>
      <c r="AL120" s="287">
        <f t="shared" si="519"/>
        <v>81</v>
      </c>
      <c r="AM120" s="287">
        <f t="shared" si="520"/>
        <v>90</v>
      </c>
      <c r="AN120" s="287">
        <f t="shared" si="521"/>
        <v>3</v>
      </c>
      <c r="AO120" s="189">
        <f t="shared" si="522"/>
        <v>2.1428571428571428</v>
      </c>
      <c r="AP120" s="189">
        <f t="shared" si="523"/>
        <v>2.1428571428571428</v>
      </c>
      <c r="AQ120" s="189">
        <f t="shared" si="524"/>
        <v>3.3333333333333335</v>
      </c>
      <c r="AR120" s="81">
        <f t="shared" si="515"/>
        <v>10</v>
      </c>
      <c r="AS120" s="81">
        <f t="shared" si="516"/>
        <v>90</v>
      </c>
      <c r="AT120" s="81">
        <f t="shared" si="506"/>
        <v>0</v>
      </c>
      <c r="AU120" s="81">
        <f t="shared" si="507"/>
        <v>33.333333333333329</v>
      </c>
      <c r="AV120" s="81">
        <f t="shared" si="508"/>
        <v>0</v>
      </c>
      <c r="AW120" s="81">
        <f t="shared" si="509"/>
        <v>0</v>
      </c>
      <c r="AX120" s="81">
        <f t="shared" si="510"/>
        <v>33.333333333333329</v>
      </c>
      <c r="AY120" s="81">
        <f t="shared" si="511"/>
        <v>33.333333333333329</v>
      </c>
      <c r="AZ120" s="81">
        <f t="shared" si="512"/>
        <v>0</v>
      </c>
    </row>
    <row r="121" spans="1:52" s="3" customFormat="1" ht="20.25" customHeight="1">
      <c r="A121" s="83" t="s">
        <v>289</v>
      </c>
      <c r="B121" s="83">
        <f>COUNTA(B109:B120)-1</f>
        <v>11</v>
      </c>
      <c r="C121" s="83">
        <f>C107+C119</f>
        <v>3793</v>
      </c>
      <c r="D121" s="104">
        <f>MIN(D107:D120)</f>
        <v>45870</v>
      </c>
      <c r="E121" s="104">
        <f>MAX(E107:E120)</f>
        <v>45898</v>
      </c>
      <c r="F121" s="83">
        <f>F107+F119</f>
        <v>1020</v>
      </c>
      <c r="G121" s="83">
        <f t="shared" ref="G121:AJ121" si="544">G107+G119</f>
        <v>0</v>
      </c>
      <c r="H121" s="83">
        <f t="shared" si="544"/>
        <v>1020</v>
      </c>
      <c r="I121" s="83">
        <f t="shared" si="544"/>
        <v>0</v>
      </c>
      <c r="J121" s="83">
        <f t="shared" si="544"/>
        <v>0</v>
      </c>
      <c r="K121" s="83">
        <f t="shared" si="544"/>
        <v>1020</v>
      </c>
      <c r="L121" s="83">
        <f t="shared" si="544"/>
        <v>0</v>
      </c>
      <c r="M121" s="83">
        <f t="shared" si="544"/>
        <v>0</v>
      </c>
      <c r="N121" s="83">
        <f t="shared" si="544"/>
        <v>1020</v>
      </c>
      <c r="O121" s="83">
        <f t="shared" si="544"/>
        <v>10</v>
      </c>
      <c r="P121" s="83">
        <f t="shared" si="544"/>
        <v>0</v>
      </c>
      <c r="Q121" s="83">
        <f t="shared" si="544"/>
        <v>0</v>
      </c>
      <c r="R121" s="83">
        <f t="shared" si="544"/>
        <v>0</v>
      </c>
      <c r="S121" s="83">
        <f t="shared" si="544"/>
        <v>1</v>
      </c>
      <c r="T121" s="83">
        <f t="shared" si="544"/>
        <v>46</v>
      </c>
      <c r="U121" s="83">
        <f t="shared" si="544"/>
        <v>4</v>
      </c>
      <c r="V121" s="83">
        <f t="shared" si="544"/>
        <v>11</v>
      </c>
      <c r="W121" s="83">
        <f t="shared" si="544"/>
        <v>111</v>
      </c>
      <c r="X121" s="83">
        <f t="shared" si="544"/>
        <v>2</v>
      </c>
      <c r="Y121" s="83">
        <f t="shared" si="544"/>
        <v>0</v>
      </c>
      <c r="Z121" s="83">
        <f t="shared" si="544"/>
        <v>71</v>
      </c>
      <c r="AA121" s="83">
        <f t="shared" si="544"/>
        <v>0</v>
      </c>
      <c r="AB121" s="83">
        <f t="shared" si="544"/>
        <v>4</v>
      </c>
      <c r="AC121" s="83">
        <f t="shared" si="544"/>
        <v>172</v>
      </c>
      <c r="AD121" s="83">
        <f t="shared" si="544"/>
        <v>3</v>
      </c>
      <c r="AE121" s="83">
        <f t="shared" si="544"/>
        <v>39</v>
      </c>
      <c r="AF121" s="83">
        <f t="shared" si="544"/>
        <v>315</v>
      </c>
      <c r="AG121" s="83">
        <f t="shared" si="544"/>
        <v>1</v>
      </c>
      <c r="AH121" s="83">
        <f t="shared" si="544"/>
        <v>0</v>
      </c>
      <c r="AI121" s="83">
        <f t="shared" si="544"/>
        <v>0</v>
      </c>
      <c r="AJ121" s="83">
        <f t="shared" si="544"/>
        <v>0</v>
      </c>
      <c r="AK121" s="83">
        <f>P121+S121+V121+Y121+AB121+AE121+AH121</f>
        <v>55</v>
      </c>
      <c r="AL121" s="83">
        <f>Q121+T121+W121+Z121+AC121+AF121+AI121</f>
        <v>715</v>
      </c>
      <c r="AM121" s="83">
        <f>AK121+AL121</f>
        <v>770</v>
      </c>
      <c r="AN121" s="83">
        <f>R121+U121+X121+AA121+AD121+AG121+AJ121</f>
        <v>10</v>
      </c>
      <c r="AO121" s="190">
        <f>O121/H121*100</f>
        <v>0.98039215686274506</v>
      </c>
      <c r="AP121" s="190">
        <f>AN121/H121*100</f>
        <v>0.98039215686274506</v>
      </c>
      <c r="AQ121" s="190">
        <f>AN121/AM121*100</f>
        <v>1.2987012987012987</v>
      </c>
      <c r="AR121" s="85">
        <f>AK121/AM121*100</f>
        <v>7.1428571428571423</v>
      </c>
      <c r="AS121" s="85">
        <f>AL121/AM121*100</f>
        <v>92.857142857142861</v>
      </c>
      <c r="AT121" s="85">
        <f t="shared" ref="AT121:AT124" si="545">R121/AN121*100</f>
        <v>0</v>
      </c>
      <c r="AU121" s="85">
        <f t="shared" ref="AU121:AU124" si="546">U121/AN121*100</f>
        <v>40</v>
      </c>
      <c r="AV121" s="85">
        <f t="shared" ref="AV121:AV124" si="547">X121/AN121*100</f>
        <v>20</v>
      </c>
      <c r="AW121" s="85">
        <f t="shared" ref="AW121:AW124" si="548">AA121/AN121*100</f>
        <v>0</v>
      </c>
      <c r="AX121" s="85">
        <f t="shared" ref="AX121:AX124" si="549">AD121/AN121*100</f>
        <v>30</v>
      </c>
      <c r="AY121" s="85">
        <f t="shared" ref="AY121:AY124" si="550">AG121/AN121*100</f>
        <v>10</v>
      </c>
      <c r="AZ121" s="85">
        <f t="shared" ref="AZ121:AZ124" si="551">AJ121/AN121*100</f>
        <v>0</v>
      </c>
    </row>
    <row r="122" spans="1:52" s="3" customFormat="1" ht="20.25" customHeight="1">
      <c r="A122" s="83" t="s">
        <v>290</v>
      </c>
      <c r="B122" s="83"/>
      <c r="C122" s="83"/>
      <c r="D122" s="104"/>
      <c r="E122" s="104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190"/>
      <c r="AP122" s="190"/>
      <c r="AQ122" s="190"/>
      <c r="AR122" s="85"/>
      <c r="AS122" s="85"/>
      <c r="AT122" s="85"/>
      <c r="AU122" s="85"/>
      <c r="AV122" s="85"/>
      <c r="AW122" s="85"/>
      <c r="AX122" s="85"/>
      <c r="AY122" s="85"/>
      <c r="AZ122" s="85"/>
    </row>
    <row r="123" spans="1:52" s="3" customFormat="1" ht="20.25" customHeight="1">
      <c r="A123" s="399" t="s">
        <v>246</v>
      </c>
      <c r="B123" s="77" t="s">
        <v>24</v>
      </c>
      <c r="C123" s="77">
        <f>SUM(C124:C129)</f>
        <v>1512</v>
      </c>
      <c r="D123" s="217">
        <f>MIN(D124:D129)</f>
        <v>45936</v>
      </c>
      <c r="E123" s="217">
        <f>MAX(E124:E129)</f>
        <v>45961</v>
      </c>
      <c r="F123" s="77">
        <f>SUM(F124:F129)</f>
        <v>410</v>
      </c>
      <c r="G123" s="77">
        <f t="shared" ref="G123:H123" si="552">SUM(G124:G129)</f>
        <v>0</v>
      </c>
      <c r="H123" s="77">
        <f t="shared" si="552"/>
        <v>410</v>
      </c>
      <c r="I123" s="77">
        <f t="shared" ref="I123:AJ123" si="553">SUM(I124:I129)</f>
        <v>0</v>
      </c>
      <c r="J123" s="77">
        <f t="shared" si="553"/>
        <v>0</v>
      </c>
      <c r="K123" s="77">
        <f t="shared" si="553"/>
        <v>410</v>
      </c>
      <c r="L123" s="77">
        <f t="shared" si="553"/>
        <v>0</v>
      </c>
      <c r="M123" s="77">
        <f t="shared" si="553"/>
        <v>0</v>
      </c>
      <c r="N123" s="77">
        <f t="shared" si="553"/>
        <v>410</v>
      </c>
      <c r="O123" s="77">
        <f t="shared" si="553"/>
        <v>9</v>
      </c>
      <c r="P123" s="77">
        <f t="shared" si="553"/>
        <v>0</v>
      </c>
      <c r="Q123" s="77">
        <f t="shared" si="553"/>
        <v>0</v>
      </c>
      <c r="R123" s="77">
        <f t="shared" si="553"/>
        <v>0</v>
      </c>
      <c r="S123" s="77">
        <f t="shared" si="553"/>
        <v>0</v>
      </c>
      <c r="T123" s="77">
        <f t="shared" si="553"/>
        <v>18</v>
      </c>
      <c r="U123" s="77">
        <f t="shared" si="553"/>
        <v>5</v>
      </c>
      <c r="V123" s="77">
        <f t="shared" si="553"/>
        <v>0</v>
      </c>
      <c r="W123" s="77">
        <f t="shared" si="553"/>
        <v>64</v>
      </c>
      <c r="X123" s="77">
        <f t="shared" si="553"/>
        <v>0</v>
      </c>
      <c r="Y123" s="77">
        <f t="shared" si="553"/>
        <v>0</v>
      </c>
      <c r="Z123" s="77">
        <f t="shared" si="553"/>
        <v>32</v>
      </c>
      <c r="AA123" s="77">
        <f t="shared" si="553"/>
        <v>1</v>
      </c>
      <c r="AB123" s="77">
        <f t="shared" si="553"/>
        <v>2</v>
      </c>
      <c r="AC123" s="77">
        <f t="shared" si="553"/>
        <v>109</v>
      </c>
      <c r="AD123" s="77">
        <f t="shared" si="553"/>
        <v>2</v>
      </c>
      <c r="AE123" s="77">
        <f t="shared" si="553"/>
        <v>20</v>
      </c>
      <c r="AF123" s="77">
        <f t="shared" si="553"/>
        <v>74</v>
      </c>
      <c r="AG123" s="77">
        <f t="shared" si="553"/>
        <v>1</v>
      </c>
      <c r="AH123" s="77">
        <f t="shared" si="553"/>
        <v>0</v>
      </c>
      <c r="AI123" s="77">
        <f t="shared" si="553"/>
        <v>0</v>
      </c>
      <c r="AJ123" s="77">
        <f t="shared" si="553"/>
        <v>0</v>
      </c>
      <c r="AK123" s="77">
        <f>P123+S123+V123+Y123+AB123+AE123+AH123</f>
        <v>22</v>
      </c>
      <c r="AL123" s="77">
        <f>Q123+T123+W123+Z123+AC123+AF123+AI123</f>
        <v>297</v>
      </c>
      <c r="AM123" s="77">
        <f>AK123+AL123</f>
        <v>319</v>
      </c>
      <c r="AN123" s="77">
        <f>R123+U123+X123+AA123+AD123+AG123+AJ123</f>
        <v>9</v>
      </c>
      <c r="AO123" s="188">
        <f>O123/H123*100</f>
        <v>2.1951219512195119</v>
      </c>
      <c r="AP123" s="188">
        <f>AN123/H123*100</f>
        <v>2.1951219512195119</v>
      </c>
      <c r="AQ123" s="188">
        <f>AN123/AM123*100</f>
        <v>2.8213166144200628</v>
      </c>
      <c r="AR123" s="88">
        <f t="shared" ref="AR123:AR124" si="554">AK123/AM123*100</f>
        <v>6.8965517241379306</v>
      </c>
      <c r="AS123" s="88">
        <f t="shared" ref="AS123:AS124" si="555">AL123/AM123*100</f>
        <v>93.103448275862064</v>
      </c>
      <c r="AT123" s="88">
        <f t="shared" si="545"/>
        <v>0</v>
      </c>
      <c r="AU123" s="88">
        <f t="shared" si="546"/>
        <v>55.555555555555557</v>
      </c>
      <c r="AV123" s="88">
        <f t="shared" si="547"/>
        <v>0</v>
      </c>
      <c r="AW123" s="88">
        <f t="shared" si="548"/>
        <v>11.111111111111111</v>
      </c>
      <c r="AX123" s="88">
        <f t="shared" si="549"/>
        <v>22.222222222222221</v>
      </c>
      <c r="AY123" s="88">
        <f t="shared" si="550"/>
        <v>11.111111111111111</v>
      </c>
      <c r="AZ123" s="88">
        <f t="shared" si="551"/>
        <v>0</v>
      </c>
    </row>
    <row r="124" spans="1:52" s="209" customFormat="1" ht="20.25" customHeight="1">
      <c r="A124" s="399"/>
      <c r="B124" s="240" t="s">
        <v>187</v>
      </c>
      <c r="C124" s="261">
        <v>366</v>
      </c>
      <c r="D124" s="164">
        <v>45936</v>
      </c>
      <c r="E124" s="164">
        <v>45936</v>
      </c>
      <c r="F124" s="261">
        <v>100</v>
      </c>
      <c r="G124" s="261">
        <v>0</v>
      </c>
      <c r="H124" s="235">
        <f t="shared" ref="H124:H128" si="556">F124+G124</f>
        <v>100</v>
      </c>
      <c r="I124" s="261">
        <v>0</v>
      </c>
      <c r="J124" s="261">
        <v>0</v>
      </c>
      <c r="K124" s="235">
        <f t="shared" ref="K124:K129" si="557">H124+I124+J124</f>
        <v>100</v>
      </c>
      <c r="L124" s="261">
        <v>0</v>
      </c>
      <c r="M124" s="261">
        <v>0</v>
      </c>
      <c r="N124" s="261">
        <v>100</v>
      </c>
      <c r="O124" s="261">
        <v>2</v>
      </c>
      <c r="P124" s="261">
        <v>0</v>
      </c>
      <c r="Q124" s="261">
        <v>0</v>
      </c>
      <c r="R124" s="261">
        <v>0</v>
      </c>
      <c r="S124" s="261">
        <v>0</v>
      </c>
      <c r="T124" s="261">
        <v>1</v>
      </c>
      <c r="U124" s="261">
        <v>1</v>
      </c>
      <c r="V124" s="261">
        <v>0</v>
      </c>
      <c r="W124" s="261">
        <v>16</v>
      </c>
      <c r="X124" s="261">
        <v>0</v>
      </c>
      <c r="Y124" s="261">
        <v>0</v>
      </c>
      <c r="Z124" s="261">
        <v>10</v>
      </c>
      <c r="AA124" s="261">
        <v>0</v>
      </c>
      <c r="AB124" s="261">
        <v>0</v>
      </c>
      <c r="AC124" s="261">
        <v>16</v>
      </c>
      <c r="AD124" s="261">
        <v>1</v>
      </c>
      <c r="AE124" s="261">
        <v>3</v>
      </c>
      <c r="AF124" s="261">
        <v>11</v>
      </c>
      <c r="AG124" s="261">
        <v>0</v>
      </c>
      <c r="AH124" s="261">
        <v>0</v>
      </c>
      <c r="AI124" s="261">
        <v>0</v>
      </c>
      <c r="AJ124" s="261">
        <v>0</v>
      </c>
      <c r="AK124" s="298">
        <f t="shared" ref="AK124" si="558">P124+S124+V124+Y124+AB124+AE124+AH124</f>
        <v>3</v>
      </c>
      <c r="AL124" s="298">
        <f t="shared" ref="AL124" si="559">Q124+T124+W124+Z124+AC124+AF124+AI124</f>
        <v>54</v>
      </c>
      <c r="AM124" s="298">
        <f t="shared" ref="AM124" si="560">AK124+AL124</f>
        <v>57</v>
      </c>
      <c r="AN124" s="298">
        <f t="shared" ref="AN124" si="561">R124+U124+X124+AA124+AD124+AG124+AJ124</f>
        <v>2</v>
      </c>
      <c r="AO124" s="189">
        <f t="shared" ref="AO124" si="562">O124/H124*100</f>
        <v>2</v>
      </c>
      <c r="AP124" s="189">
        <f t="shared" ref="AP124" si="563">AN124/H124*100</f>
        <v>2</v>
      </c>
      <c r="AQ124" s="189">
        <f t="shared" ref="AQ124" si="564">AN124/AM124*100</f>
        <v>3.5087719298245612</v>
      </c>
      <c r="AR124" s="81">
        <f t="shared" si="554"/>
        <v>5.2631578947368416</v>
      </c>
      <c r="AS124" s="81">
        <f t="shared" si="555"/>
        <v>94.73684210526315</v>
      </c>
      <c r="AT124" s="81">
        <f t="shared" si="545"/>
        <v>0</v>
      </c>
      <c r="AU124" s="81">
        <f t="shared" si="546"/>
        <v>50</v>
      </c>
      <c r="AV124" s="81">
        <f t="shared" si="547"/>
        <v>0</v>
      </c>
      <c r="AW124" s="81">
        <f t="shared" si="548"/>
        <v>0</v>
      </c>
      <c r="AX124" s="81">
        <f t="shared" si="549"/>
        <v>50</v>
      </c>
      <c r="AY124" s="81">
        <f t="shared" si="550"/>
        <v>0</v>
      </c>
      <c r="AZ124" s="81">
        <f t="shared" si="551"/>
        <v>0</v>
      </c>
    </row>
    <row r="125" spans="1:52" s="209" customFormat="1" ht="20.25" customHeight="1">
      <c r="A125" s="399"/>
      <c r="B125" s="240" t="s">
        <v>131</v>
      </c>
      <c r="C125" s="261">
        <v>814</v>
      </c>
      <c r="D125" s="164">
        <v>45938</v>
      </c>
      <c r="E125" s="164">
        <v>45960</v>
      </c>
      <c r="F125" s="261">
        <v>220</v>
      </c>
      <c r="G125" s="261">
        <v>0</v>
      </c>
      <c r="H125" s="235">
        <f t="shared" si="556"/>
        <v>220</v>
      </c>
      <c r="I125" s="261">
        <v>0</v>
      </c>
      <c r="J125" s="261">
        <v>0</v>
      </c>
      <c r="K125" s="235">
        <f t="shared" si="557"/>
        <v>220</v>
      </c>
      <c r="L125" s="261">
        <v>0</v>
      </c>
      <c r="M125" s="261">
        <v>0</v>
      </c>
      <c r="N125" s="261">
        <v>220</v>
      </c>
      <c r="O125" s="261">
        <v>3</v>
      </c>
      <c r="P125" s="261">
        <v>0</v>
      </c>
      <c r="Q125" s="261">
        <v>0</v>
      </c>
      <c r="R125" s="261">
        <v>0</v>
      </c>
      <c r="S125" s="261">
        <v>0</v>
      </c>
      <c r="T125" s="261">
        <v>11</v>
      </c>
      <c r="U125" s="261">
        <v>2</v>
      </c>
      <c r="V125" s="261">
        <v>0</v>
      </c>
      <c r="W125" s="261">
        <v>31</v>
      </c>
      <c r="X125" s="261">
        <v>0</v>
      </c>
      <c r="Y125" s="261">
        <v>0</v>
      </c>
      <c r="Z125" s="261">
        <v>18</v>
      </c>
      <c r="AA125" s="261">
        <v>1</v>
      </c>
      <c r="AB125" s="261">
        <v>2</v>
      </c>
      <c r="AC125" s="261">
        <v>60</v>
      </c>
      <c r="AD125" s="261">
        <v>0</v>
      </c>
      <c r="AE125" s="261">
        <v>17</v>
      </c>
      <c r="AF125" s="261">
        <v>46</v>
      </c>
      <c r="AG125" s="261">
        <v>0</v>
      </c>
      <c r="AH125" s="261">
        <v>0</v>
      </c>
      <c r="AI125" s="261">
        <v>0</v>
      </c>
      <c r="AJ125" s="261">
        <v>0</v>
      </c>
      <c r="AK125" s="298">
        <f t="shared" ref="AK125:AK129" si="565">P125+S125+V125+Y125+AB125+AE125+AH125</f>
        <v>19</v>
      </c>
      <c r="AL125" s="298">
        <f t="shared" ref="AL125:AL129" si="566">Q125+T125+W125+Z125+AC125+AF125+AI125</f>
        <v>166</v>
      </c>
      <c r="AM125" s="298">
        <f t="shared" ref="AM125:AM129" si="567">AK125+AL125</f>
        <v>185</v>
      </c>
      <c r="AN125" s="298">
        <f t="shared" ref="AN125:AN129" si="568">R125+U125+X125+AA125+AD125+AG125+AJ125</f>
        <v>3</v>
      </c>
      <c r="AO125" s="189">
        <f t="shared" ref="AO125:AO129" si="569">O125/H125*100</f>
        <v>1.3636363636363635</v>
      </c>
      <c r="AP125" s="189">
        <f t="shared" ref="AP125:AP129" si="570">AN125/H125*100</f>
        <v>1.3636363636363635</v>
      </c>
      <c r="AQ125" s="189">
        <f t="shared" ref="AQ125:AQ129" si="571">AN125/AM125*100</f>
        <v>1.6216216216216217</v>
      </c>
      <c r="AR125" s="81">
        <f t="shared" ref="AR125:AR129" si="572">AK125/AM125*100</f>
        <v>10.27027027027027</v>
      </c>
      <c r="AS125" s="81">
        <f t="shared" ref="AS125:AS129" si="573">AL125/AM125*100</f>
        <v>89.72972972972974</v>
      </c>
      <c r="AT125" s="81">
        <f t="shared" ref="AT125:AT129" si="574">R125/AN125*100</f>
        <v>0</v>
      </c>
      <c r="AU125" s="81">
        <f t="shared" ref="AU125:AU129" si="575">U125/AN125*100</f>
        <v>66.666666666666657</v>
      </c>
      <c r="AV125" s="81">
        <f t="shared" ref="AV125:AV129" si="576">X125/AN125*100</f>
        <v>0</v>
      </c>
      <c r="AW125" s="81">
        <f t="shared" ref="AW125:AW129" si="577">AA125/AN125*100</f>
        <v>33.333333333333329</v>
      </c>
      <c r="AX125" s="81">
        <f t="shared" ref="AX125:AX129" si="578">AD125/AN125*100</f>
        <v>0</v>
      </c>
      <c r="AY125" s="81">
        <f t="shared" ref="AY125:AY129" si="579">AG125/AN125*100</f>
        <v>0</v>
      </c>
      <c r="AZ125" s="81">
        <f t="shared" ref="AZ125:AZ129" si="580">AJ125/AN125*100</f>
        <v>0</v>
      </c>
    </row>
    <row r="126" spans="1:52" s="209" customFormat="1" ht="20.25" customHeight="1">
      <c r="A126" s="399"/>
      <c r="B126" s="240" t="s">
        <v>211</v>
      </c>
      <c r="C126" s="261">
        <v>160</v>
      </c>
      <c r="D126" s="164">
        <v>45960</v>
      </c>
      <c r="E126" s="164">
        <v>45960</v>
      </c>
      <c r="F126" s="261">
        <v>40</v>
      </c>
      <c r="G126" s="261">
        <v>0</v>
      </c>
      <c r="H126" s="235">
        <f t="shared" si="556"/>
        <v>40</v>
      </c>
      <c r="I126" s="261">
        <v>0</v>
      </c>
      <c r="J126" s="261">
        <v>0</v>
      </c>
      <c r="K126" s="235">
        <f t="shared" si="557"/>
        <v>40</v>
      </c>
      <c r="L126" s="261">
        <v>0</v>
      </c>
      <c r="M126" s="261">
        <v>0</v>
      </c>
      <c r="N126" s="261">
        <v>40</v>
      </c>
      <c r="O126" s="261">
        <v>2</v>
      </c>
      <c r="P126" s="261">
        <v>0</v>
      </c>
      <c r="Q126" s="261">
        <v>0</v>
      </c>
      <c r="R126" s="261">
        <v>0</v>
      </c>
      <c r="S126" s="261">
        <v>0</v>
      </c>
      <c r="T126" s="261">
        <v>2</v>
      </c>
      <c r="U126" s="261">
        <v>1</v>
      </c>
      <c r="V126" s="261">
        <v>0</v>
      </c>
      <c r="W126" s="261">
        <v>7</v>
      </c>
      <c r="X126" s="261">
        <v>0</v>
      </c>
      <c r="Y126" s="261">
        <v>0</v>
      </c>
      <c r="Z126" s="261">
        <v>2</v>
      </c>
      <c r="AA126" s="261">
        <v>0</v>
      </c>
      <c r="AB126" s="261">
        <v>0</v>
      </c>
      <c r="AC126" s="261">
        <v>12</v>
      </c>
      <c r="AD126" s="261">
        <v>0</v>
      </c>
      <c r="AE126" s="261">
        <v>0</v>
      </c>
      <c r="AF126" s="261">
        <v>9</v>
      </c>
      <c r="AG126" s="261">
        <v>1</v>
      </c>
      <c r="AH126" s="261">
        <v>0</v>
      </c>
      <c r="AI126" s="261">
        <v>0</v>
      </c>
      <c r="AJ126" s="261">
        <v>0</v>
      </c>
      <c r="AK126" s="298">
        <f t="shared" si="565"/>
        <v>0</v>
      </c>
      <c r="AL126" s="298">
        <f t="shared" si="566"/>
        <v>32</v>
      </c>
      <c r="AM126" s="298">
        <f t="shared" si="567"/>
        <v>32</v>
      </c>
      <c r="AN126" s="298">
        <f t="shared" si="568"/>
        <v>2</v>
      </c>
      <c r="AO126" s="189">
        <f t="shared" si="569"/>
        <v>5</v>
      </c>
      <c r="AP126" s="189">
        <f t="shared" si="570"/>
        <v>5</v>
      </c>
      <c r="AQ126" s="189">
        <f t="shared" si="571"/>
        <v>6.25</v>
      </c>
      <c r="AR126" s="81">
        <f t="shared" si="572"/>
        <v>0</v>
      </c>
      <c r="AS126" s="81">
        <f t="shared" si="573"/>
        <v>100</v>
      </c>
      <c r="AT126" s="81">
        <f t="shared" si="574"/>
        <v>0</v>
      </c>
      <c r="AU126" s="81">
        <f t="shared" si="575"/>
        <v>50</v>
      </c>
      <c r="AV126" s="81">
        <f t="shared" si="576"/>
        <v>0</v>
      </c>
      <c r="AW126" s="81">
        <f t="shared" si="577"/>
        <v>0</v>
      </c>
      <c r="AX126" s="81">
        <f t="shared" si="578"/>
        <v>0</v>
      </c>
      <c r="AY126" s="81">
        <f t="shared" si="579"/>
        <v>50</v>
      </c>
      <c r="AZ126" s="81">
        <f t="shared" si="580"/>
        <v>0</v>
      </c>
    </row>
    <row r="127" spans="1:52" s="209" customFormat="1" ht="20.25" customHeight="1">
      <c r="A127" s="399"/>
      <c r="B127" s="296" t="s">
        <v>284</v>
      </c>
      <c r="C127" s="261">
        <v>63</v>
      </c>
      <c r="D127" s="164">
        <v>45961</v>
      </c>
      <c r="E127" s="164">
        <v>45961</v>
      </c>
      <c r="F127" s="261">
        <v>20</v>
      </c>
      <c r="G127" s="261">
        <v>0</v>
      </c>
      <c r="H127" s="235">
        <f t="shared" si="556"/>
        <v>20</v>
      </c>
      <c r="I127" s="261">
        <v>0</v>
      </c>
      <c r="J127" s="261">
        <v>0</v>
      </c>
      <c r="K127" s="235">
        <f t="shared" si="557"/>
        <v>20</v>
      </c>
      <c r="L127" s="261">
        <v>0</v>
      </c>
      <c r="M127" s="261">
        <v>0</v>
      </c>
      <c r="N127" s="261">
        <v>20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3</v>
      </c>
      <c r="X127" s="261">
        <v>0</v>
      </c>
      <c r="Y127" s="261">
        <v>0</v>
      </c>
      <c r="Z127" s="261">
        <v>0</v>
      </c>
      <c r="AA127" s="261">
        <v>0</v>
      </c>
      <c r="AB127" s="261">
        <v>0</v>
      </c>
      <c r="AC127" s="261">
        <v>8</v>
      </c>
      <c r="AD127" s="261">
        <v>0</v>
      </c>
      <c r="AE127" s="261">
        <v>0</v>
      </c>
      <c r="AF127" s="261">
        <v>0</v>
      </c>
      <c r="AG127" s="261">
        <v>0</v>
      </c>
      <c r="AH127" s="261">
        <v>0</v>
      </c>
      <c r="AI127" s="261">
        <v>0</v>
      </c>
      <c r="AJ127" s="261">
        <v>0</v>
      </c>
      <c r="AK127" s="298">
        <f t="shared" si="565"/>
        <v>0</v>
      </c>
      <c r="AL127" s="298">
        <f t="shared" si="566"/>
        <v>11</v>
      </c>
      <c r="AM127" s="298">
        <f t="shared" si="567"/>
        <v>11</v>
      </c>
      <c r="AN127" s="298">
        <f t="shared" si="568"/>
        <v>0</v>
      </c>
      <c r="AO127" s="189">
        <f t="shared" si="569"/>
        <v>0</v>
      </c>
      <c r="AP127" s="189">
        <f t="shared" si="570"/>
        <v>0</v>
      </c>
      <c r="AQ127" s="189">
        <f t="shared" si="571"/>
        <v>0</v>
      </c>
      <c r="AR127" s="81">
        <f t="shared" si="572"/>
        <v>0</v>
      </c>
      <c r="AS127" s="81">
        <f t="shared" si="573"/>
        <v>100</v>
      </c>
      <c r="AT127" s="81" t="e">
        <f t="shared" si="574"/>
        <v>#DIV/0!</v>
      </c>
      <c r="AU127" s="81" t="e">
        <f t="shared" si="575"/>
        <v>#DIV/0!</v>
      </c>
      <c r="AV127" s="81" t="e">
        <f t="shared" si="576"/>
        <v>#DIV/0!</v>
      </c>
      <c r="AW127" s="81" t="e">
        <f t="shared" si="577"/>
        <v>#DIV/0!</v>
      </c>
      <c r="AX127" s="81" t="e">
        <f t="shared" si="578"/>
        <v>#DIV/0!</v>
      </c>
      <c r="AY127" s="81" t="e">
        <f t="shared" si="579"/>
        <v>#DIV/0!</v>
      </c>
      <c r="AZ127" s="81" t="e">
        <f t="shared" si="580"/>
        <v>#DIV/0!</v>
      </c>
    </row>
    <row r="128" spans="1:52" s="209" customFormat="1" ht="20.25" customHeight="1">
      <c r="A128" s="399"/>
      <c r="B128" s="240" t="s">
        <v>188</v>
      </c>
      <c r="C128" s="261">
        <v>81</v>
      </c>
      <c r="D128" s="164">
        <v>45937</v>
      </c>
      <c r="E128" s="164">
        <v>45937</v>
      </c>
      <c r="F128" s="261">
        <v>22</v>
      </c>
      <c r="G128" s="261">
        <v>0</v>
      </c>
      <c r="H128" s="235">
        <f t="shared" si="556"/>
        <v>22</v>
      </c>
      <c r="I128" s="261">
        <v>0</v>
      </c>
      <c r="J128" s="261">
        <v>0</v>
      </c>
      <c r="K128" s="235">
        <f t="shared" si="557"/>
        <v>22</v>
      </c>
      <c r="L128" s="261">
        <v>0</v>
      </c>
      <c r="M128" s="261">
        <v>0</v>
      </c>
      <c r="N128" s="261">
        <v>22</v>
      </c>
      <c r="O128" s="261">
        <v>1</v>
      </c>
      <c r="P128" s="261">
        <v>0</v>
      </c>
      <c r="Q128" s="261">
        <v>0</v>
      </c>
      <c r="R128" s="261">
        <v>0</v>
      </c>
      <c r="S128" s="261">
        <v>0</v>
      </c>
      <c r="T128" s="261">
        <v>4</v>
      </c>
      <c r="U128" s="261">
        <v>1</v>
      </c>
      <c r="V128" s="261">
        <v>0</v>
      </c>
      <c r="W128" s="261">
        <v>5</v>
      </c>
      <c r="X128" s="261">
        <v>0</v>
      </c>
      <c r="Y128" s="261">
        <v>0</v>
      </c>
      <c r="Z128" s="261">
        <v>2</v>
      </c>
      <c r="AA128" s="261">
        <v>0</v>
      </c>
      <c r="AB128" s="261">
        <v>0</v>
      </c>
      <c r="AC128" s="261">
        <v>10</v>
      </c>
      <c r="AD128" s="261">
        <v>0</v>
      </c>
      <c r="AE128" s="261">
        <v>0</v>
      </c>
      <c r="AF128" s="261">
        <v>8</v>
      </c>
      <c r="AG128" s="261">
        <v>0</v>
      </c>
      <c r="AH128" s="261">
        <v>0</v>
      </c>
      <c r="AI128" s="261">
        <v>0</v>
      </c>
      <c r="AJ128" s="261">
        <v>0</v>
      </c>
      <c r="AK128" s="298">
        <f t="shared" si="565"/>
        <v>0</v>
      </c>
      <c r="AL128" s="298">
        <f t="shared" si="566"/>
        <v>29</v>
      </c>
      <c r="AM128" s="298">
        <f t="shared" si="567"/>
        <v>29</v>
      </c>
      <c r="AN128" s="298">
        <f t="shared" si="568"/>
        <v>1</v>
      </c>
      <c r="AO128" s="189">
        <f t="shared" si="569"/>
        <v>4.5454545454545459</v>
      </c>
      <c r="AP128" s="189">
        <f t="shared" si="570"/>
        <v>4.5454545454545459</v>
      </c>
      <c r="AQ128" s="189">
        <f t="shared" si="571"/>
        <v>3.4482758620689653</v>
      </c>
      <c r="AR128" s="81">
        <f t="shared" si="572"/>
        <v>0</v>
      </c>
      <c r="AS128" s="81">
        <f t="shared" si="573"/>
        <v>100</v>
      </c>
      <c r="AT128" s="81">
        <f t="shared" si="574"/>
        <v>0</v>
      </c>
      <c r="AU128" s="81">
        <f t="shared" si="575"/>
        <v>100</v>
      </c>
      <c r="AV128" s="81">
        <f t="shared" si="576"/>
        <v>0</v>
      </c>
      <c r="AW128" s="81">
        <f t="shared" si="577"/>
        <v>0</v>
      </c>
      <c r="AX128" s="81">
        <f t="shared" si="578"/>
        <v>0</v>
      </c>
      <c r="AY128" s="81">
        <f t="shared" si="579"/>
        <v>0</v>
      </c>
      <c r="AZ128" s="81">
        <f t="shared" si="580"/>
        <v>0</v>
      </c>
    </row>
    <row r="129" spans="1:52" s="209" customFormat="1" ht="20.25" customHeight="1">
      <c r="A129" s="399"/>
      <c r="B129" s="240" t="s">
        <v>146</v>
      </c>
      <c r="C129" s="261">
        <v>28</v>
      </c>
      <c r="D129" s="164">
        <v>45961</v>
      </c>
      <c r="E129" s="164">
        <v>45961</v>
      </c>
      <c r="F129" s="261">
        <v>8</v>
      </c>
      <c r="G129" s="261">
        <v>0</v>
      </c>
      <c r="H129" s="235">
        <f>F129+G129</f>
        <v>8</v>
      </c>
      <c r="I129" s="261">
        <v>0</v>
      </c>
      <c r="J129" s="261">
        <v>0</v>
      </c>
      <c r="K129" s="235">
        <f t="shared" si="557"/>
        <v>8</v>
      </c>
      <c r="L129" s="261">
        <v>0</v>
      </c>
      <c r="M129" s="261">
        <v>0</v>
      </c>
      <c r="N129" s="261">
        <v>8</v>
      </c>
      <c r="O129" s="261">
        <v>1</v>
      </c>
      <c r="P129" s="261">
        <v>0</v>
      </c>
      <c r="Q129" s="261">
        <v>0</v>
      </c>
      <c r="R129" s="261">
        <v>0</v>
      </c>
      <c r="S129" s="261">
        <v>0</v>
      </c>
      <c r="T129" s="261">
        <v>0</v>
      </c>
      <c r="U129" s="261">
        <v>0</v>
      </c>
      <c r="V129" s="261">
        <v>0</v>
      </c>
      <c r="W129" s="261">
        <v>2</v>
      </c>
      <c r="X129" s="261">
        <v>0</v>
      </c>
      <c r="Y129" s="261">
        <v>0</v>
      </c>
      <c r="Z129" s="261">
        <v>0</v>
      </c>
      <c r="AA129" s="261">
        <v>0</v>
      </c>
      <c r="AB129" s="261">
        <v>0</v>
      </c>
      <c r="AC129" s="261">
        <v>3</v>
      </c>
      <c r="AD129" s="261">
        <v>1</v>
      </c>
      <c r="AE129" s="261">
        <v>0</v>
      </c>
      <c r="AF129" s="261">
        <v>0</v>
      </c>
      <c r="AG129" s="261">
        <v>0</v>
      </c>
      <c r="AH129" s="261">
        <v>0</v>
      </c>
      <c r="AI129" s="261">
        <v>0</v>
      </c>
      <c r="AJ129" s="261">
        <v>0</v>
      </c>
      <c r="AK129" s="298">
        <f t="shared" si="565"/>
        <v>0</v>
      </c>
      <c r="AL129" s="298">
        <f t="shared" si="566"/>
        <v>5</v>
      </c>
      <c r="AM129" s="298">
        <f t="shared" si="567"/>
        <v>5</v>
      </c>
      <c r="AN129" s="298">
        <f t="shared" si="568"/>
        <v>1</v>
      </c>
      <c r="AO129" s="189">
        <f t="shared" si="569"/>
        <v>12.5</v>
      </c>
      <c r="AP129" s="189">
        <f t="shared" si="570"/>
        <v>12.5</v>
      </c>
      <c r="AQ129" s="189">
        <f t="shared" si="571"/>
        <v>20</v>
      </c>
      <c r="AR129" s="81">
        <f t="shared" si="572"/>
        <v>0</v>
      </c>
      <c r="AS129" s="81">
        <f t="shared" si="573"/>
        <v>100</v>
      </c>
      <c r="AT129" s="81">
        <f t="shared" si="574"/>
        <v>0</v>
      </c>
      <c r="AU129" s="81">
        <f t="shared" si="575"/>
        <v>0</v>
      </c>
      <c r="AV129" s="81">
        <f t="shared" si="576"/>
        <v>0</v>
      </c>
      <c r="AW129" s="81">
        <f t="shared" si="577"/>
        <v>0</v>
      </c>
      <c r="AX129" s="81">
        <f t="shared" si="578"/>
        <v>100</v>
      </c>
      <c r="AY129" s="81">
        <f t="shared" si="579"/>
        <v>0</v>
      </c>
      <c r="AZ129" s="81">
        <f t="shared" si="580"/>
        <v>0</v>
      </c>
    </row>
    <row r="130" spans="1:52" s="3" customFormat="1" ht="20.25" customHeight="1">
      <c r="A130" s="394" t="s">
        <v>215</v>
      </c>
      <c r="B130" s="77" t="s">
        <v>247</v>
      </c>
      <c r="C130" s="77">
        <f>C131</f>
        <v>113</v>
      </c>
      <c r="D130" s="217">
        <f>D131</f>
        <v>45943</v>
      </c>
      <c r="E130" s="217">
        <f>E131</f>
        <v>45958</v>
      </c>
      <c r="F130" s="77">
        <f>F131</f>
        <v>32</v>
      </c>
      <c r="G130" s="77">
        <f t="shared" ref="G130:AJ130" si="581">G131</f>
        <v>0</v>
      </c>
      <c r="H130" s="77">
        <f t="shared" si="581"/>
        <v>32</v>
      </c>
      <c r="I130" s="77">
        <f t="shared" si="581"/>
        <v>0</v>
      </c>
      <c r="J130" s="77">
        <f t="shared" si="581"/>
        <v>0</v>
      </c>
      <c r="K130" s="77">
        <f t="shared" si="581"/>
        <v>0</v>
      </c>
      <c r="L130" s="77">
        <f t="shared" si="581"/>
        <v>0</v>
      </c>
      <c r="M130" s="77">
        <f t="shared" si="581"/>
        <v>0</v>
      </c>
      <c r="N130" s="77">
        <f t="shared" si="581"/>
        <v>32</v>
      </c>
      <c r="O130" s="77">
        <f t="shared" si="581"/>
        <v>4</v>
      </c>
      <c r="P130" s="77">
        <f t="shared" si="581"/>
        <v>0</v>
      </c>
      <c r="Q130" s="77">
        <f t="shared" si="581"/>
        <v>0</v>
      </c>
      <c r="R130" s="77">
        <f t="shared" si="581"/>
        <v>0</v>
      </c>
      <c r="S130" s="77">
        <f t="shared" si="581"/>
        <v>0</v>
      </c>
      <c r="T130" s="77">
        <f t="shared" si="581"/>
        <v>5</v>
      </c>
      <c r="U130" s="77">
        <f t="shared" si="581"/>
        <v>1</v>
      </c>
      <c r="V130" s="77">
        <f t="shared" si="581"/>
        <v>0</v>
      </c>
      <c r="W130" s="77">
        <f t="shared" si="581"/>
        <v>9</v>
      </c>
      <c r="X130" s="77">
        <f t="shared" si="581"/>
        <v>0</v>
      </c>
      <c r="Y130" s="77">
        <f t="shared" si="581"/>
        <v>0</v>
      </c>
      <c r="Z130" s="77">
        <f t="shared" si="581"/>
        <v>2</v>
      </c>
      <c r="AA130" s="77">
        <f t="shared" si="581"/>
        <v>0</v>
      </c>
      <c r="AB130" s="77">
        <f t="shared" si="581"/>
        <v>0</v>
      </c>
      <c r="AC130" s="77">
        <f t="shared" si="581"/>
        <v>15</v>
      </c>
      <c r="AD130" s="77">
        <f t="shared" si="581"/>
        <v>4</v>
      </c>
      <c r="AE130" s="77">
        <f t="shared" si="581"/>
        <v>0</v>
      </c>
      <c r="AF130" s="77">
        <f t="shared" si="581"/>
        <v>15</v>
      </c>
      <c r="AG130" s="77">
        <f t="shared" si="581"/>
        <v>0</v>
      </c>
      <c r="AH130" s="77">
        <f t="shared" si="581"/>
        <v>0</v>
      </c>
      <c r="AI130" s="77">
        <f t="shared" si="581"/>
        <v>0</v>
      </c>
      <c r="AJ130" s="77">
        <f t="shared" si="581"/>
        <v>0</v>
      </c>
      <c r="AK130" s="77">
        <f>P130+S130+V130+Y130+AB130+AE130+AH130</f>
        <v>0</v>
      </c>
      <c r="AL130" s="77">
        <f>Q130+T130+W130+Z130+AC130+AF130+AI130</f>
        <v>46</v>
      </c>
      <c r="AM130" s="77">
        <f>AK130+AL130</f>
        <v>46</v>
      </c>
      <c r="AN130" s="77">
        <f>R130+U130+X130+AA130+AD130+AG130+AJ130</f>
        <v>5</v>
      </c>
      <c r="AO130" s="188">
        <f>O130/H130*100</f>
        <v>12.5</v>
      </c>
      <c r="AP130" s="188">
        <f>AN130/H130*100</f>
        <v>15.625</v>
      </c>
      <c r="AQ130" s="188">
        <f>AN130/AM130*100</f>
        <v>10.869565217391305</v>
      </c>
      <c r="AR130" s="88">
        <f t="shared" ref="AR130:AR131" si="582">AK130/AM130*100</f>
        <v>0</v>
      </c>
      <c r="AS130" s="88">
        <f t="shared" ref="AS130:AS131" si="583">AL130/AM130*100</f>
        <v>100</v>
      </c>
      <c r="AT130" s="88">
        <f t="shared" ref="AT130:AT132" si="584">R130/AN130*100</f>
        <v>0</v>
      </c>
      <c r="AU130" s="88">
        <f t="shared" ref="AU130:AU132" si="585">U130/AN130*100</f>
        <v>20</v>
      </c>
      <c r="AV130" s="88">
        <f t="shared" ref="AV130:AV132" si="586">X130/AN130*100</f>
        <v>0</v>
      </c>
      <c r="AW130" s="88">
        <f t="shared" ref="AW130:AW132" si="587">AA130/AN130*100</f>
        <v>0</v>
      </c>
      <c r="AX130" s="88">
        <f t="shared" ref="AX130:AX132" si="588">AD130/AN130*100</f>
        <v>80</v>
      </c>
      <c r="AY130" s="88">
        <f t="shared" ref="AY130:AY132" si="589">AG130/AN130*100</f>
        <v>0</v>
      </c>
      <c r="AZ130" s="88">
        <f t="shared" ref="AZ130:AZ132" si="590">AJ130/AN130*100</f>
        <v>0</v>
      </c>
    </row>
    <row r="131" spans="1:52" s="209" customFormat="1" ht="20.25" customHeight="1">
      <c r="A131" s="396"/>
      <c r="B131" s="240" t="s">
        <v>221</v>
      </c>
      <c r="C131" s="261">
        <v>113</v>
      </c>
      <c r="D131" s="164">
        <v>45943</v>
      </c>
      <c r="E131" s="164">
        <v>45958</v>
      </c>
      <c r="F131" s="261">
        <v>32</v>
      </c>
      <c r="G131" s="261">
        <v>0</v>
      </c>
      <c r="H131" s="235">
        <f>F131+G131</f>
        <v>32</v>
      </c>
      <c r="I131" s="261">
        <v>0</v>
      </c>
      <c r="J131" s="261">
        <v>0</v>
      </c>
      <c r="K131" s="235">
        <f>I131+J131</f>
        <v>0</v>
      </c>
      <c r="L131" s="261">
        <v>0</v>
      </c>
      <c r="M131" s="261">
        <v>0</v>
      </c>
      <c r="N131" s="261">
        <v>32</v>
      </c>
      <c r="O131" s="261">
        <v>4</v>
      </c>
      <c r="P131" s="261">
        <v>0</v>
      </c>
      <c r="Q131" s="261">
        <v>0</v>
      </c>
      <c r="R131" s="261">
        <v>0</v>
      </c>
      <c r="S131" s="261">
        <v>0</v>
      </c>
      <c r="T131" s="261">
        <v>5</v>
      </c>
      <c r="U131" s="261">
        <v>1</v>
      </c>
      <c r="V131" s="261">
        <v>0</v>
      </c>
      <c r="W131" s="261">
        <v>9</v>
      </c>
      <c r="X131" s="261">
        <v>0</v>
      </c>
      <c r="Y131" s="261">
        <v>0</v>
      </c>
      <c r="Z131" s="261">
        <v>2</v>
      </c>
      <c r="AA131" s="261">
        <v>0</v>
      </c>
      <c r="AB131" s="261">
        <v>0</v>
      </c>
      <c r="AC131" s="261">
        <v>15</v>
      </c>
      <c r="AD131" s="261">
        <v>4</v>
      </c>
      <c r="AE131" s="261">
        <v>0</v>
      </c>
      <c r="AF131" s="261">
        <v>15</v>
      </c>
      <c r="AG131" s="261">
        <v>0</v>
      </c>
      <c r="AH131" s="261">
        <v>0</v>
      </c>
      <c r="AI131" s="261">
        <v>0</v>
      </c>
      <c r="AJ131" s="261">
        <v>0</v>
      </c>
      <c r="AK131" s="290">
        <f t="shared" ref="AK131" si="591">P131+S131+V131+Y131+AB131+AE131+AH131</f>
        <v>0</v>
      </c>
      <c r="AL131" s="290">
        <f t="shared" ref="AL131" si="592">Q131+T131+W131+Z131+AC131+AF131+AI131</f>
        <v>46</v>
      </c>
      <c r="AM131" s="290">
        <f t="shared" ref="AM131" si="593">AK131+AL131</f>
        <v>46</v>
      </c>
      <c r="AN131" s="290">
        <f t="shared" ref="AN131" si="594">R131+U131+X131+AA131+AD131+AG131+AJ131</f>
        <v>5</v>
      </c>
      <c r="AO131" s="189">
        <f t="shared" ref="AO131" si="595">O131/H131*100</f>
        <v>12.5</v>
      </c>
      <c r="AP131" s="189">
        <f t="shared" ref="AP131" si="596">AN131/H131*100</f>
        <v>15.625</v>
      </c>
      <c r="AQ131" s="189">
        <f t="shared" ref="AQ131" si="597">AN131/AM131*100</f>
        <v>10.869565217391305</v>
      </c>
      <c r="AR131" s="81">
        <f t="shared" si="582"/>
        <v>0</v>
      </c>
      <c r="AS131" s="81">
        <f t="shared" si="583"/>
        <v>100</v>
      </c>
      <c r="AT131" s="81">
        <f t="shared" si="584"/>
        <v>0</v>
      </c>
      <c r="AU131" s="81">
        <f t="shared" si="585"/>
        <v>20</v>
      </c>
      <c r="AV131" s="81">
        <f t="shared" si="586"/>
        <v>0</v>
      </c>
      <c r="AW131" s="81">
        <f t="shared" si="587"/>
        <v>0</v>
      </c>
      <c r="AX131" s="81">
        <f t="shared" si="588"/>
        <v>80</v>
      </c>
      <c r="AY131" s="81">
        <f t="shared" si="589"/>
        <v>0</v>
      </c>
      <c r="AZ131" s="81">
        <f t="shared" si="590"/>
        <v>0</v>
      </c>
    </row>
    <row r="132" spans="1:52" s="3" customFormat="1" ht="20.25" customHeight="1">
      <c r="A132" s="83" t="s">
        <v>291</v>
      </c>
      <c r="B132" s="83">
        <f>COUNTA(B124:B131)-1</f>
        <v>7</v>
      </c>
      <c r="C132" s="83">
        <f>C123+C130</f>
        <v>1625</v>
      </c>
      <c r="D132" s="104">
        <f>MIN(D124:D131)</f>
        <v>45936</v>
      </c>
      <c r="E132" s="104">
        <f>MAX(E124:E131)</f>
        <v>45961</v>
      </c>
      <c r="F132" s="83">
        <f>F123+F130</f>
        <v>442</v>
      </c>
      <c r="G132" s="83">
        <f t="shared" ref="G132:N132" si="598">G123+G130</f>
        <v>0</v>
      </c>
      <c r="H132" s="83">
        <f t="shared" si="598"/>
        <v>442</v>
      </c>
      <c r="I132" s="83">
        <f t="shared" si="598"/>
        <v>0</v>
      </c>
      <c r="J132" s="83">
        <f t="shared" si="598"/>
        <v>0</v>
      </c>
      <c r="K132" s="83">
        <f t="shared" si="598"/>
        <v>410</v>
      </c>
      <c r="L132" s="83">
        <f t="shared" si="598"/>
        <v>0</v>
      </c>
      <c r="M132" s="83">
        <f t="shared" si="598"/>
        <v>0</v>
      </c>
      <c r="N132" s="83">
        <f t="shared" si="598"/>
        <v>442</v>
      </c>
      <c r="O132" s="83">
        <f>O123+O130</f>
        <v>13</v>
      </c>
      <c r="P132" s="83">
        <f t="shared" ref="P132:AJ132" si="599">P123+P130</f>
        <v>0</v>
      </c>
      <c r="Q132" s="83">
        <f t="shared" si="599"/>
        <v>0</v>
      </c>
      <c r="R132" s="83">
        <f t="shared" si="599"/>
        <v>0</v>
      </c>
      <c r="S132" s="83">
        <f t="shared" si="599"/>
        <v>0</v>
      </c>
      <c r="T132" s="83">
        <f t="shared" si="599"/>
        <v>23</v>
      </c>
      <c r="U132" s="83">
        <f t="shared" si="599"/>
        <v>6</v>
      </c>
      <c r="V132" s="83">
        <f t="shared" si="599"/>
        <v>0</v>
      </c>
      <c r="W132" s="83">
        <f t="shared" si="599"/>
        <v>73</v>
      </c>
      <c r="X132" s="83">
        <f t="shared" si="599"/>
        <v>0</v>
      </c>
      <c r="Y132" s="83">
        <f t="shared" si="599"/>
        <v>0</v>
      </c>
      <c r="Z132" s="83">
        <f t="shared" si="599"/>
        <v>34</v>
      </c>
      <c r="AA132" s="83">
        <f t="shared" si="599"/>
        <v>1</v>
      </c>
      <c r="AB132" s="83">
        <f t="shared" si="599"/>
        <v>2</v>
      </c>
      <c r="AC132" s="83">
        <f t="shared" si="599"/>
        <v>124</v>
      </c>
      <c r="AD132" s="83">
        <f t="shared" si="599"/>
        <v>6</v>
      </c>
      <c r="AE132" s="83">
        <f t="shared" si="599"/>
        <v>20</v>
      </c>
      <c r="AF132" s="83">
        <f t="shared" si="599"/>
        <v>89</v>
      </c>
      <c r="AG132" s="83">
        <f t="shared" si="599"/>
        <v>1</v>
      </c>
      <c r="AH132" s="83">
        <f t="shared" si="599"/>
        <v>0</v>
      </c>
      <c r="AI132" s="83">
        <f t="shared" si="599"/>
        <v>0</v>
      </c>
      <c r="AJ132" s="83">
        <f t="shared" si="599"/>
        <v>0</v>
      </c>
      <c r="AK132" s="83">
        <f>P132+S132+V132+Y132+AB132+AE132+AH132</f>
        <v>22</v>
      </c>
      <c r="AL132" s="83">
        <f>Q132+T132+W132+Z132+AC132+AF132+AI132</f>
        <v>343</v>
      </c>
      <c r="AM132" s="83">
        <f>AK132+AL132</f>
        <v>365</v>
      </c>
      <c r="AN132" s="83">
        <f>R132+U132+X132+AA132+AD132+AG132+AJ132</f>
        <v>14</v>
      </c>
      <c r="AO132" s="190">
        <f>O132/H132*100</f>
        <v>2.9411764705882351</v>
      </c>
      <c r="AP132" s="190">
        <f>AN132/H132*100</f>
        <v>3.1674208144796379</v>
      </c>
      <c r="AQ132" s="190">
        <f>AN132/AM132*100</f>
        <v>3.8356164383561646</v>
      </c>
      <c r="AR132" s="85">
        <f>AK132/AM132*100</f>
        <v>6.0273972602739727</v>
      </c>
      <c r="AS132" s="85">
        <f>AL132/AM132*100</f>
        <v>93.972602739726028</v>
      </c>
      <c r="AT132" s="85">
        <f t="shared" si="584"/>
        <v>0</v>
      </c>
      <c r="AU132" s="85">
        <f t="shared" si="585"/>
        <v>42.857142857142854</v>
      </c>
      <c r="AV132" s="85">
        <f t="shared" si="586"/>
        <v>0</v>
      </c>
      <c r="AW132" s="85">
        <f t="shared" si="587"/>
        <v>7.1428571428571423</v>
      </c>
      <c r="AX132" s="85">
        <f t="shared" si="588"/>
        <v>42.857142857142854</v>
      </c>
      <c r="AY132" s="85">
        <f t="shared" si="589"/>
        <v>7.1428571428571423</v>
      </c>
      <c r="AZ132" s="85">
        <f t="shared" si="590"/>
        <v>0</v>
      </c>
    </row>
    <row r="133" spans="1:52" s="3" customFormat="1" ht="20.25" customHeight="1">
      <c r="A133" s="400" t="s">
        <v>215</v>
      </c>
      <c r="B133" s="77" t="s">
        <v>247</v>
      </c>
      <c r="C133" s="77">
        <f>SUM(C134,C136)</f>
        <v>537</v>
      </c>
      <c r="D133" s="217">
        <f>D134</f>
        <v>45968</v>
      </c>
      <c r="E133" s="217">
        <f>E134</f>
        <v>45974</v>
      </c>
      <c r="F133" s="77">
        <f>SUM(F134,F136)</f>
        <v>150</v>
      </c>
      <c r="G133" s="77">
        <f t="shared" ref="G133:AJ133" si="600">SUM(G134,G136)</f>
        <v>0</v>
      </c>
      <c r="H133" s="77">
        <f t="shared" si="600"/>
        <v>150</v>
      </c>
      <c r="I133" s="77">
        <f t="shared" si="600"/>
        <v>0</v>
      </c>
      <c r="J133" s="77">
        <f t="shared" si="600"/>
        <v>0</v>
      </c>
      <c r="K133" s="77">
        <f t="shared" si="600"/>
        <v>0</v>
      </c>
      <c r="L133" s="77">
        <f t="shared" si="600"/>
        <v>0</v>
      </c>
      <c r="M133" s="77">
        <f t="shared" si="600"/>
        <v>0</v>
      </c>
      <c r="N133" s="77">
        <f t="shared" si="600"/>
        <v>150</v>
      </c>
      <c r="O133" s="77">
        <f t="shared" si="600"/>
        <v>3</v>
      </c>
      <c r="P133" s="77">
        <f t="shared" si="600"/>
        <v>0</v>
      </c>
      <c r="Q133" s="77">
        <f t="shared" si="600"/>
        <v>0</v>
      </c>
      <c r="R133" s="77">
        <f t="shared" si="600"/>
        <v>0</v>
      </c>
      <c r="S133" s="77">
        <f t="shared" si="600"/>
        <v>0</v>
      </c>
      <c r="T133" s="77">
        <f t="shared" si="600"/>
        <v>4</v>
      </c>
      <c r="U133" s="77">
        <f t="shared" si="600"/>
        <v>0</v>
      </c>
      <c r="V133" s="77">
        <f t="shared" si="600"/>
        <v>2</v>
      </c>
      <c r="W133" s="77">
        <f t="shared" si="600"/>
        <v>37</v>
      </c>
      <c r="X133" s="77">
        <f t="shared" si="600"/>
        <v>3</v>
      </c>
      <c r="Y133" s="77">
        <f t="shared" si="600"/>
        <v>1</v>
      </c>
      <c r="Z133" s="77">
        <f t="shared" si="600"/>
        <v>3</v>
      </c>
      <c r="AA133" s="77">
        <f t="shared" si="600"/>
        <v>0</v>
      </c>
      <c r="AB133" s="77">
        <f t="shared" si="600"/>
        <v>1</v>
      </c>
      <c r="AC133" s="77">
        <f t="shared" si="600"/>
        <v>41</v>
      </c>
      <c r="AD133" s="77">
        <f t="shared" si="600"/>
        <v>1</v>
      </c>
      <c r="AE133" s="77">
        <f t="shared" si="600"/>
        <v>9</v>
      </c>
      <c r="AF133" s="77">
        <f t="shared" si="600"/>
        <v>13</v>
      </c>
      <c r="AG133" s="77">
        <f t="shared" si="600"/>
        <v>0</v>
      </c>
      <c r="AH133" s="77">
        <f t="shared" si="600"/>
        <v>0</v>
      </c>
      <c r="AI133" s="77">
        <f t="shared" si="600"/>
        <v>4</v>
      </c>
      <c r="AJ133" s="77">
        <f t="shared" si="600"/>
        <v>0</v>
      </c>
      <c r="AK133" s="77">
        <f>P133+S133+V133+Y133+AB133+AE133+AH133</f>
        <v>13</v>
      </c>
      <c r="AL133" s="77">
        <f>Q133+T133+W133+Z133+AC133+AF133+AI133</f>
        <v>102</v>
      </c>
      <c r="AM133" s="77">
        <f>AK133+AL133</f>
        <v>115</v>
      </c>
      <c r="AN133" s="77">
        <f>R133+U133+X133+AA133+AD133+AG133+AJ133</f>
        <v>4</v>
      </c>
      <c r="AO133" s="188">
        <f>O133/H133*100</f>
        <v>2</v>
      </c>
      <c r="AP133" s="188">
        <f>AN133/H133*100</f>
        <v>2.666666666666667</v>
      </c>
      <c r="AQ133" s="188">
        <f>AN133/AM133*100</f>
        <v>3.4782608695652173</v>
      </c>
      <c r="AR133" s="88">
        <f t="shared" ref="AR133:AR136" si="601">AK133/AM133*100</f>
        <v>11.304347826086957</v>
      </c>
      <c r="AS133" s="88">
        <f t="shared" ref="AS133:AS136" si="602">AL133/AM133*100</f>
        <v>88.695652173913047</v>
      </c>
      <c r="AT133" s="88">
        <f t="shared" ref="AT133:AT136" si="603">R133/AN133*100</f>
        <v>0</v>
      </c>
      <c r="AU133" s="88">
        <f t="shared" ref="AU133:AU136" si="604">U133/AN133*100</f>
        <v>0</v>
      </c>
      <c r="AV133" s="88">
        <f t="shared" ref="AV133:AV136" si="605">X133/AN133*100</f>
        <v>75</v>
      </c>
      <c r="AW133" s="88">
        <f t="shared" ref="AW133:AW136" si="606">AA133/AN133*100</f>
        <v>0</v>
      </c>
      <c r="AX133" s="88">
        <f t="shared" ref="AX133:AX136" si="607">AD133/AN133*100</f>
        <v>25</v>
      </c>
      <c r="AY133" s="88">
        <f t="shared" ref="AY133:AY136" si="608">AG133/AN133*100</f>
        <v>0</v>
      </c>
      <c r="AZ133" s="88">
        <f t="shared" ref="AZ133:AZ136" si="609">AJ133/AN133*100</f>
        <v>0</v>
      </c>
    </row>
    <row r="134" spans="1:52" s="209" customFormat="1" ht="20.25" customHeight="1">
      <c r="A134" s="401"/>
      <c r="B134" s="240" t="s">
        <v>221</v>
      </c>
      <c r="C134" s="261">
        <v>508</v>
      </c>
      <c r="D134" s="164">
        <v>45968</v>
      </c>
      <c r="E134" s="164">
        <v>45974</v>
      </c>
      <c r="F134" s="261">
        <v>140</v>
      </c>
      <c r="G134" s="261">
        <v>0</v>
      </c>
      <c r="H134" s="235">
        <f>F134+G134</f>
        <v>140</v>
      </c>
      <c r="I134" s="261">
        <v>0</v>
      </c>
      <c r="J134" s="261">
        <v>0</v>
      </c>
      <c r="K134" s="235">
        <f>I134+J134</f>
        <v>0</v>
      </c>
      <c r="L134" s="261">
        <v>0</v>
      </c>
      <c r="M134" s="261">
        <v>0</v>
      </c>
      <c r="N134" s="261">
        <v>140</v>
      </c>
      <c r="O134" s="261">
        <v>2</v>
      </c>
      <c r="P134" s="261">
        <v>0</v>
      </c>
      <c r="Q134" s="261">
        <v>0</v>
      </c>
      <c r="R134" s="261">
        <v>0</v>
      </c>
      <c r="S134" s="261">
        <v>0</v>
      </c>
      <c r="T134" s="261">
        <v>4</v>
      </c>
      <c r="U134" s="261">
        <v>0</v>
      </c>
      <c r="V134" s="261">
        <v>2</v>
      </c>
      <c r="W134" s="261">
        <v>33</v>
      </c>
      <c r="X134" s="261">
        <v>3</v>
      </c>
      <c r="Y134" s="261">
        <v>1</v>
      </c>
      <c r="Z134" s="261">
        <v>3</v>
      </c>
      <c r="AA134" s="261">
        <v>0</v>
      </c>
      <c r="AB134" s="261">
        <v>0</v>
      </c>
      <c r="AC134" s="261">
        <v>37</v>
      </c>
      <c r="AD134" s="261">
        <v>0</v>
      </c>
      <c r="AE134" s="261">
        <v>9</v>
      </c>
      <c r="AF134" s="261">
        <v>13</v>
      </c>
      <c r="AG134" s="261">
        <v>0</v>
      </c>
      <c r="AH134" s="261">
        <v>0</v>
      </c>
      <c r="AI134" s="261">
        <v>4</v>
      </c>
      <c r="AJ134" s="261">
        <v>0</v>
      </c>
      <c r="AK134" s="298">
        <f t="shared" ref="AK134:AK136" si="610">P134+S134+V134+Y134+AB134+AE134+AH134</f>
        <v>12</v>
      </c>
      <c r="AL134" s="298">
        <f t="shared" ref="AL134:AL136" si="611">Q134+T134+W134+Z134+AC134+AF134+AI134</f>
        <v>94</v>
      </c>
      <c r="AM134" s="298">
        <f t="shared" ref="AM134:AM136" si="612">AK134+AL134</f>
        <v>106</v>
      </c>
      <c r="AN134" s="298">
        <f t="shared" ref="AN134:AN136" si="613">R134+U134+X134+AA134+AD134+AG134+AJ134</f>
        <v>3</v>
      </c>
      <c r="AO134" s="189">
        <f t="shared" ref="AO134:AO136" si="614">O134/H134*100</f>
        <v>1.4285714285714286</v>
      </c>
      <c r="AP134" s="189">
        <f t="shared" ref="AP134:AP136" si="615">AN134/H134*100</f>
        <v>2.1428571428571428</v>
      </c>
      <c r="AQ134" s="189">
        <f t="shared" ref="AQ134:AQ136" si="616">AN134/AM134*100</f>
        <v>2.8301886792452833</v>
      </c>
      <c r="AR134" s="81">
        <f t="shared" si="601"/>
        <v>11.320754716981133</v>
      </c>
      <c r="AS134" s="81">
        <f t="shared" si="602"/>
        <v>88.679245283018872</v>
      </c>
      <c r="AT134" s="81">
        <f t="shared" si="603"/>
        <v>0</v>
      </c>
      <c r="AU134" s="81">
        <f t="shared" si="604"/>
        <v>0</v>
      </c>
      <c r="AV134" s="81">
        <f t="shared" si="605"/>
        <v>100</v>
      </c>
      <c r="AW134" s="81">
        <f t="shared" si="606"/>
        <v>0</v>
      </c>
      <c r="AX134" s="81">
        <f t="shared" si="607"/>
        <v>0</v>
      </c>
      <c r="AY134" s="81">
        <f t="shared" si="608"/>
        <v>0</v>
      </c>
      <c r="AZ134" s="81">
        <f t="shared" si="609"/>
        <v>0</v>
      </c>
    </row>
    <row r="135" spans="1:52" s="209" customFormat="1" ht="20.25" customHeight="1">
      <c r="A135" s="401"/>
      <c r="B135" s="240" t="s">
        <v>221</v>
      </c>
      <c r="C135" s="261">
        <v>47</v>
      </c>
      <c r="D135" s="164">
        <v>45988</v>
      </c>
      <c r="E135" s="164">
        <v>45988</v>
      </c>
      <c r="F135" s="261">
        <v>11</v>
      </c>
      <c r="G135" s="261">
        <v>0</v>
      </c>
      <c r="H135" s="235">
        <f t="shared" ref="H135:H136" si="617">F135+G135</f>
        <v>11</v>
      </c>
      <c r="I135" s="261">
        <v>0</v>
      </c>
      <c r="J135" s="261">
        <v>0</v>
      </c>
      <c r="K135" s="235">
        <f t="shared" ref="K135:K136" si="618">I135+J135</f>
        <v>0</v>
      </c>
      <c r="L135" s="261">
        <v>0</v>
      </c>
      <c r="M135" s="261">
        <v>0</v>
      </c>
      <c r="N135" s="261">
        <v>11</v>
      </c>
      <c r="O135" s="261">
        <v>1</v>
      </c>
      <c r="P135" s="261">
        <v>0</v>
      </c>
      <c r="Q135" s="261">
        <v>0</v>
      </c>
      <c r="R135" s="261">
        <v>0</v>
      </c>
      <c r="S135" s="261">
        <v>0</v>
      </c>
      <c r="T135" s="261">
        <v>2</v>
      </c>
      <c r="U135" s="261">
        <v>0</v>
      </c>
      <c r="V135" s="261">
        <v>0</v>
      </c>
      <c r="W135" s="261">
        <v>2</v>
      </c>
      <c r="X135" s="261">
        <v>1</v>
      </c>
      <c r="Y135" s="261">
        <v>0</v>
      </c>
      <c r="Z135" s="261">
        <v>0</v>
      </c>
      <c r="AA135" s="261">
        <v>0</v>
      </c>
      <c r="AB135" s="261">
        <v>0</v>
      </c>
      <c r="AC135" s="261">
        <v>6</v>
      </c>
      <c r="AD135" s="261">
        <v>0</v>
      </c>
      <c r="AE135" s="261">
        <v>0</v>
      </c>
      <c r="AF135" s="261">
        <v>3</v>
      </c>
      <c r="AG135" s="261">
        <v>0</v>
      </c>
      <c r="AH135" s="261">
        <v>0</v>
      </c>
      <c r="AI135" s="261">
        <v>0</v>
      </c>
      <c r="AJ135" s="261">
        <v>0</v>
      </c>
      <c r="AK135" s="298">
        <f t="shared" si="610"/>
        <v>0</v>
      </c>
      <c r="AL135" s="298">
        <f t="shared" si="611"/>
        <v>13</v>
      </c>
      <c r="AM135" s="298">
        <f t="shared" si="612"/>
        <v>13</v>
      </c>
      <c r="AN135" s="298">
        <f t="shared" si="613"/>
        <v>1</v>
      </c>
      <c r="AO135" s="189">
        <f t="shared" si="614"/>
        <v>9.0909090909090917</v>
      </c>
      <c r="AP135" s="189">
        <f t="shared" si="615"/>
        <v>9.0909090909090917</v>
      </c>
      <c r="AQ135" s="189">
        <f t="shared" si="616"/>
        <v>7.6923076923076925</v>
      </c>
      <c r="AR135" s="81">
        <f t="shared" si="601"/>
        <v>0</v>
      </c>
      <c r="AS135" s="81">
        <f t="shared" si="602"/>
        <v>100</v>
      </c>
      <c r="AT135" s="81">
        <f t="shared" si="603"/>
        <v>0</v>
      </c>
      <c r="AU135" s="81">
        <f t="shared" si="604"/>
        <v>0</v>
      </c>
      <c r="AV135" s="81">
        <f t="shared" si="605"/>
        <v>100</v>
      </c>
      <c r="AW135" s="81">
        <f t="shared" si="606"/>
        <v>0</v>
      </c>
      <c r="AX135" s="81">
        <f t="shared" si="607"/>
        <v>0</v>
      </c>
      <c r="AY135" s="81">
        <f t="shared" si="608"/>
        <v>0</v>
      </c>
      <c r="AZ135" s="81">
        <f t="shared" si="609"/>
        <v>0</v>
      </c>
    </row>
    <row r="136" spans="1:52" s="209" customFormat="1" ht="20.25" customHeight="1">
      <c r="A136" s="401"/>
      <c r="B136" s="296" t="s">
        <v>172</v>
      </c>
      <c r="C136" s="261">
        <v>29</v>
      </c>
      <c r="D136" s="164">
        <v>45989</v>
      </c>
      <c r="E136" s="164">
        <v>45989</v>
      </c>
      <c r="F136" s="261">
        <v>10</v>
      </c>
      <c r="G136" s="261">
        <v>0</v>
      </c>
      <c r="H136" s="235">
        <f t="shared" si="617"/>
        <v>10</v>
      </c>
      <c r="I136" s="261">
        <v>0</v>
      </c>
      <c r="J136" s="261">
        <v>0</v>
      </c>
      <c r="K136" s="235">
        <f t="shared" si="618"/>
        <v>0</v>
      </c>
      <c r="L136" s="261">
        <v>0</v>
      </c>
      <c r="M136" s="261">
        <v>0</v>
      </c>
      <c r="N136" s="261">
        <v>10</v>
      </c>
      <c r="O136" s="261">
        <v>1</v>
      </c>
      <c r="P136" s="261">
        <v>0</v>
      </c>
      <c r="Q136" s="261">
        <v>0</v>
      </c>
      <c r="R136" s="261">
        <v>0</v>
      </c>
      <c r="S136" s="261">
        <v>0</v>
      </c>
      <c r="T136" s="261">
        <v>0</v>
      </c>
      <c r="U136" s="261">
        <v>0</v>
      </c>
      <c r="V136" s="261">
        <v>0</v>
      </c>
      <c r="W136" s="261">
        <v>4</v>
      </c>
      <c r="X136" s="261">
        <v>0</v>
      </c>
      <c r="Y136" s="261">
        <v>0</v>
      </c>
      <c r="Z136" s="261">
        <v>0</v>
      </c>
      <c r="AA136" s="261">
        <v>0</v>
      </c>
      <c r="AB136" s="261">
        <v>1</v>
      </c>
      <c r="AC136" s="261">
        <v>4</v>
      </c>
      <c r="AD136" s="261">
        <v>1</v>
      </c>
      <c r="AE136" s="261">
        <v>0</v>
      </c>
      <c r="AF136" s="261">
        <v>0</v>
      </c>
      <c r="AG136" s="261">
        <v>0</v>
      </c>
      <c r="AH136" s="261">
        <v>0</v>
      </c>
      <c r="AI136" s="261">
        <v>0</v>
      </c>
      <c r="AJ136" s="261">
        <v>0</v>
      </c>
      <c r="AK136" s="298">
        <f t="shared" si="610"/>
        <v>1</v>
      </c>
      <c r="AL136" s="298">
        <f t="shared" si="611"/>
        <v>8</v>
      </c>
      <c r="AM136" s="298">
        <f t="shared" si="612"/>
        <v>9</v>
      </c>
      <c r="AN136" s="298">
        <f t="shared" si="613"/>
        <v>1</v>
      </c>
      <c r="AO136" s="189">
        <f t="shared" si="614"/>
        <v>10</v>
      </c>
      <c r="AP136" s="189">
        <f t="shared" si="615"/>
        <v>10</v>
      </c>
      <c r="AQ136" s="189">
        <f t="shared" si="616"/>
        <v>11.111111111111111</v>
      </c>
      <c r="AR136" s="81">
        <f t="shared" si="601"/>
        <v>11.111111111111111</v>
      </c>
      <c r="AS136" s="81">
        <f t="shared" si="602"/>
        <v>88.888888888888886</v>
      </c>
      <c r="AT136" s="81">
        <f t="shared" si="603"/>
        <v>0</v>
      </c>
      <c r="AU136" s="81">
        <f t="shared" si="604"/>
        <v>0</v>
      </c>
      <c r="AV136" s="81">
        <f t="shared" si="605"/>
        <v>0</v>
      </c>
      <c r="AW136" s="81">
        <f t="shared" si="606"/>
        <v>0</v>
      </c>
      <c r="AX136" s="81">
        <f t="shared" si="607"/>
        <v>100</v>
      </c>
      <c r="AY136" s="81">
        <f t="shared" si="608"/>
        <v>0</v>
      </c>
      <c r="AZ136" s="81">
        <f t="shared" si="609"/>
        <v>0</v>
      </c>
    </row>
    <row r="137" spans="1:52" s="3" customFormat="1" ht="20.25" customHeight="1">
      <c r="A137" s="400" t="s">
        <v>246</v>
      </c>
      <c r="B137" s="77" t="s">
        <v>24</v>
      </c>
      <c r="C137" s="77">
        <f>SUM(C138:C143)</f>
        <v>731</v>
      </c>
      <c r="D137" s="217">
        <f>MIN(D138:D143)</f>
        <v>45973</v>
      </c>
      <c r="E137" s="217">
        <f>MAX(E138:E143)</f>
        <v>45989</v>
      </c>
      <c r="F137" s="77">
        <f>SUM(F138:F143)</f>
        <v>193</v>
      </c>
      <c r="G137" s="77">
        <f t="shared" ref="G137:AJ137" si="619">SUM(G138:G143)</f>
        <v>0</v>
      </c>
      <c r="H137" s="77">
        <f t="shared" si="619"/>
        <v>193</v>
      </c>
      <c r="I137" s="77">
        <f t="shared" si="619"/>
        <v>0</v>
      </c>
      <c r="J137" s="77">
        <f t="shared" si="619"/>
        <v>0</v>
      </c>
      <c r="K137" s="77">
        <f t="shared" si="619"/>
        <v>0</v>
      </c>
      <c r="L137" s="77">
        <f t="shared" si="619"/>
        <v>0</v>
      </c>
      <c r="M137" s="77">
        <f t="shared" si="619"/>
        <v>0</v>
      </c>
      <c r="N137" s="77">
        <f t="shared" si="619"/>
        <v>193</v>
      </c>
      <c r="O137" s="77">
        <f t="shared" si="619"/>
        <v>7</v>
      </c>
      <c r="P137" s="77">
        <f t="shared" si="619"/>
        <v>0</v>
      </c>
      <c r="Q137" s="77">
        <f t="shared" si="619"/>
        <v>0</v>
      </c>
      <c r="R137" s="77">
        <f t="shared" si="619"/>
        <v>0</v>
      </c>
      <c r="S137" s="77">
        <f t="shared" si="619"/>
        <v>0</v>
      </c>
      <c r="T137" s="77">
        <f t="shared" si="619"/>
        <v>12</v>
      </c>
      <c r="U137" s="77">
        <f t="shared" si="619"/>
        <v>3</v>
      </c>
      <c r="V137" s="77">
        <f t="shared" si="619"/>
        <v>1</v>
      </c>
      <c r="W137" s="77">
        <f t="shared" si="619"/>
        <v>40</v>
      </c>
      <c r="X137" s="77">
        <f t="shared" si="619"/>
        <v>2</v>
      </c>
      <c r="Y137" s="77">
        <f t="shared" si="619"/>
        <v>0</v>
      </c>
      <c r="Z137" s="77">
        <f t="shared" si="619"/>
        <v>9</v>
      </c>
      <c r="AA137" s="77">
        <f t="shared" si="619"/>
        <v>0</v>
      </c>
      <c r="AB137" s="77">
        <f t="shared" si="619"/>
        <v>0</v>
      </c>
      <c r="AC137" s="77">
        <f t="shared" si="619"/>
        <v>59</v>
      </c>
      <c r="AD137" s="77">
        <f t="shared" si="619"/>
        <v>2</v>
      </c>
      <c r="AE137" s="77">
        <f t="shared" si="619"/>
        <v>0</v>
      </c>
      <c r="AF137" s="77">
        <f t="shared" si="619"/>
        <v>65</v>
      </c>
      <c r="AG137" s="77">
        <f t="shared" si="619"/>
        <v>0</v>
      </c>
      <c r="AH137" s="77">
        <f t="shared" si="619"/>
        <v>0</v>
      </c>
      <c r="AI137" s="77">
        <f t="shared" si="619"/>
        <v>0</v>
      </c>
      <c r="AJ137" s="77">
        <f t="shared" si="619"/>
        <v>0</v>
      </c>
      <c r="AK137" s="77">
        <f>P137+S137+V137+Y137+AB137+AE137+AH137</f>
        <v>1</v>
      </c>
      <c r="AL137" s="77">
        <f>Q137+T137+W137+Z137+AC137+AF137+AI137</f>
        <v>185</v>
      </c>
      <c r="AM137" s="77">
        <f>AK137+AL137</f>
        <v>186</v>
      </c>
      <c r="AN137" s="77">
        <f>R137+U137+X137+AA137+AD137+AG137+AJ137</f>
        <v>7</v>
      </c>
      <c r="AO137" s="188">
        <f>O137/H137*100</f>
        <v>3.6269430051813467</v>
      </c>
      <c r="AP137" s="188">
        <f>AN137/H137*100</f>
        <v>3.6269430051813467</v>
      </c>
      <c r="AQ137" s="188">
        <f>AN137/AM137*100</f>
        <v>3.763440860215054</v>
      </c>
      <c r="AR137" s="88">
        <f t="shared" ref="AR137:AR138" si="620">AK137/AM137*100</f>
        <v>0.53763440860215062</v>
      </c>
      <c r="AS137" s="88">
        <f t="shared" ref="AS137:AS138" si="621">AL137/AM137*100</f>
        <v>99.462365591397855</v>
      </c>
      <c r="AT137" s="88">
        <f t="shared" ref="AT137:AT138" si="622">R137/AN137*100</f>
        <v>0</v>
      </c>
      <c r="AU137" s="88">
        <f t="shared" ref="AU137:AU138" si="623">U137/AN137*100</f>
        <v>42.857142857142854</v>
      </c>
      <c r="AV137" s="88">
        <f t="shared" ref="AV137:AV138" si="624">X137/AN137*100</f>
        <v>28.571428571428569</v>
      </c>
      <c r="AW137" s="88">
        <f t="shared" ref="AW137:AW138" si="625">AA137/AN137*100</f>
        <v>0</v>
      </c>
      <c r="AX137" s="88">
        <f t="shared" ref="AX137:AX138" si="626">AD137/AN137*100</f>
        <v>28.571428571428569</v>
      </c>
      <c r="AY137" s="88">
        <f t="shared" ref="AY137:AY138" si="627">AG137/AN137*100</f>
        <v>0</v>
      </c>
      <c r="AZ137" s="88">
        <f t="shared" ref="AZ137:AZ138" si="628">AJ137/AN137*100</f>
        <v>0</v>
      </c>
    </row>
    <row r="138" spans="1:52" s="209" customFormat="1" ht="20.25" customHeight="1">
      <c r="A138" s="401"/>
      <c r="B138" s="240" t="s">
        <v>187</v>
      </c>
      <c r="C138" s="261">
        <v>141</v>
      </c>
      <c r="D138" s="164">
        <v>45973</v>
      </c>
      <c r="E138" s="164">
        <v>45983</v>
      </c>
      <c r="F138" s="261">
        <v>32</v>
      </c>
      <c r="G138" s="261">
        <v>0</v>
      </c>
      <c r="H138" s="235">
        <f>F138+G138</f>
        <v>32</v>
      </c>
      <c r="I138" s="261">
        <v>0</v>
      </c>
      <c r="J138" s="261">
        <v>0</v>
      </c>
      <c r="K138" s="235">
        <f>I138+J138</f>
        <v>0</v>
      </c>
      <c r="L138" s="261">
        <v>0</v>
      </c>
      <c r="M138" s="261">
        <v>0</v>
      </c>
      <c r="N138" s="261">
        <v>32</v>
      </c>
      <c r="O138" s="261">
        <v>1</v>
      </c>
      <c r="P138" s="261">
        <v>0</v>
      </c>
      <c r="Q138" s="261">
        <v>0</v>
      </c>
      <c r="R138" s="261">
        <v>0</v>
      </c>
      <c r="S138" s="261">
        <v>0</v>
      </c>
      <c r="T138" s="261">
        <v>4</v>
      </c>
      <c r="U138" s="261">
        <v>1</v>
      </c>
      <c r="V138" s="261">
        <v>0</v>
      </c>
      <c r="W138" s="261">
        <v>13</v>
      </c>
      <c r="X138" s="261">
        <v>0</v>
      </c>
      <c r="Y138" s="261">
        <v>0</v>
      </c>
      <c r="Z138" s="261">
        <v>4</v>
      </c>
      <c r="AA138" s="261">
        <v>0</v>
      </c>
      <c r="AB138" s="261">
        <v>0</v>
      </c>
      <c r="AC138" s="261">
        <v>11</v>
      </c>
      <c r="AD138" s="261">
        <v>0</v>
      </c>
      <c r="AE138" s="261">
        <v>0</v>
      </c>
      <c r="AF138" s="261">
        <v>18</v>
      </c>
      <c r="AG138" s="261">
        <v>0</v>
      </c>
      <c r="AH138" s="261">
        <v>0</v>
      </c>
      <c r="AI138" s="261">
        <v>0</v>
      </c>
      <c r="AJ138" s="261">
        <v>0</v>
      </c>
      <c r="AK138" s="298">
        <f t="shared" ref="AK138" si="629">P138+S138+V138+Y138+AB138+AE138+AH138</f>
        <v>0</v>
      </c>
      <c r="AL138" s="298">
        <f t="shared" ref="AL138" si="630">Q138+T138+W138+Z138+AC138+AF138+AI138</f>
        <v>50</v>
      </c>
      <c r="AM138" s="298">
        <f t="shared" ref="AM138" si="631">AK138+AL138</f>
        <v>50</v>
      </c>
      <c r="AN138" s="298">
        <f t="shared" ref="AN138" si="632">R138+U138+X138+AA138+AD138+AG138+AJ138</f>
        <v>1</v>
      </c>
      <c r="AO138" s="189">
        <f t="shared" ref="AO138" si="633">O138/H138*100</f>
        <v>3.125</v>
      </c>
      <c r="AP138" s="189">
        <f t="shared" ref="AP138" si="634">AN138/H138*100</f>
        <v>3.125</v>
      </c>
      <c r="AQ138" s="189">
        <f t="shared" ref="AQ138" si="635">AN138/AM138*100</f>
        <v>2</v>
      </c>
      <c r="AR138" s="81">
        <f t="shared" si="620"/>
        <v>0</v>
      </c>
      <c r="AS138" s="81">
        <f t="shared" si="621"/>
        <v>100</v>
      </c>
      <c r="AT138" s="81">
        <f t="shared" si="622"/>
        <v>0</v>
      </c>
      <c r="AU138" s="81">
        <f t="shared" si="623"/>
        <v>100</v>
      </c>
      <c r="AV138" s="81">
        <f t="shared" si="624"/>
        <v>0</v>
      </c>
      <c r="AW138" s="81">
        <f t="shared" si="625"/>
        <v>0</v>
      </c>
      <c r="AX138" s="81">
        <f t="shared" si="626"/>
        <v>0</v>
      </c>
      <c r="AY138" s="81">
        <f t="shared" si="627"/>
        <v>0</v>
      </c>
      <c r="AZ138" s="81">
        <f t="shared" si="628"/>
        <v>0</v>
      </c>
    </row>
    <row r="139" spans="1:52" s="209" customFormat="1" ht="20.25" customHeight="1">
      <c r="A139" s="401"/>
      <c r="B139" s="240" t="s">
        <v>188</v>
      </c>
      <c r="C139" s="261">
        <v>136</v>
      </c>
      <c r="D139" s="164">
        <v>45975</v>
      </c>
      <c r="E139" s="164">
        <v>45985</v>
      </c>
      <c r="F139" s="261">
        <v>43</v>
      </c>
      <c r="G139" s="261">
        <v>0</v>
      </c>
      <c r="H139" s="235">
        <f t="shared" ref="H139:H142" si="636">F139+G139</f>
        <v>43</v>
      </c>
      <c r="I139" s="261">
        <v>0</v>
      </c>
      <c r="J139" s="261">
        <v>0</v>
      </c>
      <c r="K139" s="235">
        <f t="shared" ref="K139:K142" si="637">I139+J139</f>
        <v>0</v>
      </c>
      <c r="L139" s="261">
        <v>0</v>
      </c>
      <c r="M139" s="261">
        <v>0</v>
      </c>
      <c r="N139" s="261">
        <v>43</v>
      </c>
      <c r="O139" s="261">
        <v>0</v>
      </c>
      <c r="P139" s="261">
        <v>0</v>
      </c>
      <c r="Q139" s="261">
        <v>0</v>
      </c>
      <c r="R139" s="261">
        <v>0</v>
      </c>
      <c r="S139" s="261">
        <v>0</v>
      </c>
      <c r="T139" s="261">
        <v>0</v>
      </c>
      <c r="U139" s="261">
        <v>0</v>
      </c>
      <c r="V139" s="261">
        <v>0</v>
      </c>
      <c r="W139" s="261">
        <v>10</v>
      </c>
      <c r="X139" s="261">
        <v>0</v>
      </c>
      <c r="Y139" s="261">
        <v>0</v>
      </c>
      <c r="Z139" s="261">
        <v>1</v>
      </c>
      <c r="AA139" s="261">
        <v>0</v>
      </c>
      <c r="AB139" s="261">
        <v>0</v>
      </c>
      <c r="AC139" s="261">
        <v>17</v>
      </c>
      <c r="AD139" s="261">
        <v>0</v>
      </c>
      <c r="AE139" s="261">
        <v>0</v>
      </c>
      <c r="AF139" s="261">
        <v>0</v>
      </c>
      <c r="AG139" s="261">
        <v>0</v>
      </c>
      <c r="AH139" s="261">
        <v>0</v>
      </c>
      <c r="AI139" s="261">
        <v>0</v>
      </c>
      <c r="AJ139" s="261">
        <v>0</v>
      </c>
      <c r="AK139" s="298">
        <f t="shared" ref="AK139:AK143" si="638">P139+S139+V139+Y139+AB139+AE139+AH139</f>
        <v>0</v>
      </c>
      <c r="AL139" s="298">
        <f t="shared" ref="AL139:AL143" si="639">Q139+T139+W139+Z139+AC139+AF139+AI139</f>
        <v>28</v>
      </c>
      <c r="AM139" s="298">
        <f t="shared" ref="AM139:AM143" si="640">AK139+AL139</f>
        <v>28</v>
      </c>
      <c r="AN139" s="298">
        <f t="shared" ref="AN139:AN143" si="641">R139+U139+X139+AA139+AD139+AG139+AJ139</f>
        <v>0</v>
      </c>
      <c r="AO139" s="189">
        <f t="shared" ref="AO139:AO143" si="642">O139/H139*100</f>
        <v>0</v>
      </c>
      <c r="AP139" s="189">
        <f t="shared" ref="AP139:AP143" si="643">AN139/H139*100</f>
        <v>0</v>
      </c>
      <c r="AQ139" s="189">
        <f t="shared" ref="AQ139:AQ143" si="644">AN139/AM139*100</f>
        <v>0</v>
      </c>
      <c r="AR139" s="81">
        <f t="shared" ref="AR139:AR143" si="645">AK139/AM139*100</f>
        <v>0</v>
      </c>
      <c r="AS139" s="81">
        <f t="shared" ref="AS139:AS143" si="646">AL139/AM139*100</f>
        <v>100</v>
      </c>
      <c r="AT139" s="81" t="e">
        <f t="shared" ref="AT139:AT143" si="647">R139/AN139*100</f>
        <v>#DIV/0!</v>
      </c>
      <c r="AU139" s="81" t="e">
        <f t="shared" ref="AU139:AU143" si="648">U139/AN139*100</f>
        <v>#DIV/0!</v>
      </c>
      <c r="AV139" s="81" t="e">
        <f t="shared" ref="AV139:AV143" si="649">X139/AN139*100</f>
        <v>#DIV/0!</v>
      </c>
      <c r="AW139" s="81" t="e">
        <f t="shared" ref="AW139:AW143" si="650">AA139/AN139*100</f>
        <v>#DIV/0!</v>
      </c>
      <c r="AX139" s="81" t="e">
        <f t="shared" ref="AX139:AX143" si="651">AD139/AN139*100</f>
        <v>#DIV/0!</v>
      </c>
      <c r="AY139" s="81" t="e">
        <f t="shared" ref="AY139:AY143" si="652">AG139/AN139*100</f>
        <v>#DIV/0!</v>
      </c>
      <c r="AZ139" s="81" t="e">
        <f t="shared" ref="AZ139:AZ143" si="653">AJ139/AN139*100</f>
        <v>#DIV/0!</v>
      </c>
    </row>
    <row r="140" spans="1:52" s="209" customFormat="1" ht="20.25" customHeight="1">
      <c r="A140" s="401"/>
      <c r="B140" s="240" t="s">
        <v>285</v>
      </c>
      <c r="C140" s="261">
        <v>137</v>
      </c>
      <c r="D140" s="164">
        <v>45979</v>
      </c>
      <c r="E140" s="164">
        <v>45987</v>
      </c>
      <c r="F140" s="261">
        <v>32</v>
      </c>
      <c r="G140" s="261">
        <v>0</v>
      </c>
      <c r="H140" s="235">
        <f t="shared" si="636"/>
        <v>32</v>
      </c>
      <c r="I140" s="261">
        <v>0</v>
      </c>
      <c r="J140" s="261">
        <v>0</v>
      </c>
      <c r="K140" s="235">
        <f t="shared" si="637"/>
        <v>0</v>
      </c>
      <c r="L140" s="261">
        <v>0</v>
      </c>
      <c r="M140" s="261">
        <v>0</v>
      </c>
      <c r="N140" s="261">
        <v>32</v>
      </c>
      <c r="O140" s="261">
        <v>2</v>
      </c>
      <c r="P140" s="261">
        <v>0</v>
      </c>
      <c r="Q140" s="261">
        <v>0</v>
      </c>
      <c r="R140" s="261">
        <v>0</v>
      </c>
      <c r="S140" s="261">
        <v>0</v>
      </c>
      <c r="T140" s="261">
        <v>4</v>
      </c>
      <c r="U140" s="261">
        <v>1</v>
      </c>
      <c r="V140" s="261">
        <v>0</v>
      </c>
      <c r="W140" s="261">
        <v>9</v>
      </c>
      <c r="X140" s="261">
        <v>1</v>
      </c>
      <c r="Y140" s="261">
        <v>0</v>
      </c>
      <c r="Z140" s="261">
        <v>1</v>
      </c>
      <c r="AA140" s="261">
        <v>0</v>
      </c>
      <c r="AB140" s="261">
        <v>0</v>
      </c>
      <c r="AC140" s="261">
        <v>16</v>
      </c>
      <c r="AD140" s="261">
        <v>0</v>
      </c>
      <c r="AE140" s="261">
        <v>0</v>
      </c>
      <c r="AF140" s="261">
        <v>11</v>
      </c>
      <c r="AG140" s="261">
        <v>0</v>
      </c>
      <c r="AH140" s="261">
        <v>0</v>
      </c>
      <c r="AI140" s="261">
        <v>0</v>
      </c>
      <c r="AJ140" s="261">
        <v>0</v>
      </c>
      <c r="AK140" s="298">
        <f t="shared" si="638"/>
        <v>0</v>
      </c>
      <c r="AL140" s="298">
        <f t="shared" si="639"/>
        <v>41</v>
      </c>
      <c r="AM140" s="298">
        <f t="shared" si="640"/>
        <v>41</v>
      </c>
      <c r="AN140" s="298">
        <f t="shared" si="641"/>
        <v>2</v>
      </c>
      <c r="AO140" s="189">
        <f t="shared" si="642"/>
        <v>6.25</v>
      </c>
      <c r="AP140" s="189">
        <f t="shared" si="643"/>
        <v>6.25</v>
      </c>
      <c r="AQ140" s="189">
        <f t="shared" si="644"/>
        <v>4.8780487804878048</v>
      </c>
      <c r="AR140" s="81">
        <f t="shared" si="645"/>
        <v>0</v>
      </c>
      <c r="AS140" s="81">
        <f t="shared" si="646"/>
        <v>100</v>
      </c>
      <c r="AT140" s="81">
        <f t="shared" si="647"/>
        <v>0</v>
      </c>
      <c r="AU140" s="81">
        <f t="shared" si="648"/>
        <v>50</v>
      </c>
      <c r="AV140" s="81">
        <f t="shared" si="649"/>
        <v>50</v>
      </c>
      <c r="AW140" s="81">
        <f t="shared" si="650"/>
        <v>0</v>
      </c>
      <c r="AX140" s="81">
        <f t="shared" si="651"/>
        <v>0</v>
      </c>
      <c r="AY140" s="81">
        <f t="shared" si="652"/>
        <v>0</v>
      </c>
      <c r="AZ140" s="81">
        <f t="shared" si="653"/>
        <v>0</v>
      </c>
    </row>
    <row r="141" spans="1:52" s="209" customFormat="1" ht="20.25" customHeight="1">
      <c r="A141" s="401"/>
      <c r="B141" s="240" t="s">
        <v>131</v>
      </c>
      <c r="C141" s="261">
        <v>92</v>
      </c>
      <c r="D141" s="164">
        <v>45986</v>
      </c>
      <c r="E141" s="164">
        <v>45989</v>
      </c>
      <c r="F141" s="261">
        <v>24</v>
      </c>
      <c r="G141" s="261">
        <v>0</v>
      </c>
      <c r="H141" s="235">
        <f t="shared" si="636"/>
        <v>24</v>
      </c>
      <c r="I141" s="261">
        <v>0</v>
      </c>
      <c r="J141" s="261">
        <v>0</v>
      </c>
      <c r="K141" s="235">
        <f t="shared" si="637"/>
        <v>0</v>
      </c>
      <c r="L141" s="261">
        <v>0</v>
      </c>
      <c r="M141" s="261">
        <v>0</v>
      </c>
      <c r="N141" s="261">
        <v>24</v>
      </c>
      <c r="O141" s="261">
        <v>1</v>
      </c>
      <c r="P141" s="261">
        <v>0</v>
      </c>
      <c r="Q141" s="261">
        <v>0</v>
      </c>
      <c r="R141" s="261">
        <v>0</v>
      </c>
      <c r="S141" s="261">
        <v>0</v>
      </c>
      <c r="T141" s="261">
        <v>0</v>
      </c>
      <c r="U141" s="261">
        <v>0</v>
      </c>
      <c r="V141" s="261">
        <v>1</v>
      </c>
      <c r="W141" s="261">
        <v>3</v>
      </c>
      <c r="X141" s="261">
        <v>1</v>
      </c>
      <c r="Y141" s="261">
        <v>0</v>
      </c>
      <c r="Z141" s="261">
        <v>3</v>
      </c>
      <c r="AA141" s="261">
        <v>0</v>
      </c>
      <c r="AB141" s="261">
        <v>0</v>
      </c>
      <c r="AC141" s="261">
        <v>3</v>
      </c>
      <c r="AD141" s="261">
        <v>0</v>
      </c>
      <c r="AE141" s="261">
        <v>0</v>
      </c>
      <c r="AF141" s="261">
        <v>0</v>
      </c>
      <c r="AG141" s="261">
        <v>0</v>
      </c>
      <c r="AH141" s="261">
        <v>0</v>
      </c>
      <c r="AI141" s="261">
        <v>0</v>
      </c>
      <c r="AJ141" s="261">
        <v>0</v>
      </c>
      <c r="AK141" s="298">
        <f t="shared" si="638"/>
        <v>1</v>
      </c>
      <c r="AL141" s="298">
        <f t="shared" si="639"/>
        <v>9</v>
      </c>
      <c r="AM141" s="298">
        <f t="shared" si="640"/>
        <v>10</v>
      </c>
      <c r="AN141" s="298">
        <f t="shared" si="641"/>
        <v>1</v>
      </c>
      <c r="AO141" s="189">
        <f t="shared" si="642"/>
        <v>4.1666666666666661</v>
      </c>
      <c r="AP141" s="189">
        <f t="shared" si="643"/>
        <v>4.1666666666666661</v>
      </c>
      <c r="AQ141" s="189">
        <f t="shared" si="644"/>
        <v>10</v>
      </c>
      <c r="AR141" s="81">
        <f t="shared" si="645"/>
        <v>10</v>
      </c>
      <c r="AS141" s="81">
        <f t="shared" si="646"/>
        <v>90</v>
      </c>
      <c r="AT141" s="81">
        <f t="shared" si="647"/>
        <v>0</v>
      </c>
      <c r="AU141" s="81">
        <f t="shared" si="648"/>
        <v>0</v>
      </c>
      <c r="AV141" s="81">
        <f t="shared" si="649"/>
        <v>100</v>
      </c>
      <c r="AW141" s="81">
        <f t="shared" si="650"/>
        <v>0</v>
      </c>
      <c r="AX141" s="81">
        <f t="shared" si="651"/>
        <v>0</v>
      </c>
      <c r="AY141" s="81">
        <f t="shared" si="652"/>
        <v>0</v>
      </c>
      <c r="AZ141" s="81">
        <f t="shared" si="653"/>
        <v>0</v>
      </c>
    </row>
    <row r="142" spans="1:52" s="209" customFormat="1" ht="20.25" customHeight="1">
      <c r="A142" s="401"/>
      <c r="B142" s="240" t="s">
        <v>165</v>
      </c>
      <c r="C142" s="261">
        <v>89</v>
      </c>
      <c r="D142" s="164">
        <v>45982</v>
      </c>
      <c r="E142" s="164">
        <v>45987</v>
      </c>
      <c r="F142" s="261">
        <v>22</v>
      </c>
      <c r="G142" s="261">
        <v>0</v>
      </c>
      <c r="H142" s="235">
        <f t="shared" si="636"/>
        <v>22</v>
      </c>
      <c r="I142" s="261">
        <v>0</v>
      </c>
      <c r="J142" s="261">
        <v>0</v>
      </c>
      <c r="K142" s="235">
        <f t="shared" si="637"/>
        <v>0</v>
      </c>
      <c r="L142" s="261">
        <v>0</v>
      </c>
      <c r="M142" s="261">
        <v>0</v>
      </c>
      <c r="N142" s="261">
        <v>22</v>
      </c>
      <c r="O142" s="261">
        <v>2</v>
      </c>
      <c r="P142" s="261">
        <v>0</v>
      </c>
      <c r="Q142" s="261">
        <v>0</v>
      </c>
      <c r="R142" s="261">
        <v>0</v>
      </c>
      <c r="S142" s="261">
        <v>0</v>
      </c>
      <c r="T142" s="261">
        <v>3</v>
      </c>
      <c r="U142" s="261">
        <v>0</v>
      </c>
      <c r="V142" s="261">
        <v>0</v>
      </c>
      <c r="W142" s="261">
        <v>5</v>
      </c>
      <c r="X142" s="261">
        <v>0</v>
      </c>
      <c r="Y142" s="261">
        <v>0</v>
      </c>
      <c r="Z142" s="261">
        <v>0</v>
      </c>
      <c r="AA142" s="261">
        <v>0</v>
      </c>
      <c r="AB142" s="261">
        <v>0</v>
      </c>
      <c r="AC142" s="261">
        <v>7</v>
      </c>
      <c r="AD142" s="261">
        <v>2</v>
      </c>
      <c r="AE142" s="261">
        <v>0</v>
      </c>
      <c r="AF142" s="261">
        <v>5</v>
      </c>
      <c r="AG142" s="261">
        <v>0</v>
      </c>
      <c r="AH142" s="261">
        <v>0</v>
      </c>
      <c r="AI142" s="261">
        <v>0</v>
      </c>
      <c r="AJ142" s="261">
        <v>0</v>
      </c>
      <c r="AK142" s="298">
        <f t="shared" si="638"/>
        <v>0</v>
      </c>
      <c r="AL142" s="298">
        <f t="shared" si="639"/>
        <v>20</v>
      </c>
      <c r="AM142" s="298">
        <f t="shared" si="640"/>
        <v>20</v>
      </c>
      <c r="AN142" s="298">
        <f t="shared" si="641"/>
        <v>2</v>
      </c>
      <c r="AO142" s="189">
        <f t="shared" si="642"/>
        <v>9.0909090909090917</v>
      </c>
      <c r="AP142" s="189">
        <f t="shared" si="643"/>
        <v>9.0909090909090917</v>
      </c>
      <c r="AQ142" s="189">
        <f t="shared" si="644"/>
        <v>10</v>
      </c>
      <c r="AR142" s="81">
        <f t="shared" si="645"/>
        <v>0</v>
      </c>
      <c r="AS142" s="81">
        <f t="shared" si="646"/>
        <v>100</v>
      </c>
      <c r="AT142" s="81">
        <f t="shared" si="647"/>
        <v>0</v>
      </c>
      <c r="AU142" s="81">
        <f t="shared" si="648"/>
        <v>0</v>
      </c>
      <c r="AV142" s="81">
        <f t="shared" si="649"/>
        <v>0</v>
      </c>
      <c r="AW142" s="81">
        <f t="shared" si="650"/>
        <v>0</v>
      </c>
      <c r="AX142" s="81">
        <f t="shared" si="651"/>
        <v>100</v>
      </c>
      <c r="AY142" s="81">
        <f t="shared" si="652"/>
        <v>0</v>
      </c>
      <c r="AZ142" s="81">
        <f t="shared" si="653"/>
        <v>0</v>
      </c>
    </row>
    <row r="143" spans="1:52" s="209" customFormat="1" ht="20.25" customHeight="1">
      <c r="A143" s="402"/>
      <c r="B143" s="240" t="s">
        <v>211</v>
      </c>
      <c r="C143" s="261">
        <v>136</v>
      </c>
      <c r="D143" s="164">
        <v>45981</v>
      </c>
      <c r="E143" s="164">
        <v>45982</v>
      </c>
      <c r="F143" s="261">
        <v>40</v>
      </c>
      <c r="G143" s="261">
        <v>0</v>
      </c>
      <c r="H143" s="235">
        <f>F143+G143</f>
        <v>40</v>
      </c>
      <c r="I143" s="261">
        <v>0</v>
      </c>
      <c r="J143" s="261">
        <v>0</v>
      </c>
      <c r="K143" s="235">
        <f>I143+J143</f>
        <v>0</v>
      </c>
      <c r="L143" s="261">
        <v>0</v>
      </c>
      <c r="M143" s="261">
        <v>0</v>
      </c>
      <c r="N143" s="261">
        <v>40</v>
      </c>
      <c r="O143" s="261">
        <v>1</v>
      </c>
      <c r="P143" s="261">
        <v>0</v>
      </c>
      <c r="Q143" s="261">
        <v>0</v>
      </c>
      <c r="R143" s="261">
        <v>0</v>
      </c>
      <c r="S143" s="261">
        <v>0</v>
      </c>
      <c r="T143" s="261">
        <v>1</v>
      </c>
      <c r="U143" s="261">
        <v>1</v>
      </c>
      <c r="V143" s="261">
        <v>0</v>
      </c>
      <c r="W143" s="261">
        <v>0</v>
      </c>
      <c r="X143" s="261">
        <v>0</v>
      </c>
      <c r="Y143" s="261">
        <v>0</v>
      </c>
      <c r="Z143" s="261">
        <v>0</v>
      </c>
      <c r="AA143" s="261">
        <v>0</v>
      </c>
      <c r="AB143" s="261">
        <v>0</v>
      </c>
      <c r="AC143" s="261">
        <v>5</v>
      </c>
      <c r="AD143" s="261">
        <v>0</v>
      </c>
      <c r="AE143" s="261">
        <v>0</v>
      </c>
      <c r="AF143" s="261">
        <v>31</v>
      </c>
      <c r="AG143" s="261">
        <v>0</v>
      </c>
      <c r="AH143" s="261">
        <v>0</v>
      </c>
      <c r="AI143" s="261">
        <v>0</v>
      </c>
      <c r="AJ143" s="261">
        <v>0</v>
      </c>
      <c r="AK143" s="298">
        <f t="shared" si="638"/>
        <v>0</v>
      </c>
      <c r="AL143" s="298">
        <f t="shared" si="639"/>
        <v>37</v>
      </c>
      <c r="AM143" s="298">
        <f t="shared" si="640"/>
        <v>37</v>
      </c>
      <c r="AN143" s="298">
        <f t="shared" si="641"/>
        <v>1</v>
      </c>
      <c r="AO143" s="189">
        <f t="shared" si="642"/>
        <v>2.5</v>
      </c>
      <c r="AP143" s="189">
        <f t="shared" si="643"/>
        <v>2.5</v>
      </c>
      <c r="AQ143" s="189">
        <f t="shared" si="644"/>
        <v>2.7027027027027026</v>
      </c>
      <c r="AR143" s="81">
        <f t="shared" si="645"/>
        <v>0</v>
      </c>
      <c r="AS143" s="81">
        <f t="shared" si="646"/>
        <v>100</v>
      </c>
      <c r="AT143" s="81">
        <f t="shared" si="647"/>
        <v>0</v>
      </c>
      <c r="AU143" s="81">
        <f t="shared" si="648"/>
        <v>100</v>
      </c>
      <c r="AV143" s="81">
        <f t="shared" si="649"/>
        <v>0</v>
      </c>
      <c r="AW143" s="81">
        <f t="shared" si="650"/>
        <v>0</v>
      </c>
      <c r="AX143" s="81">
        <f t="shared" si="651"/>
        <v>0</v>
      </c>
      <c r="AY143" s="81">
        <f t="shared" si="652"/>
        <v>0</v>
      </c>
      <c r="AZ143" s="81">
        <f t="shared" si="653"/>
        <v>0</v>
      </c>
    </row>
    <row r="144" spans="1:52" s="3" customFormat="1" ht="20.25" customHeight="1">
      <c r="A144" s="83" t="s">
        <v>295</v>
      </c>
      <c r="B144" s="83">
        <f>COUNTA(B134:B143)-1</f>
        <v>9</v>
      </c>
      <c r="C144" s="83">
        <f>C133+C137</f>
        <v>1268</v>
      </c>
      <c r="D144" s="104">
        <f>MIN(D134:D143)</f>
        <v>45968</v>
      </c>
      <c r="E144" s="104">
        <f>MAX(E134:E143)</f>
        <v>45989</v>
      </c>
      <c r="F144" s="83">
        <f>F133+F137</f>
        <v>343</v>
      </c>
      <c r="G144" s="83">
        <f t="shared" ref="G144:AI144" si="654">G133+G137</f>
        <v>0</v>
      </c>
      <c r="H144" s="83">
        <f t="shared" si="654"/>
        <v>343</v>
      </c>
      <c r="I144" s="83">
        <f t="shared" si="654"/>
        <v>0</v>
      </c>
      <c r="J144" s="83">
        <f t="shared" si="654"/>
        <v>0</v>
      </c>
      <c r="K144" s="83">
        <f t="shared" si="654"/>
        <v>0</v>
      </c>
      <c r="L144" s="83">
        <f t="shared" si="654"/>
        <v>0</v>
      </c>
      <c r="M144" s="83">
        <f t="shared" si="654"/>
        <v>0</v>
      </c>
      <c r="N144" s="83">
        <f t="shared" si="654"/>
        <v>343</v>
      </c>
      <c r="O144" s="83">
        <f t="shared" si="654"/>
        <v>10</v>
      </c>
      <c r="P144" s="83">
        <f t="shared" si="654"/>
        <v>0</v>
      </c>
      <c r="Q144" s="83">
        <f t="shared" si="654"/>
        <v>0</v>
      </c>
      <c r="R144" s="83">
        <f t="shared" si="654"/>
        <v>0</v>
      </c>
      <c r="S144" s="83">
        <f t="shared" si="654"/>
        <v>0</v>
      </c>
      <c r="T144" s="83">
        <f t="shared" si="654"/>
        <v>16</v>
      </c>
      <c r="U144" s="83">
        <f t="shared" si="654"/>
        <v>3</v>
      </c>
      <c r="V144" s="83">
        <f t="shared" si="654"/>
        <v>3</v>
      </c>
      <c r="W144" s="83">
        <f t="shared" si="654"/>
        <v>77</v>
      </c>
      <c r="X144" s="83">
        <f t="shared" si="654"/>
        <v>5</v>
      </c>
      <c r="Y144" s="83">
        <f t="shared" si="654"/>
        <v>1</v>
      </c>
      <c r="Z144" s="83">
        <f t="shared" si="654"/>
        <v>12</v>
      </c>
      <c r="AA144" s="83">
        <f t="shared" si="654"/>
        <v>0</v>
      </c>
      <c r="AB144" s="83">
        <f t="shared" si="654"/>
        <v>1</v>
      </c>
      <c r="AC144" s="83">
        <f t="shared" si="654"/>
        <v>100</v>
      </c>
      <c r="AD144" s="83">
        <f t="shared" si="654"/>
        <v>3</v>
      </c>
      <c r="AE144" s="83">
        <f t="shared" si="654"/>
        <v>9</v>
      </c>
      <c r="AF144" s="83">
        <f t="shared" si="654"/>
        <v>78</v>
      </c>
      <c r="AG144" s="83">
        <f t="shared" si="654"/>
        <v>0</v>
      </c>
      <c r="AH144" s="83">
        <f t="shared" si="654"/>
        <v>0</v>
      </c>
      <c r="AI144" s="83">
        <f t="shared" si="654"/>
        <v>4</v>
      </c>
      <c r="AJ144" s="83">
        <f>AJ133+AJ137</f>
        <v>0</v>
      </c>
      <c r="AK144" s="83">
        <f>P144+S144+V144+Y144+AB144+AE144+AH144</f>
        <v>14</v>
      </c>
      <c r="AL144" s="83">
        <f>Q144+T144+W144+Z144+AC144+AF144+AI144</f>
        <v>287</v>
      </c>
      <c r="AM144" s="83">
        <f>AK144+AL144</f>
        <v>301</v>
      </c>
      <c r="AN144" s="83">
        <f>R144+U144+X144+AA144+AD144+AG144+AJ144</f>
        <v>11</v>
      </c>
      <c r="AO144" s="190">
        <f>O144/H144*100</f>
        <v>2.9154518950437316</v>
      </c>
      <c r="AP144" s="190">
        <f>AN144/H144*100</f>
        <v>3.2069970845481048</v>
      </c>
      <c r="AQ144" s="190">
        <f>AN144/AM144*100</f>
        <v>3.6544850498338874</v>
      </c>
      <c r="AR144" s="85">
        <f>AK144/AM144*100</f>
        <v>4.6511627906976747</v>
      </c>
      <c r="AS144" s="85">
        <f>AL144/AM144*100</f>
        <v>95.348837209302332</v>
      </c>
      <c r="AT144" s="85">
        <f t="shared" ref="AT144:AT146" si="655">R144/AN144*100</f>
        <v>0</v>
      </c>
      <c r="AU144" s="85">
        <f t="shared" ref="AU144:AU146" si="656">U144/AN144*100</f>
        <v>27.27272727272727</v>
      </c>
      <c r="AV144" s="85">
        <f t="shared" ref="AV144:AV146" si="657">X144/AN144*100</f>
        <v>45.454545454545453</v>
      </c>
      <c r="AW144" s="85">
        <f t="shared" ref="AW144:AW146" si="658">AA144/AN144*100</f>
        <v>0</v>
      </c>
      <c r="AX144" s="85">
        <f t="shared" ref="AX144:AX146" si="659">AD144/AN144*100</f>
        <v>27.27272727272727</v>
      </c>
      <c r="AY144" s="85">
        <f t="shared" ref="AY144:AY146" si="660">AG144/AN144*100</f>
        <v>0</v>
      </c>
      <c r="AZ144" s="85">
        <f t="shared" ref="AZ144:AZ146" si="661">AJ144/AN144*100</f>
        <v>0</v>
      </c>
    </row>
    <row r="145" spans="1:52" s="3" customFormat="1" ht="20.25" customHeight="1">
      <c r="A145" s="394" t="s">
        <v>246</v>
      </c>
      <c r="B145" s="77" t="s">
        <v>24</v>
      </c>
      <c r="C145" s="77">
        <f>C146</f>
        <v>812</v>
      </c>
      <c r="D145" s="217">
        <f>D146</f>
        <v>45993</v>
      </c>
      <c r="E145" s="217">
        <f>E146</f>
        <v>46010</v>
      </c>
      <c r="F145" s="77">
        <f>F146</f>
        <v>220</v>
      </c>
      <c r="G145" s="77">
        <f t="shared" ref="G145:AJ145" si="662">G146</f>
        <v>0</v>
      </c>
      <c r="H145" s="77">
        <f t="shared" si="662"/>
        <v>220</v>
      </c>
      <c r="I145" s="77">
        <f t="shared" si="662"/>
        <v>0</v>
      </c>
      <c r="J145" s="77">
        <f t="shared" si="662"/>
        <v>0</v>
      </c>
      <c r="K145" s="77">
        <f t="shared" si="662"/>
        <v>220</v>
      </c>
      <c r="L145" s="77">
        <f t="shared" si="662"/>
        <v>0</v>
      </c>
      <c r="M145" s="77">
        <f t="shared" si="662"/>
        <v>0</v>
      </c>
      <c r="N145" s="77">
        <f t="shared" si="662"/>
        <v>220</v>
      </c>
      <c r="O145" s="77">
        <f t="shared" si="662"/>
        <v>15</v>
      </c>
      <c r="P145" s="77">
        <f t="shared" si="662"/>
        <v>0</v>
      </c>
      <c r="Q145" s="77">
        <f t="shared" si="662"/>
        <v>0</v>
      </c>
      <c r="R145" s="77">
        <f t="shared" si="662"/>
        <v>0</v>
      </c>
      <c r="S145" s="77">
        <f t="shared" si="662"/>
        <v>0</v>
      </c>
      <c r="T145" s="77">
        <f t="shared" si="662"/>
        <v>12</v>
      </c>
      <c r="U145" s="77">
        <f t="shared" si="662"/>
        <v>5</v>
      </c>
      <c r="V145" s="77">
        <f t="shared" si="662"/>
        <v>0</v>
      </c>
      <c r="W145" s="77">
        <f t="shared" si="662"/>
        <v>20</v>
      </c>
      <c r="X145" s="77">
        <f t="shared" si="662"/>
        <v>5</v>
      </c>
      <c r="Y145" s="77">
        <f t="shared" si="662"/>
        <v>0</v>
      </c>
      <c r="Z145" s="77">
        <f t="shared" si="662"/>
        <v>31</v>
      </c>
      <c r="AA145" s="77">
        <f t="shared" si="662"/>
        <v>1</v>
      </c>
      <c r="AB145" s="77">
        <f t="shared" si="662"/>
        <v>0</v>
      </c>
      <c r="AC145" s="77">
        <f t="shared" si="662"/>
        <v>35</v>
      </c>
      <c r="AD145" s="77">
        <f t="shared" si="662"/>
        <v>3</v>
      </c>
      <c r="AE145" s="77">
        <f t="shared" si="662"/>
        <v>0</v>
      </c>
      <c r="AF145" s="77">
        <f t="shared" si="662"/>
        <v>60</v>
      </c>
      <c r="AG145" s="77">
        <f t="shared" si="662"/>
        <v>1</v>
      </c>
      <c r="AH145" s="77">
        <f t="shared" si="662"/>
        <v>0</v>
      </c>
      <c r="AI145" s="77">
        <f t="shared" si="662"/>
        <v>0</v>
      </c>
      <c r="AJ145" s="77">
        <f t="shared" si="662"/>
        <v>0</v>
      </c>
      <c r="AK145" s="77">
        <f>P145+S145+V145+Y145+AB145+AE145+AH145</f>
        <v>0</v>
      </c>
      <c r="AL145" s="77">
        <f>Q145+T145+W145+Z145+AC145+AF145+AI145</f>
        <v>158</v>
      </c>
      <c r="AM145" s="77">
        <f>AK145+AL145</f>
        <v>158</v>
      </c>
      <c r="AN145" s="77">
        <f>R145+U145+X145+AA145+AD145+AG145+AJ145</f>
        <v>15</v>
      </c>
      <c r="AO145" s="188">
        <f>O145/H145*100</f>
        <v>6.8181818181818175</v>
      </c>
      <c r="AP145" s="188">
        <f>AN145/H145*100</f>
        <v>6.8181818181818175</v>
      </c>
      <c r="AQ145" s="188">
        <f>AN145/AM145*100</f>
        <v>9.4936708860759502</v>
      </c>
      <c r="AR145" s="88">
        <f t="shared" ref="AR145:AR146" si="663">AK145/AM145*100</f>
        <v>0</v>
      </c>
      <c r="AS145" s="88">
        <f t="shared" ref="AS145:AS146" si="664">AL145/AM145*100</f>
        <v>100</v>
      </c>
      <c r="AT145" s="88">
        <f t="shared" si="655"/>
        <v>0</v>
      </c>
      <c r="AU145" s="88">
        <f t="shared" si="656"/>
        <v>33.333333333333329</v>
      </c>
      <c r="AV145" s="88">
        <f t="shared" si="657"/>
        <v>33.333333333333329</v>
      </c>
      <c r="AW145" s="88">
        <f t="shared" si="658"/>
        <v>6.666666666666667</v>
      </c>
      <c r="AX145" s="88">
        <f t="shared" si="659"/>
        <v>20</v>
      </c>
      <c r="AY145" s="88">
        <f t="shared" si="660"/>
        <v>6.666666666666667</v>
      </c>
      <c r="AZ145" s="88">
        <f t="shared" si="661"/>
        <v>0</v>
      </c>
    </row>
    <row r="146" spans="1:52" s="3" customFormat="1" ht="20.25" customHeight="1">
      <c r="A146" s="395"/>
      <c r="B146" s="240" t="s">
        <v>131</v>
      </c>
      <c r="C146" s="308">
        <v>812</v>
      </c>
      <c r="D146" s="310">
        <v>45993</v>
      </c>
      <c r="E146" s="310">
        <v>46010</v>
      </c>
      <c r="F146" s="308">
        <v>220</v>
      </c>
      <c r="G146" s="308">
        <v>0</v>
      </c>
      <c r="H146" s="235">
        <f>F146+G146</f>
        <v>220</v>
      </c>
      <c r="I146" s="308">
        <v>0</v>
      </c>
      <c r="J146" s="308">
        <v>0</v>
      </c>
      <c r="K146" s="235">
        <v>220</v>
      </c>
      <c r="L146" s="308">
        <v>0</v>
      </c>
      <c r="M146" s="308">
        <v>0</v>
      </c>
      <c r="N146" s="308">
        <v>220</v>
      </c>
      <c r="O146" s="308">
        <v>15</v>
      </c>
      <c r="P146" s="308">
        <v>0</v>
      </c>
      <c r="Q146" s="308">
        <v>0</v>
      </c>
      <c r="R146" s="308">
        <v>0</v>
      </c>
      <c r="S146" s="308">
        <v>0</v>
      </c>
      <c r="T146" s="308">
        <v>12</v>
      </c>
      <c r="U146" s="308">
        <v>5</v>
      </c>
      <c r="V146" s="308">
        <v>0</v>
      </c>
      <c r="W146" s="308">
        <v>20</v>
      </c>
      <c r="X146" s="308">
        <v>5</v>
      </c>
      <c r="Y146" s="308">
        <v>0</v>
      </c>
      <c r="Z146" s="308">
        <v>31</v>
      </c>
      <c r="AA146" s="308">
        <v>1</v>
      </c>
      <c r="AB146" s="308">
        <v>0</v>
      </c>
      <c r="AC146" s="308">
        <v>35</v>
      </c>
      <c r="AD146" s="308">
        <v>3</v>
      </c>
      <c r="AE146" s="308">
        <v>0</v>
      </c>
      <c r="AF146" s="308">
        <v>60</v>
      </c>
      <c r="AG146" s="308">
        <v>1</v>
      </c>
      <c r="AH146" s="308">
        <v>0</v>
      </c>
      <c r="AI146" s="308">
        <v>0</v>
      </c>
      <c r="AJ146" s="308">
        <v>0</v>
      </c>
      <c r="AK146" s="309">
        <f t="shared" ref="AK146" si="665">P146+S146+V146+Y146+AB146+AE146+AH146</f>
        <v>0</v>
      </c>
      <c r="AL146" s="309">
        <f>Q146+T146+W146+Z146+AC146+AF146+AI146</f>
        <v>158</v>
      </c>
      <c r="AM146" s="309">
        <f t="shared" ref="AM146" si="666">AK146+AL146</f>
        <v>158</v>
      </c>
      <c r="AN146" s="309">
        <f t="shared" ref="AN146" si="667">R146+U146+X146+AA146+AD146+AG146+AJ146</f>
        <v>15</v>
      </c>
      <c r="AO146" s="189">
        <f t="shared" ref="AO146" si="668">O146/H146*100</f>
        <v>6.8181818181818175</v>
      </c>
      <c r="AP146" s="189">
        <f t="shared" ref="AP146" si="669">AN146/H146*100</f>
        <v>6.8181818181818175</v>
      </c>
      <c r="AQ146" s="189">
        <f t="shared" ref="AQ146" si="670">AN146/AM146*100</f>
        <v>9.4936708860759502</v>
      </c>
      <c r="AR146" s="81">
        <f t="shared" si="663"/>
        <v>0</v>
      </c>
      <c r="AS146" s="81">
        <f t="shared" si="664"/>
        <v>100</v>
      </c>
      <c r="AT146" s="81">
        <f t="shared" si="655"/>
        <v>0</v>
      </c>
      <c r="AU146" s="81">
        <f t="shared" si="656"/>
        <v>33.333333333333329</v>
      </c>
      <c r="AV146" s="81">
        <f t="shared" si="657"/>
        <v>33.333333333333329</v>
      </c>
      <c r="AW146" s="81">
        <f t="shared" si="658"/>
        <v>6.666666666666667</v>
      </c>
      <c r="AX146" s="81">
        <f t="shared" si="659"/>
        <v>20</v>
      </c>
      <c r="AY146" s="81">
        <f t="shared" si="660"/>
        <v>6.666666666666667</v>
      </c>
      <c r="AZ146" s="81">
        <f t="shared" si="661"/>
        <v>0</v>
      </c>
    </row>
    <row r="147" spans="1:52" s="3" customFormat="1" ht="20.25" customHeight="1">
      <c r="A147" s="83" t="s">
        <v>305</v>
      </c>
      <c r="B147" s="83">
        <v>1</v>
      </c>
      <c r="C147" s="83">
        <f>C145</f>
        <v>812</v>
      </c>
      <c r="D147" s="104">
        <f>MIN(D145:D146)</f>
        <v>45993</v>
      </c>
      <c r="E147" s="104">
        <f>MAX(E145:E146)</f>
        <v>46010</v>
      </c>
      <c r="F147" s="83">
        <f>F145</f>
        <v>220</v>
      </c>
      <c r="G147" s="83">
        <f t="shared" ref="G147:AJ147" si="671">G145</f>
        <v>0</v>
      </c>
      <c r="H147" s="83">
        <f t="shared" si="671"/>
        <v>220</v>
      </c>
      <c r="I147" s="83">
        <f t="shared" si="671"/>
        <v>0</v>
      </c>
      <c r="J147" s="83">
        <f t="shared" si="671"/>
        <v>0</v>
      </c>
      <c r="K147" s="83">
        <f t="shared" si="671"/>
        <v>220</v>
      </c>
      <c r="L147" s="83">
        <f t="shared" si="671"/>
        <v>0</v>
      </c>
      <c r="M147" s="83">
        <f t="shared" si="671"/>
        <v>0</v>
      </c>
      <c r="N147" s="83">
        <f t="shared" si="671"/>
        <v>220</v>
      </c>
      <c r="O147" s="83">
        <f t="shared" si="671"/>
        <v>15</v>
      </c>
      <c r="P147" s="83">
        <f t="shared" si="671"/>
        <v>0</v>
      </c>
      <c r="Q147" s="83">
        <f t="shared" si="671"/>
        <v>0</v>
      </c>
      <c r="R147" s="83">
        <f t="shared" si="671"/>
        <v>0</v>
      </c>
      <c r="S147" s="83">
        <f t="shared" si="671"/>
        <v>0</v>
      </c>
      <c r="T147" s="83">
        <f t="shared" si="671"/>
        <v>12</v>
      </c>
      <c r="U147" s="83">
        <f t="shared" si="671"/>
        <v>5</v>
      </c>
      <c r="V147" s="83">
        <f t="shared" si="671"/>
        <v>0</v>
      </c>
      <c r="W147" s="83">
        <f t="shared" si="671"/>
        <v>20</v>
      </c>
      <c r="X147" s="83">
        <f t="shared" si="671"/>
        <v>5</v>
      </c>
      <c r="Y147" s="83">
        <f t="shared" si="671"/>
        <v>0</v>
      </c>
      <c r="Z147" s="83">
        <f t="shared" si="671"/>
        <v>31</v>
      </c>
      <c r="AA147" s="83">
        <f t="shared" si="671"/>
        <v>1</v>
      </c>
      <c r="AB147" s="83">
        <f t="shared" si="671"/>
        <v>0</v>
      </c>
      <c r="AC147" s="83">
        <f t="shared" si="671"/>
        <v>35</v>
      </c>
      <c r="AD147" s="83">
        <f t="shared" si="671"/>
        <v>3</v>
      </c>
      <c r="AE147" s="83">
        <f t="shared" si="671"/>
        <v>0</v>
      </c>
      <c r="AF147" s="83">
        <f t="shared" si="671"/>
        <v>60</v>
      </c>
      <c r="AG147" s="83">
        <f t="shared" si="671"/>
        <v>1</v>
      </c>
      <c r="AH147" s="83">
        <f t="shared" si="671"/>
        <v>0</v>
      </c>
      <c r="AI147" s="83">
        <f t="shared" si="671"/>
        <v>0</v>
      </c>
      <c r="AJ147" s="83">
        <f t="shared" si="671"/>
        <v>0</v>
      </c>
      <c r="AK147" s="83">
        <f>P147+S147+V147+Y147+AB147+AE147+AH147</f>
        <v>0</v>
      </c>
      <c r="AL147" s="83">
        <f>Q147+T147+W147+Z147+AC147+AF147+AI147</f>
        <v>158</v>
      </c>
      <c r="AM147" s="83">
        <f>AK147+AL147</f>
        <v>158</v>
      </c>
      <c r="AN147" s="83">
        <f>R147+U147+X147+AA147+AD147+AG147+AJ147</f>
        <v>15</v>
      </c>
      <c r="AO147" s="190">
        <f>O147/H147*100</f>
        <v>6.8181818181818175</v>
      </c>
      <c r="AP147" s="190">
        <f>AN147/H147*100</f>
        <v>6.8181818181818175</v>
      </c>
      <c r="AQ147" s="190">
        <f>AN147/AM147*100</f>
        <v>9.4936708860759502</v>
      </c>
      <c r="AR147" s="85">
        <f>AK147/AM147*100</f>
        <v>0</v>
      </c>
      <c r="AS147" s="85">
        <f>AL147/AM147*100</f>
        <v>100</v>
      </c>
      <c r="AT147" s="85">
        <f t="shared" ref="AT147" si="672">R147/AN147*100</f>
        <v>0</v>
      </c>
      <c r="AU147" s="85">
        <f t="shared" ref="AU147" si="673">U147/AN147*100</f>
        <v>33.333333333333329</v>
      </c>
      <c r="AV147" s="85">
        <f t="shared" ref="AV147" si="674">X147/AN147*100</f>
        <v>33.333333333333329</v>
      </c>
      <c r="AW147" s="85">
        <f t="shared" ref="AW147" si="675">AA147/AN147*100</f>
        <v>6.666666666666667</v>
      </c>
      <c r="AX147" s="85">
        <f t="shared" ref="AX147" si="676">AD147/AN147*100</f>
        <v>20</v>
      </c>
      <c r="AY147" s="85">
        <f t="shared" ref="AY147" si="677">AG147/AN147*100</f>
        <v>6.666666666666667</v>
      </c>
      <c r="AZ147" s="85">
        <f t="shared" ref="AZ147" si="678">AJ147/AN147*100</f>
        <v>0</v>
      </c>
    </row>
    <row r="148" spans="1:52" s="3" customFormat="1" ht="20.25" customHeight="1">
      <c r="A148" s="83" t="s">
        <v>38</v>
      </c>
      <c r="B148" s="83">
        <f>B18+B29+B48+B70+B74+B91+B106+B121+B132+B144+B147</f>
        <v>109</v>
      </c>
      <c r="C148" s="83">
        <f>C18+C29+C48+C70+C74+C91+C106+C121+C132+C144+C147</f>
        <v>21962</v>
      </c>
      <c r="D148" s="104">
        <f>MIN(D12:D147)</f>
        <v>45659</v>
      </c>
      <c r="E148" s="104">
        <f>MAX(E12:E147)</f>
        <v>46010</v>
      </c>
      <c r="F148" s="83">
        <f>F18+F29+F48+F70+F74+F91+F106+F121+F132+F144+F147</f>
        <v>6237</v>
      </c>
      <c r="G148" s="83">
        <f t="shared" ref="G148:AJ148" si="679">G18+G29+G48+G70+G74+G91+G106+G121+G132+G144+G147</f>
        <v>1</v>
      </c>
      <c r="H148" s="83">
        <f t="shared" si="679"/>
        <v>6238</v>
      </c>
      <c r="I148" s="83">
        <f t="shared" si="679"/>
        <v>11</v>
      </c>
      <c r="J148" s="83">
        <f t="shared" si="679"/>
        <v>0</v>
      </c>
      <c r="K148" s="83">
        <f t="shared" si="679"/>
        <v>5874</v>
      </c>
      <c r="L148" s="83">
        <f t="shared" si="679"/>
        <v>0</v>
      </c>
      <c r="M148" s="83">
        <f t="shared" si="679"/>
        <v>0</v>
      </c>
      <c r="N148" s="83">
        <f t="shared" si="679"/>
        <v>3555</v>
      </c>
      <c r="O148" s="83">
        <f t="shared" si="679"/>
        <v>324</v>
      </c>
      <c r="P148" s="83">
        <f t="shared" si="679"/>
        <v>3</v>
      </c>
      <c r="Q148" s="83">
        <f t="shared" si="679"/>
        <v>6</v>
      </c>
      <c r="R148" s="83">
        <f t="shared" si="679"/>
        <v>0</v>
      </c>
      <c r="S148" s="83">
        <f t="shared" si="679"/>
        <v>5</v>
      </c>
      <c r="T148" s="83">
        <f t="shared" si="679"/>
        <v>259</v>
      </c>
      <c r="U148" s="83">
        <f t="shared" si="679"/>
        <v>53</v>
      </c>
      <c r="V148" s="83">
        <f t="shared" si="679"/>
        <v>95</v>
      </c>
      <c r="W148" s="83">
        <f t="shared" si="679"/>
        <v>1032</v>
      </c>
      <c r="X148" s="83">
        <f t="shared" si="679"/>
        <v>105</v>
      </c>
      <c r="Y148" s="83">
        <f t="shared" si="679"/>
        <v>24</v>
      </c>
      <c r="Z148" s="83">
        <f t="shared" si="679"/>
        <v>428</v>
      </c>
      <c r="AA148" s="83">
        <f t="shared" si="679"/>
        <v>13</v>
      </c>
      <c r="AB148" s="83">
        <f t="shared" si="679"/>
        <v>53</v>
      </c>
      <c r="AC148" s="83">
        <f t="shared" si="679"/>
        <v>1508</v>
      </c>
      <c r="AD148" s="83">
        <f t="shared" si="679"/>
        <v>214</v>
      </c>
      <c r="AE148" s="83">
        <f t="shared" si="679"/>
        <v>358</v>
      </c>
      <c r="AF148" s="83">
        <f t="shared" si="679"/>
        <v>2577</v>
      </c>
      <c r="AG148" s="83">
        <f t="shared" si="679"/>
        <v>35</v>
      </c>
      <c r="AH148" s="83">
        <f t="shared" si="679"/>
        <v>0</v>
      </c>
      <c r="AI148" s="83">
        <f t="shared" si="679"/>
        <v>18</v>
      </c>
      <c r="AJ148" s="83">
        <f t="shared" si="679"/>
        <v>7</v>
      </c>
      <c r="AK148" s="83">
        <f>AK18+AK29+AK48+AK70+AK74+AK91+AK106+AK121+AK132</f>
        <v>524</v>
      </c>
      <c r="AL148" s="83">
        <f>AL18+AL29+AL48+AL70+AL74+AL91+AL106+AL121+AL132</f>
        <v>5383</v>
      </c>
      <c r="AM148" s="83">
        <f>AM18+AM29+AM48+AM70+AM74+AM91+AM106+AM121+AM132</f>
        <v>5907</v>
      </c>
      <c r="AN148" s="83">
        <f>AN18+AN29+AN48+AN70+AN74+AN91+AN106+AN121+AN132</f>
        <v>401</v>
      </c>
      <c r="AO148" s="190">
        <f>O148/H148*100</f>
        <v>5.193972427059955</v>
      </c>
      <c r="AP148" s="190">
        <f>AN148/H148*100</f>
        <v>6.4283424174414874</v>
      </c>
      <c r="AQ148" s="190">
        <f>AN148/AM148*100</f>
        <v>6.7885559505671242</v>
      </c>
      <c r="AR148" s="85">
        <f>AK148/AM148*100</f>
        <v>8.8708312171999335</v>
      </c>
      <c r="AS148" s="85">
        <f>AL148/AM148*100</f>
        <v>91.129168782800065</v>
      </c>
      <c r="AT148" s="85">
        <f t="shared" ref="AT148" si="680">R148/AN148*100</f>
        <v>0</v>
      </c>
      <c r="AU148" s="85">
        <f t="shared" ref="AU148" si="681">U148/AN148*100</f>
        <v>13.216957605985039</v>
      </c>
      <c r="AV148" s="85">
        <f t="shared" ref="AV148" si="682">X148/AN148*100</f>
        <v>26.184538653366584</v>
      </c>
      <c r="AW148" s="85">
        <f t="shared" ref="AW148" si="683">AA148/AN148*100</f>
        <v>3.2418952618453867</v>
      </c>
      <c r="AX148" s="85">
        <f t="shared" ref="AX148" si="684">AD148/AN148*100</f>
        <v>53.366583541147129</v>
      </c>
      <c r="AY148" s="85">
        <f t="shared" ref="AY148" si="685">AG148/AN148*100</f>
        <v>8.7281795511221958</v>
      </c>
      <c r="AZ148" s="85">
        <f t="shared" ref="AZ148" si="686">AJ148/AN148*100</f>
        <v>1.7456359102244388</v>
      </c>
    </row>
  </sheetData>
  <autoFilter ref="A5:AO148">
    <filterColumn colId="2" showButton="0"/>
    <filterColumn colId="4" showButton="0"/>
    <filterColumn colId="5" showButton="0"/>
    <filterColumn colId="6" showButton="0"/>
    <filterColumn colId="7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  <filterColumn colId="30" showButton="0"/>
    <filterColumn colId="32" showButton="0"/>
    <filterColumn colId="34" showButton="0"/>
    <filterColumn colId="36" showButton="0"/>
  </autoFilter>
  <mergeCells count="69">
    <mergeCell ref="A145:A146"/>
    <mergeCell ref="A89:A90"/>
    <mergeCell ref="A75:A88"/>
    <mergeCell ref="A92:A103"/>
    <mergeCell ref="A104:A105"/>
    <mergeCell ref="A123:A129"/>
    <mergeCell ref="A133:A136"/>
    <mergeCell ref="A137:A143"/>
    <mergeCell ref="A119:A120"/>
    <mergeCell ref="A107:A118"/>
    <mergeCell ref="A130:A131"/>
    <mergeCell ref="AH3:AJ3"/>
    <mergeCell ref="L4:L5"/>
    <mergeCell ref="AM4:AM5"/>
    <mergeCell ref="AK4:AK5"/>
    <mergeCell ref="AH4:AJ4"/>
    <mergeCell ref="S4:U4"/>
    <mergeCell ref="O4:O5"/>
    <mergeCell ref="AE4:AG4"/>
    <mergeCell ref="AB4:AD4"/>
    <mergeCell ref="V4:X4"/>
    <mergeCell ref="A1:AP1"/>
    <mergeCell ref="A3:A5"/>
    <mergeCell ref="B3:B5"/>
    <mergeCell ref="C3:C5"/>
    <mergeCell ref="D3:E3"/>
    <mergeCell ref="F3:J3"/>
    <mergeCell ref="K3:K5"/>
    <mergeCell ref="L3:M3"/>
    <mergeCell ref="N3:O3"/>
    <mergeCell ref="P3:U3"/>
    <mergeCell ref="V3:X3"/>
    <mergeCell ref="Y3:AA3"/>
    <mergeCell ref="AB3:AG3"/>
    <mergeCell ref="Y4:AA4"/>
    <mergeCell ref="F4:G4"/>
    <mergeCell ref="H4:H5"/>
    <mergeCell ref="AT3:AZ3"/>
    <mergeCell ref="AK3:AN3"/>
    <mergeCell ref="AO3:AS3"/>
    <mergeCell ref="AY4:AY5"/>
    <mergeCell ref="AZ4:AZ5"/>
    <mergeCell ref="AX4:AX5"/>
    <mergeCell ref="AN4:AN5"/>
    <mergeCell ref="AO4:AQ4"/>
    <mergeCell ref="AR4:AS4"/>
    <mergeCell ref="AT4:AT5"/>
    <mergeCell ref="AU4:AU5"/>
    <mergeCell ref="AV4:AV5"/>
    <mergeCell ref="AW4:AW5"/>
    <mergeCell ref="AL4:AL5"/>
    <mergeCell ref="D4:D5"/>
    <mergeCell ref="E4:E5"/>
    <mergeCell ref="P4:R4"/>
    <mergeCell ref="M4:M5"/>
    <mergeCell ref="N4:N5"/>
    <mergeCell ref="I4:I5"/>
    <mergeCell ref="J4:J5"/>
    <mergeCell ref="A6:A12"/>
    <mergeCell ref="A13:A17"/>
    <mergeCell ref="A19:A24"/>
    <mergeCell ref="A25:A28"/>
    <mergeCell ref="A30:A38"/>
    <mergeCell ref="A39:A44"/>
    <mergeCell ref="A45:A47"/>
    <mergeCell ref="A71:A73"/>
    <mergeCell ref="A67:A69"/>
    <mergeCell ref="A61:A65"/>
    <mergeCell ref="A50:A60"/>
  </mergeCells>
  <phoneticPr fontId="2" type="noConversion"/>
  <pageMargins left="0.75" right="0.75" top="1" bottom="1" header="0" footer="0"/>
  <pageSetup paperSize="5" scale="95" orientation="landscape" r:id="rId1"/>
  <headerFooter alignWithMargins="0"/>
  <ignoredErrors>
    <ignoredError sqref="AK49:AO49 F49:AJ49 C49:E49 B61:G61 L61:AJ61 F70:AI70 C70" formulaRange="1"/>
    <ignoredError sqref="H61:K61" formula="1" formulaRange="1"/>
    <ignoredError sqref="H104:K104 H89:K89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Z26"/>
  <sheetViews>
    <sheetView workbookViewId="0">
      <pane xSplit="3" ySplit="5" topLeftCell="D26" activePane="bottomRight" state="frozen"/>
      <selection activeCell="C20" sqref="C20"/>
      <selection pane="topRight" activeCell="C20" sqref="C20"/>
      <selection pane="bottomLeft" activeCell="C20" sqref="C20"/>
      <selection pane="bottomRight" activeCell="AT23" sqref="AT23"/>
    </sheetView>
  </sheetViews>
  <sheetFormatPr baseColWidth="10" defaultRowHeight="12.75"/>
  <cols>
    <col min="1" max="1" width="25.28515625" customWidth="1"/>
    <col min="2" max="2" width="29.85546875" customWidth="1"/>
    <col min="3" max="3" width="10.85546875" style="43" customWidth="1"/>
    <col min="4" max="5" width="12.7109375" customWidth="1"/>
    <col min="6" max="6" width="8.140625" customWidth="1"/>
    <col min="7" max="7" width="6.5703125" customWidth="1"/>
    <col min="8" max="8" width="8.42578125" customWidth="1"/>
    <col min="9" max="9" width="5.5703125" customWidth="1"/>
    <col min="10" max="10" width="5.85546875" customWidth="1"/>
    <col min="11" max="11" width="8" customWidth="1"/>
    <col min="12" max="13" width="5.5703125" customWidth="1"/>
    <col min="14" max="14" width="8.7109375" customWidth="1"/>
    <col min="15" max="19" width="6.85546875" customWidth="1"/>
    <col min="20" max="22" width="5.5703125" customWidth="1"/>
    <col min="23" max="23" width="6.140625" customWidth="1"/>
    <col min="24" max="25" width="5.5703125" customWidth="1"/>
    <col min="26" max="26" width="6.140625" customWidth="1"/>
    <col min="27" max="29" width="5.5703125" customWidth="1"/>
    <col min="30" max="30" width="6.140625" customWidth="1"/>
    <col min="31" max="31" width="5.5703125" customWidth="1"/>
    <col min="32" max="32" width="6.28515625" customWidth="1"/>
    <col min="33" max="36" width="5.5703125" customWidth="1"/>
    <col min="37" max="40" width="8.42578125" customWidth="1"/>
    <col min="41" max="43" width="9.85546875" style="5" customWidth="1"/>
    <col min="44" max="45" width="9.7109375" style="46" customWidth="1"/>
    <col min="46" max="47" width="7.7109375" style="72" customWidth="1"/>
    <col min="48" max="48" width="8" style="72" customWidth="1"/>
    <col min="49" max="49" width="8.140625" style="72" customWidth="1"/>
    <col min="50" max="52" width="7.85546875" style="72" customWidth="1"/>
  </cols>
  <sheetData>
    <row r="1" spans="1:52" ht="44.25" customHeight="1">
      <c r="A1" s="326" t="s">
        <v>176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  <c r="AO1" s="326"/>
      <c r="AP1" s="326"/>
      <c r="AQ1" s="179"/>
      <c r="AR1" s="48"/>
      <c r="AS1" s="48"/>
    </row>
    <row r="2" spans="1:52">
      <c r="A2" s="132" t="s">
        <v>177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80"/>
      <c r="AP2" s="180"/>
      <c r="AQ2" s="180"/>
      <c r="AR2" s="49"/>
      <c r="AS2" s="49"/>
    </row>
    <row r="3" spans="1:52" s="11" customFormat="1" ht="51" customHeight="1">
      <c r="A3" s="327" t="s">
        <v>46</v>
      </c>
      <c r="B3" s="328" t="s">
        <v>47</v>
      </c>
      <c r="C3" s="329" t="s">
        <v>76</v>
      </c>
      <c r="D3" s="327" t="s">
        <v>0</v>
      </c>
      <c r="E3" s="327"/>
      <c r="F3" s="327" t="s">
        <v>4</v>
      </c>
      <c r="G3" s="327"/>
      <c r="H3" s="327"/>
      <c r="I3" s="327"/>
      <c r="J3" s="327"/>
      <c r="K3" s="332" t="s">
        <v>3</v>
      </c>
      <c r="L3" s="333" t="s">
        <v>8</v>
      </c>
      <c r="M3" s="333"/>
      <c r="N3" s="334" t="s">
        <v>71</v>
      </c>
      <c r="O3" s="334"/>
      <c r="P3" s="335" t="s">
        <v>60</v>
      </c>
      <c r="Q3" s="336"/>
      <c r="R3" s="336"/>
      <c r="S3" s="336"/>
      <c r="T3" s="336"/>
      <c r="U3" s="337"/>
      <c r="V3" s="335" t="s">
        <v>57</v>
      </c>
      <c r="W3" s="336"/>
      <c r="X3" s="337"/>
      <c r="Y3" s="335" t="s">
        <v>58</v>
      </c>
      <c r="Z3" s="336"/>
      <c r="AA3" s="337"/>
      <c r="AB3" s="348" t="s">
        <v>56</v>
      </c>
      <c r="AC3" s="349"/>
      <c r="AD3" s="349"/>
      <c r="AE3" s="349"/>
      <c r="AF3" s="349"/>
      <c r="AG3" s="350"/>
      <c r="AH3" s="335" t="s">
        <v>59</v>
      </c>
      <c r="AI3" s="336"/>
      <c r="AJ3" s="337"/>
      <c r="AK3" s="335" t="s">
        <v>2</v>
      </c>
      <c r="AL3" s="336"/>
      <c r="AM3" s="336"/>
      <c r="AN3" s="337"/>
      <c r="AO3" s="351" t="s">
        <v>90</v>
      </c>
      <c r="AP3" s="352"/>
      <c r="AQ3" s="352"/>
      <c r="AR3" s="352"/>
      <c r="AS3" s="353"/>
      <c r="AT3" s="344" t="s">
        <v>89</v>
      </c>
      <c r="AU3" s="344"/>
      <c r="AV3" s="344"/>
      <c r="AW3" s="344"/>
      <c r="AX3" s="344"/>
      <c r="AY3" s="344"/>
      <c r="AZ3" s="344"/>
    </row>
    <row r="4" spans="1:52" s="11" customFormat="1" ht="23.25" customHeight="1">
      <c r="A4" s="327"/>
      <c r="B4" s="328"/>
      <c r="C4" s="330"/>
      <c r="D4" s="327" t="s">
        <v>10</v>
      </c>
      <c r="E4" s="327" t="s">
        <v>9</v>
      </c>
      <c r="F4" s="345" t="s">
        <v>5</v>
      </c>
      <c r="G4" s="345"/>
      <c r="H4" s="346" t="s">
        <v>2</v>
      </c>
      <c r="I4" s="346" t="s">
        <v>13</v>
      </c>
      <c r="J4" s="346" t="s">
        <v>14</v>
      </c>
      <c r="K4" s="332"/>
      <c r="L4" s="347" t="s">
        <v>7</v>
      </c>
      <c r="M4" s="340" t="s">
        <v>6</v>
      </c>
      <c r="N4" s="347" t="s">
        <v>1</v>
      </c>
      <c r="O4" s="340" t="s">
        <v>6</v>
      </c>
      <c r="P4" s="335" t="s">
        <v>34</v>
      </c>
      <c r="Q4" s="336"/>
      <c r="R4" s="337"/>
      <c r="S4" s="341" t="s">
        <v>35</v>
      </c>
      <c r="T4" s="342"/>
      <c r="U4" s="343"/>
      <c r="V4" s="335" t="s">
        <v>31</v>
      </c>
      <c r="W4" s="336"/>
      <c r="X4" s="337"/>
      <c r="Y4" s="335" t="s">
        <v>32</v>
      </c>
      <c r="Z4" s="336"/>
      <c r="AA4" s="337"/>
      <c r="AB4" s="354" t="s">
        <v>36</v>
      </c>
      <c r="AC4" s="355"/>
      <c r="AD4" s="356"/>
      <c r="AE4" s="335" t="s">
        <v>37</v>
      </c>
      <c r="AF4" s="336"/>
      <c r="AG4" s="337"/>
      <c r="AH4" s="335" t="s">
        <v>33</v>
      </c>
      <c r="AI4" s="336"/>
      <c r="AJ4" s="337"/>
      <c r="AK4" s="357" t="s">
        <v>84</v>
      </c>
      <c r="AL4" s="357" t="s">
        <v>85</v>
      </c>
      <c r="AM4" s="357" t="s">
        <v>86</v>
      </c>
      <c r="AN4" s="338" t="s">
        <v>87</v>
      </c>
      <c r="AO4" s="360" t="s">
        <v>91</v>
      </c>
      <c r="AP4" s="361"/>
      <c r="AQ4" s="362"/>
      <c r="AR4" s="363" t="s">
        <v>92</v>
      </c>
      <c r="AS4" s="364"/>
      <c r="AT4" s="359" t="s">
        <v>97</v>
      </c>
      <c r="AU4" s="359" t="s">
        <v>88</v>
      </c>
      <c r="AV4" s="359" t="s">
        <v>80</v>
      </c>
      <c r="AW4" s="359" t="s">
        <v>81</v>
      </c>
      <c r="AX4" s="359" t="s">
        <v>294</v>
      </c>
      <c r="AY4" s="359" t="s">
        <v>82</v>
      </c>
      <c r="AZ4" s="359" t="s">
        <v>83</v>
      </c>
    </row>
    <row r="5" spans="1:52" s="11" customFormat="1" ht="57" customHeight="1">
      <c r="A5" s="327"/>
      <c r="B5" s="328"/>
      <c r="C5" s="331"/>
      <c r="D5" s="327"/>
      <c r="E5" s="327"/>
      <c r="F5" s="12" t="s">
        <v>11</v>
      </c>
      <c r="G5" s="12" t="s">
        <v>12</v>
      </c>
      <c r="H5" s="346"/>
      <c r="I5" s="346"/>
      <c r="J5" s="346"/>
      <c r="K5" s="332"/>
      <c r="L5" s="347"/>
      <c r="M5" s="340"/>
      <c r="N5" s="347"/>
      <c r="O5" s="340"/>
      <c r="P5" s="41" t="s">
        <v>77</v>
      </c>
      <c r="Q5" s="41" t="s">
        <v>78</v>
      </c>
      <c r="R5" s="45" t="s">
        <v>79</v>
      </c>
      <c r="S5" s="41" t="s">
        <v>77</v>
      </c>
      <c r="T5" s="41" t="s">
        <v>78</v>
      </c>
      <c r="U5" s="45" t="s">
        <v>79</v>
      </c>
      <c r="V5" s="41" t="s">
        <v>77</v>
      </c>
      <c r="W5" s="41" t="s">
        <v>78</v>
      </c>
      <c r="X5" s="45" t="s">
        <v>79</v>
      </c>
      <c r="Y5" s="41" t="s">
        <v>77</v>
      </c>
      <c r="Z5" s="41" t="s">
        <v>78</v>
      </c>
      <c r="AA5" s="45" t="s">
        <v>79</v>
      </c>
      <c r="AB5" s="41" t="s">
        <v>77</v>
      </c>
      <c r="AC5" s="41" t="s">
        <v>78</v>
      </c>
      <c r="AD5" s="45" t="s">
        <v>79</v>
      </c>
      <c r="AE5" s="41" t="s">
        <v>77</v>
      </c>
      <c r="AF5" s="41" t="s">
        <v>78</v>
      </c>
      <c r="AG5" s="45" t="s">
        <v>79</v>
      </c>
      <c r="AH5" s="41" t="s">
        <v>77</v>
      </c>
      <c r="AI5" s="41" t="s">
        <v>78</v>
      </c>
      <c r="AJ5" s="45" t="s">
        <v>79</v>
      </c>
      <c r="AK5" s="358"/>
      <c r="AL5" s="358"/>
      <c r="AM5" s="358"/>
      <c r="AN5" s="339"/>
      <c r="AO5" s="187" t="s">
        <v>93</v>
      </c>
      <c r="AP5" s="187" t="s">
        <v>94</v>
      </c>
      <c r="AQ5" s="187" t="s">
        <v>98</v>
      </c>
      <c r="AR5" s="50" t="s">
        <v>95</v>
      </c>
      <c r="AS5" s="50" t="s">
        <v>96</v>
      </c>
      <c r="AT5" s="359"/>
      <c r="AU5" s="359"/>
      <c r="AV5" s="359"/>
      <c r="AW5" s="359"/>
      <c r="AX5" s="359"/>
      <c r="AY5" s="359"/>
      <c r="AZ5" s="359"/>
    </row>
    <row r="6" spans="1:52" s="65" customFormat="1" ht="20.25" customHeight="1">
      <c r="A6" s="228" t="s">
        <v>167</v>
      </c>
      <c r="B6" s="198" t="s">
        <v>159</v>
      </c>
      <c r="C6" s="105">
        <v>264</v>
      </c>
      <c r="D6" s="229">
        <v>45664</v>
      </c>
      <c r="E6" s="229">
        <v>45685</v>
      </c>
      <c r="F6" s="105">
        <v>124</v>
      </c>
      <c r="G6" s="105">
        <v>0</v>
      </c>
      <c r="H6" s="105">
        <f>F6+G6</f>
        <v>124</v>
      </c>
      <c r="I6" s="105">
        <v>4</v>
      </c>
      <c r="J6" s="105">
        <v>0</v>
      </c>
      <c r="K6" s="105">
        <f>H6+I6+J6</f>
        <v>128</v>
      </c>
      <c r="L6" s="105">
        <v>0</v>
      </c>
      <c r="M6" s="105">
        <v>0</v>
      </c>
      <c r="N6" s="105">
        <v>0</v>
      </c>
      <c r="O6" s="105">
        <v>10</v>
      </c>
      <c r="P6" s="105">
        <v>0</v>
      </c>
      <c r="Q6" s="105">
        <v>9</v>
      </c>
      <c r="R6" s="105">
        <v>0</v>
      </c>
      <c r="S6" s="105">
        <v>12</v>
      </c>
      <c r="T6" s="105">
        <v>128</v>
      </c>
      <c r="U6" s="105">
        <v>6</v>
      </c>
      <c r="V6" s="105">
        <v>18</v>
      </c>
      <c r="W6" s="105">
        <v>35</v>
      </c>
      <c r="X6" s="105">
        <v>4</v>
      </c>
      <c r="Y6" s="105">
        <v>1</v>
      </c>
      <c r="Z6" s="105">
        <v>5</v>
      </c>
      <c r="AA6" s="105">
        <v>3</v>
      </c>
      <c r="AB6" s="105">
        <v>14</v>
      </c>
      <c r="AC6" s="105">
        <v>14</v>
      </c>
      <c r="AD6" s="105">
        <v>0</v>
      </c>
      <c r="AE6" s="105">
        <v>510</v>
      </c>
      <c r="AF6" s="105">
        <v>11</v>
      </c>
      <c r="AG6" s="105">
        <v>2</v>
      </c>
      <c r="AH6" s="105">
        <v>0</v>
      </c>
      <c r="AI6" s="105">
        <v>1</v>
      </c>
      <c r="AJ6" s="105">
        <v>0</v>
      </c>
      <c r="AK6" s="105">
        <f t="shared" ref="AK6:AL6" si="0">P6+S6+V6+Y6+AB6+AE6+AH6</f>
        <v>555</v>
      </c>
      <c r="AL6" s="105">
        <f t="shared" si="0"/>
        <v>203</v>
      </c>
      <c r="AM6" s="105">
        <f t="shared" ref="AM6" si="1">AK6+AL6</f>
        <v>758</v>
      </c>
      <c r="AN6" s="105">
        <f t="shared" ref="AN6" si="2">R6+U6+X6+AA6+AD6+AG6+AJ6</f>
        <v>15</v>
      </c>
      <c r="AO6" s="184">
        <f t="shared" ref="AO6" si="3">O6/H6*100</f>
        <v>8.064516129032258</v>
      </c>
      <c r="AP6" s="184">
        <f t="shared" ref="AP6" si="4">AN6/H6*100</f>
        <v>12.096774193548388</v>
      </c>
      <c r="AQ6" s="184">
        <f t="shared" ref="AQ6:AQ25" si="5">AN6/AM6*100</f>
        <v>1.9788918205804751</v>
      </c>
      <c r="AR6" s="106">
        <f t="shared" ref="AR6:AR25" si="6">AK6/AM6*100</f>
        <v>73.218997361477577</v>
      </c>
      <c r="AS6" s="106">
        <f t="shared" ref="AS6:AS25" si="7">AL6/AM6*100</f>
        <v>26.781002638522427</v>
      </c>
      <c r="AT6" s="230">
        <f t="shared" ref="AT6" si="8">R6/AN6*100</f>
        <v>0</v>
      </c>
      <c r="AU6" s="230">
        <f t="shared" ref="AU6:AU25" si="9">U6/AN6*100</f>
        <v>40</v>
      </c>
      <c r="AV6" s="230">
        <f t="shared" ref="AV6:AV25" si="10">X6/AN6*100</f>
        <v>26.666666666666668</v>
      </c>
      <c r="AW6" s="230">
        <f t="shared" ref="AW6:AW25" si="11">AA6/AN6*100</f>
        <v>20</v>
      </c>
      <c r="AX6" s="230">
        <f t="shared" ref="AX6:AX25" si="12">AD6/AN6*100</f>
        <v>0</v>
      </c>
      <c r="AY6" s="230">
        <f t="shared" ref="AY6:AY25" si="13">AG6/AN6*100</f>
        <v>13.333333333333334</v>
      </c>
      <c r="AZ6" s="230">
        <f t="shared" ref="AZ6:AZ25" si="14">AJ6/AN6*100</f>
        <v>0</v>
      </c>
    </row>
    <row r="7" spans="1:52" s="65" customFormat="1" ht="20.25" customHeight="1">
      <c r="A7" s="70" t="s">
        <v>62</v>
      </c>
      <c r="B7" s="70">
        <f>COUNTA(B6:B6)</f>
        <v>1</v>
      </c>
      <c r="C7" s="70">
        <f>SUM(C6:C6)</f>
        <v>264</v>
      </c>
      <c r="D7" s="68">
        <f>MIN(D6:D6)</f>
        <v>45664</v>
      </c>
      <c r="E7" s="68">
        <f>MAX(E6:E6)</f>
        <v>45685</v>
      </c>
      <c r="F7" s="70">
        <f>SUM(F6:F6)</f>
        <v>124</v>
      </c>
      <c r="G7" s="70">
        <f>SUM(G6:G6)</f>
        <v>0</v>
      </c>
      <c r="H7" s="62">
        <f>F7+G7</f>
        <v>124</v>
      </c>
      <c r="I7" s="70">
        <f>SUM(I6:I6)</f>
        <v>4</v>
      </c>
      <c r="J7" s="70">
        <f>SUM(J6:J6)</f>
        <v>0</v>
      </c>
      <c r="K7" s="83">
        <f>H7+I7+J7</f>
        <v>128</v>
      </c>
      <c r="L7" s="70">
        <f t="shared" ref="L7:AJ7" si="15">SUM(L6:L6)</f>
        <v>0</v>
      </c>
      <c r="M7" s="70">
        <f t="shared" si="15"/>
        <v>0</v>
      </c>
      <c r="N7" s="70">
        <f t="shared" si="15"/>
        <v>0</v>
      </c>
      <c r="O7" s="70">
        <f t="shared" si="15"/>
        <v>10</v>
      </c>
      <c r="P7" s="70">
        <f t="shared" si="15"/>
        <v>0</v>
      </c>
      <c r="Q7" s="70">
        <f t="shared" si="15"/>
        <v>9</v>
      </c>
      <c r="R7" s="70">
        <f t="shared" si="15"/>
        <v>0</v>
      </c>
      <c r="S7" s="70">
        <f t="shared" si="15"/>
        <v>12</v>
      </c>
      <c r="T7" s="70">
        <f t="shared" si="15"/>
        <v>128</v>
      </c>
      <c r="U7" s="70">
        <f t="shared" si="15"/>
        <v>6</v>
      </c>
      <c r="V7" s="70">
        <f t="shared" si="15"/>
        <v>18</v>
      </c>
      <c r="W7" s="70">
        <f t="shared" si="15"/>
        <v>35</v>
      </c>
      <c r="X7" s="70">
        <f t="shared" si="15"/>
        <v>4</v>
      </c>
      <c r="Y7" s="70">
        <f t="shared" si="15"/>
        <v>1</v>
      </c>
      <c r="Z7" s="70">
        <f t="shared" si="15"/>
        <v>5</v>
      </c>
      <c r="AA7" s="70">
        <f t="shared" si="15"/>
        <v>3</v>
      </c>
      <c r="AB7" s="70">
        <f t="shared" si="15"/>
        <v>14</v>
      </c>
      <c r="AC7" s="70">
        <f t="shared" si="15"/>
        <v>14</v>
      </c>
      <c r="AD7" s="70">
        <f t="shared" si="15"/>
        <v>0</v>
      </c>
      <c r="AE7" s="70">
        <f t="shared" si="15"/>
        <v>510</v>
      </c>
      <c r="AF7" s="70">
        <f t="shared" si="15"/>
        <v>11</v>
      </c>
      <c r="AG7" s="70">
        <f t="shared" si="15"/>
        <v>2</v>
      </c>
      <c r="AH7" s="70">
        <f t="shared" si="15"/>
        <v>0</v>
      </c>
      <c r="AI7" s="70">
        <f t="shared" si="15"/>
        <v>1</v>
      </c>
      <c r="AJ7" s="70">
        <f t="shared" si="15"/>
        <v>0</v>
      </c>
      <c r="AK7" s="83">
        <f>P7+S7+V7+Y7+AB7+AE7+AH7</f>
        <v>555</v>
      </c>
      <c r="AL7" s="83">
        <f>Q7+T7+W7+Z7+AC7+AF7+AI7</f>
        <v>203</v>
      </c>
      <c r="AM7" s="83">
        <f t="shared" ref="AM7:AM9" si="16">AK7+AL7</f>
        <v>758</v>
      </c>
      <c r="AN7" s="83">
        <f t="shared" ref="AN7:AN9" si="17">R7+U7+X7+AA7+AD7+AG7+AJ7</f>
        <v>15</v>
      </c>
      <c r="AO7" s="190">
        <f t="shared" ref="AO7:AO9" si="18">O7/H7*100</f>
        <v>8.064516129032258</v>
      </c>
      <c r="AP7" s="190">
        <f t="shared" ref="AP7:AP9" si="19">AN7/H7*100</f>
        <v>12.096774193548388</v>
      </c>
      <c r="AQ7" s="190">
        <f t="shared" ref="AQ7:AQ9" si="20">AN7/AM7*100</f>
        <v>1.9788918205804751</v>
      </c>
      <c r="AR7" s="85">
        <f t="shared" ref="AR7:AR9" si="21">AK7/AM7*100</f>
        <v>73.218997361477577</v>
      </c>
      <c r="AS7" s="85">
        <f t="shared" ref="AS7:AS9" si="22">AL7/AM7*100</f>
        <v>26.781002638522427</v>
      </c>
      <c r="AT7" s="85">
        <f t="shared" ref="AT7:AT9" si="23">R7/AN7*100</f>
        <v>0</v>
      </c>
      <c r="AU7" s="85">
        <f t="shared" ref="AU7:AU9" si="24">U7/AN7*100</f>
        <v>40</v>
      </c>
      <c r="AV7" s="85">
        <f t="shared" ref="AV7:AV9" si="25">X7/AN7*100</f>
        <v>26.666666666666668</v>
      </c>
      <c r="AW7" s="85">
        <f t="shared" ref="AW7:AW9" si="26">AA7/AN7*100</f>
        <v>20</v>
      </c>
      <c r="AX7" s="85">
        <f t="shared" ref="AX7:AX9" si="27">AD7/AN7*100</f>
        <v>0</v>
      </c>
      <c r="AY7" s="85">
        <f t="shared" ref="AY7:AY9" si="28">AG7/AN7*100</f>
        <v>13.333333333333334</v>
      </c>
      <c r="AZ7" s="85">
        <f t="shared" ref="AZ7:AZ9" si="29">AJ7/AN7*100</f>
        <v>0</v>
      </c>
    </row>
    <row r="8" spans="1:52" s="165" customFormat="1" ht="20.25" customHeight="1">
      <c r="A8" s="163" t="s">
        <v>167</v>
      </c>
      <c r="B8" s="163" t="s">
        <v>159</v>
      </c>
      <c r="C8" s="159">
        <v>125</v>
      </c>
      <c r="D8" s="160">
        <v>45694</v>
      </c>
      <c r="E8" s="160">
        <v>45704</v>
      </c>
      <c r="F8" s="159">
        <v>42</v>
      </c>
      <c r="G8" s="159">
        <v>0</v>
      </c>
      <c r="H8" s="140">
        <f>F8+G8</f>
        <v>42</v>
      </c>
      <c r="I8" s="159">
        <v>0</v>
      </c>
      <c r="J8" s="159">
        <v>0</v>
      </c>
      <c r="K8" s="140">
        <f>H8+I8+J8</f>
        <v>42</v>
      </c>
      <c r="L8" s="159">
        <v>0</v>
      </c>
      <c r="M8" s="159">
        <v>0</v>
      </c>
      <c r="N8" s="159">
        <v>42</v>
      </c>
      <c r="O8" s="159">
        <v>4</v>
      </c>
      <c r="P8" s="159">
        <v>0</v>
      </c>
      <c r="Q8" s="159">
        <v>4</v>
      </c>
      <c r="R8" s="159">
        <v>0</v>
      </c>
      <c r="S8" s="159">
        <v>7</v>
      </c>
      <c r="T8" s="159">
        <v>62</v>
      </c>
      <c r="U8" s="159">
        <v>1</v>
      </c>
      <c r="V8" s="159">
        <v>15</v>
      </c>
      <c r="W8" s="159">
        <v>18</v>
      </c>
      <c r="X8" s="159">
        <v>2</v>
      </c>
      <c r="Y8" s="159">
        <v>0</v>
      </c>
      <c r="Z8" s="159">
        <v>1</v>
      </c>
      <c r="AA8" s="159">
        <v>1</v>
      </c>
      <c r="AB8" s="159">
        <v>11</v>
      </c>
      <c r="AC8" s="159">
        <v>4</v>
      </c>
      <c r="AD8" s="159">
        <v>0</v>
      </c>
      <c r="AE8" s="159">
        <v>135</v>
      </c>
      <c r="AF8" s="159">
        <v>10</v>
      </c>
      <c r="AG8" s="159">
        <v>0</v>
      </c>
      <c r="AH8" s="159">
        <v>0</v>
      </c>
      <c r="AI8" s="159">
        <v>1</v>
      </c>
      <c r="AJ8" s="159">
        <v>0</v>
      </c>
      <c r="AK8" s="140">
        <f t="shared" ref="AK8:AK9" si="30">P8+S8+V8+Y8+AB8+AE8+AH8</f>
        <v>168</v>
      </c>
      <c r="AL8" s="140">
        <f t="shared" ref="AL8:AL9" si="31">Q8+T8+W8+Z8+AC8+AF8+AI8</f>
        <v>100</v>
      </c>
      <c r="AM8" s="140">
        <f t="shared" si="16"/>
        <v>268</v>
      </c>
      <c r="AN8" s="140">
        <f t="shared" si="17"/>
        <v>4</v>
      </c>
      <c r="AO8" s="189">
        <f t="shared" si="18"/>
        <v>9.5238095238095237</v>
      </c>
      <c r="AP8" s="189">
        <f t="shared" si="19"/>
        <v>9.5238095238095237</v>
      </c>
      <c r="AQ8" s="189">
        <f t="shared" si="20"/>
        <v>1.4925373134328357</v>
      </c>
      <c r="AR8" s="81">
        <f t="shared" si="21"/>
        <v>62.68656716417911</v>
      </c>
      <c r="AS8" s="81">
        <f t="shared" si="22"/>
        <v>37.313432835820898</v>
      </c>
      <c r="AT8" s="81">
        <f t="shared" si="23"/>
        <v>0</v>
      </c>
      <c r="AU8" s="81">
        <f t="shared" si="24"/>
        <v>25</v>
      </c>
      <c r="AV8" s="81">
        <f t="shared" si="25"/>
        <v>50</v>
      </c>
      <c r="AW8" s="81">
        <f t="shared" si="26"/>
        <v>25</v>
      </c>
      <c r="AX8" s="81">
        <f t="shared" si="27"/>
        <v>0</v>
      </c>
      <c r="AY8" s="81">
        <f t="shared" si="28"/>
        <v>0</v>
      </c>
      <c r="AZ8" s="81">
        <f t="shared" si="29"/>
        <v>0</v>
      </c>
    </row>
    <row r="9" spans="1:52" s="165" customFormat="1" ht="20.25" customHeight="1">
      <c r="A9" s="163" t="s">
        <v>200</v>
      </c>
      <c r="B9" s="163" t="s">
        <v>216</v>
      </c>
      <c r="C9" s="159">
        <v>213</v>
      </c>
      <c r="D9" s="160">
        <v>45706</v>
      </c>
      <c r="E9" s="160">
        <v>45713</v>
      </c>
      <c r="F9" s="159">
        <v>55</v>
      </c>
      <c r="G9" s="159">
        <v>0</v>
      </c>
      <c r="H9" s="140">
        <f>F9+G9</f>
        <v>55</v>
      </c>
      <c r="I9" s="159">
        <v>3</v>
      </c>
      <c r="J9" s="159">
        <v>0</v>
      </c>
      <c r="K9" s="140">
        <f>H9+I9+J9</f>
        <v>58</v>
      </c>
      <c r="L9" s="159">
        <v>0</v>
      </c>
      <c r="M9" s="159">
        <v>0</v>
      </c>
      <c r="N9" s="159">
        <v>55</v>
      </c>
      <c r="O9" s="159">
        <v>5</v>
      </c>
      <c r="P9" s="159">
        <v>0</v>
      </c>
      <c r="Q9" s="159">
        <v>2</v>
      </c>
      <c r="R9" s="159">
        <v>0</v>
      </c>
      <c r="S9" s="159">
        <v>0</v>
      </c>
      <c r="T9" s="159">
        <v>59</v>
      </c>
      <c r="U9" s="159">
        <v>2</v>
      </c>
      <c r="V9" s="159">
        <v>0</v>
      </c>
      <c r="W9" s="159">
        <v>61</v>
      </c>
      <c r="X9" s="159">
        <v>2</v>
      </c>
      <c r="Y9" s="159">
        <v>0</v>
      </c>
      <c r="Z9" s="159">
        <v>20</v>
      </c>
      <c r="AA9" s="159">
        <v>0</v>
      </c>
      <c r="AB9" s="159">
        <v>6</v>
      </c>
      <c r="AC9" s="159">
        <v>6</v>
      </c>
      <c r="AD9" s="159">
        <v>0</v>
      </c>
      <c r="AE9" s="159">
        <v>119</v>
      </c>
      <c r="AF9" s="159">
        <v>96</v>
      </c>
      <c r="AG9" s="159">
        <v>1</v>
      </c>
      <c r="AH9" s="159">
        <v>0</v>
      </c>
      <c r="AI9" s="159">
        <v>1</v>
      </c>
      <c r="AJ9" s="159">
        <v>0</v>
      </c>
      <c r="AK9" s="140">
        <f t="shared" si="30"/>
        <v>125</v>
      </c>
      <c r="AL9" s="140">
        <f t="shared" si="31"/>
        <v>245</v>
      </c>
      <c r="AM9" s="140">
        <f t="shared" si="16"/>
        <v>370</v>
      </c>
      <c r="AN9" s="140">
        <f t="shared" si="17"/>
        <v>5</v>
      </c>
      <c r="AO9" s="189">
        <f t="shared" si="18"/>
        <v>9.0909090909090917</v>
      </c>
      <c r="AP9" s="189">
        <f t="shared" si="19"/>
        <v>9.0909090909090917</v>
      </c>
      <c r="AQ9" s="189">
        <f t="shared" si="20"/>
        <v>1.3513513513513513</v>
      </c>
      <c r="AR9" s="81">
        <f t="shared" si="21"/>
        <v>33.783783783783782</v>
      </c>
      <c r="AS9" s="81">
        <f t="shared" si="22"/>
        <v>66.21621621621621</v>
      </c>
      <c r="AT9" s="81">
        <f t="shared" si="23"/>
        <v>0</v>
      </c>
      <c r="AU9" s="81">
        <f t="shared" si="24"/>
        <v>40</v>
      </c>
      <c r="AV9" s="81">
        <f t="shared" si="25"/>
        <v>40</v>
      </c>
      <c r="AW9" s="81">
        <f t="shared" si="26"/>
        <v>0</v>
      </c>
      <c r="AX9" s="81">
        <f t="shared" si="27"/>
        <v>0</v>
      </c>
      <c r="AY9" s="81">
        <f t="shared" si="28"/>
        <v>20</v>
      </c>
      <c r="AZ9" s="81">
        <f t="shared" si="29"/>
        <v>0</v>
      </c>
    </row>
    <row r="10" spans="1:52" s="65" customFormat="1" ht="20.25" customHeight="1">
      <c r="A10" s="70" t="s">
        <v>99</v>
      </c>
      <c r="B10" s="70">
        <f>COUNTA(B8:B9)</f>
        <v>2</v>
      </c>
      <c r="C10" s="70">
        <f>SUM(C8:C9)</f>
        <v>338</v>
      </c>
      <c r="D10" s="68">
        <f>MIN(D8:D9)</f>
        <v>45694</v>
      </c>
      <c r="E10" s="68">
        <f>MAX(E8:E9)</f>
        <v>45713</v>
      </c>
      <c r="F10" s="70">
        <f>SUM(F8:F9)</f>
        <v>97</v>
      </c>
      <c r="G10" s="70">
        <f t="shared" ref="G10:AJ10" si="32">SUM(G8:G9)</f>
        <v>0</v>
      </c>
      <c r="H10" s="70">
        <f t="shared" si="32"/>
        <v>97</v>
      </c>
      <c r="I10" s="70">
        <f t="shared" si="32"/>
        <v>3</v>
      </c>
      <c r="J10" s="70">
        <f t="shared" si="32"/>
        <v>0</v>
      </c>
      <c r="K10" s="70">
        <f>SUM(K8:K9)</f>
        <v>100</v>
      </c>
      <c r="L10" s="70">
        <f t="shared" si="32"/>
        <v>0</v>
      </c>
      <c r="M10" s="70">
        <f t="shared" si="32"/>
        <v>0</v>
      </c>
      <c r="N10" s="70">
        <f t="shared" si="32"/>
        <v>97</v>
      </c>
      <c r="O10" s="70">
        <f t="shared" si="32"/>
        <v>9</v>
      </c>
      <c r="P10" s="70">
        <f t="shared" si="32"/>
        <v>0</v>
      </c>
      <c r="Q10" s="70">
        <f t="shared" si="32"/>
        <v>6</v>
      </c>
      <c r="R10" s="70">
        <f t="shared" si="32"/>
        <v>0</v>
      </c>
      <c r="S10" s="70">
        <f t="shared" si="32"/>
        <v>7</v>
      </c>
      <c r="T10" s="70">
        <f t="shared" si="32"/>
        <v>121</v>
      </c>
      <c r="U10" s="70">
        <f t="shared" si="32"/>
        <v>3</v>
      </c>
      <c r="V10" s="70">
        <f t="shared" si="32"/>
        <v>15</v>
      </c>
      <c r="W10" s="70">
        <f t="shared" si="32"/>
        <v>79</v>
      </c>
      <c r="X10" s="70">
        <f t="shared" si="32"/>
        <v>4</v>
      </c>
      <c r="Y10" s="70">
        <f t="shared" si="32"/>
        <v>0</v>
      </c>
      <c r="Z10" s="70">
        <f t="shared" si="32"/>
        <v>21</v>
      </c>
      <c r="AA10" s="70">
        <f t="shared" si="32"/>
        <v>1</v>
      </c>
      <c r="AB10" s="70">
        <f t="shared" si="32"/>
        <v>17</v>
      </c>
      <c r="AC10" s="70">
        <f t="shared" si="32"/>
        <v>10</v>
      </c>
      <c r="AD10" s="70">
        <f t="shared" si="32"/>
        <v>0</v>
      </c>
      <c r="AE10" s="70">
        <f t="shared" si="32"/>
        <v>254</v>
      </c>
      <c r="AF10" s="70">
        <f t="shared" si="32"/>
        <v>106</v>
      </c>
      <c r="AG10" s="70">
        <f t="shared" si="32"/>
        <v>1</v>
      </c>
      <c r="AH10" s="70">
        <f t="shared" si="32"/>
        <v>0</v>
      </c>
      <c r="AI10" s="70">
        <f t="shared" si="32"/>
        <v>2</v>
      </c>
      <c r="AJ10" s="70">
        <f t="shared" si="32"/>
        <v>0</v>
      </c>
      <c r="AK10" s="83">
        <f>P10+S10+V10+Y10+AB10+AE10+AH10</f>
        <v>293</v>
      </c>
      <c r="AL10" s="83">
        <f>Q10+T10+W10+Z10+AC10+AF10+AI10</f>
        <v>345</v>
      </c>
      <c r="AM10" s="83">
        <f>AK10+AL10</f>
        <v>638</v>
      </c>
      <c r="AN10" s="83">
        <f t="shared" ref="AN10:AN12" si="33">R10+U10+X10+AA10+AD10+AG10+AJ10</f>
        <v>9</v>
      </c>
      <c r="AO10" s="190">
        <f>O10/H10*100</f>
        <v>9.2783505154639183</v>
      </c>
      <c r="AP10" s="190">
        <f t="shared" ref="AP10:AP12" si="34">AN10/H10*100</f>
        <v>9.2783505154639183</v>
      </c>
      <c r="AQ10" s="190">
        <f t="shared" ref="AQ10:AQ12" si="35">AN10/AM10*100</f>
        <v>1.4106583072100314</v>
      </c>
      <c r="AR10" s="85">
        <f t="shared" ref="AR10:AR12" si="36">AK10/AM10*100</f>
        <v>45.924764890282134</v>
      </c>
      <c r="AS10" s="85">
        <f t="shared" ref="AS10:AS12" si="37">AL10/AM10*100</f>
        <v>54.075235109717866</v>
      </c>
      <c r="AT10" s="85">
        <f t="shared" ref="AT10:AT12" si="38">R10/AN10*100</f>
        <v>0</v>
      </c>
      <c r="AU10" s="85">
        <f t="shared" ref="AU10:AU12" si="39">U10/AN10*100</f>
        <v>33.333333333333329</v>
      </c>
      <c r="AV10" s="85">
        <f t="shared" ref="AV10:AV12" si="40">X10/AN10*100</f>
        <v>44.444444444444443</v>
      </c>
      <c r="AW10" s="85">
        <f t="shared" ref="AW10:AW12" si="41">AA10/AN10*100</f>
        <v>11.111111111111111</v>
      </c>
      <c r="AX10" s="85">
        <f t="shared" ref="AX10:AX12" si="42">AD10/AN10*100</f>
        <v>0</v>
      </c>
      <c r="AY10" s="85">
        <f t="shared" ref="AY10:AY12" si="43">AG10/AN10*100</f>
        <v>11.111111111111111</v>
      </c>
      <c r="AZ10" s="85">
        <f t="shared" ref="AZ10:AZ12" si="44">AJ10/AN10*100</f>
        <v>0</v>
      </c>
    </row>
    <row r="11" spans="1:52" s="165" customFormat="1" ht="20.25" customHeight="1">
      <c r="A11" s="163" t="s">
        <v>167</v>
      </c>
      <c r="B11" s="163" t="s">
        <v>159</v>
      </c>
      <c r="C11" s="159">
        <v>288</v>
      </c>
      <c r="D11" s="160">
        <v>45730</v>
      </c>
      <c r="E11" s="160">
        <v>45744</v>
      </c>
      <c r="F11" s="159">
        <v>100</v>
      </c>
      <c r="G11" s="159">
        <v>0</v>
      </c>
      <c r="H11" s="203">
        <f t="shared" ref="H11:H17" si="45">F11+G11</f>
        <v>100</v>
      </c>
      <c r="I11" s="159">
        <v>10</v>
      </c>
      <c r="J11" s="159">
        <v>0</v>
      </c>
      <c r="K11" s="203">
        <f t="shared" ref="K11:K23" si="46">H11+I11+J11</f>
        <v>110</v>
      </c>
      <c r="L11" s="159">
        <v>0</v>
      </c>
      <c r="M11" s="159">
        <v>0</v>
      </c>
      <c r="N11" s="159">
        <v>100</v>
      </c>
      <c r="O11" s="159">
        <v>13</v>
      </c>
      <c r="P11" s="159">
        <v>0</v>
      </c>
      <c r="Q11" s="159">
        <v>5</v>
      </c>
      <c r="R11" s="159">
        <v>0</v>
      </c>
      <c r="S11" s="159">
        <v>17</v>
      </c>
      <c r="T11" s="159">
        <v>127</v>
      </c>
      <c r="U11" s="159">
        <v>3</v>
      </c>
      <c r="V11" s="159">
        <v>113</v>
      </c>
      <c r="W11" s="159">
        <v>29</v>
      </c>
      <c r="X11" s="159">
        <v>4</v>
      </c>
      <c r="Y11" s="159">
        <v>105</v>
      </c>
      <c r="Z11" s="159">
        <v>3</v>
      </c>
      <c r="AA11" s="159">
        <v>0</v>
      </c>
      <c r="AB11" s="159">
        <v>39</v>
      </c>
      <c r="AC11" s="159">
        <v>20</v>
      </c>
      <c r="AD11" s="159">
        <v>2</v>
      </c>
      <c r="AE11" s="159">
        <v>383</v>
      </c>
      <c r="AF11" s="159">
        <v>28</v>
      </c>
      <c r="AG11" s="159">
        <v>4</v>
      </c>
      <c r="AH11" s="159">
        <v>0</v>
      </c>
      <c r="AI11" s="159">
        <v>1</v>
      </c>
      <c r="AJ11" s="159">
        <v>0</v>
      </c>
      <c r="AK11" s="203">
        <f t="shared" ref="AK11:AK12" si="47">P11+S11+V11+Y11+AB11+AE11+AH11</f>
        <v>657</v>
      </c>
      <c r="AL11" s="203">
        <f t="shared" ref="AL11:AL12" si="48">Q11+T11+W11+Z11+AC11+AF11+AI11</f>
        <v>213</v>
      </c>
      <c r="AM11" s="203">
        <f t="shared" ref="AM11:AM12" si="49">AK11+AL11</f>
        <v>870</v>
      </c>
      <c r="AN11" s="203">
        <f t="shared" si="33"/>
        <v>13</v>
      </c>
      <c r="AO11" s="189">
        <f t="shared" ref="AO11:AO12" si="50">O11/H11*100</f>
        <v>13</v>
      </c>
      <c r="AP11" s="189">
        <f t="shared" si="34"/>
        <v>13</v>
      </c>
      <c r="AQ11" s="189">
        <f t="shared" si="35"/>
        <v>1.4942528735632183</v>
      </c>
      <c r="AR11" s="81">
        <f t="shared" si="36"/>
        <v>75.517241379310335</v>
      </c>
      <c r="AS11" s="81">
        <f t="shared" si="37"/>
        <v>24.482758620689655</v>
      </c>
      <c r="AT11" s="81">
        <f t="shared" si="38"/>
        <v>0</v>
      </c>
      <c r="AU11" s="81">
        <f t="shared" si="39"/>
        <v>23.076923076923077</v>
      </c>
      <c r="AV11" s="81">
        <f t="shared" si="40"/>
        <v>30.76923076923077</v>
      </c>
      <c r="AW11" s="81">
        <f t="shared" si="41"/>
        <v>0</v>
      </c>
      <c r="AX11" s="81">
        <f t="shared" si="42"/>
        <v>15.384615384615385</v>
      </c>
      <c r="AY11" s="81">
        <f t="shared" si="43"/>
        <v>30.76923076923077</v>
      </c>
      <c r="AZ11" s="81">
        <f t="shared" si="44"/>
        <v>0</v>
      </c>
    </row>
    <row r="12" spans="1:52" s="165" customFormat="1" ht="20.25" customHeight="1">
      <c r="A12" s="163" t="s">
        <v>222</v>
      </c>
      <c r="B12" s="163" t="s">
        <v>199</v>
      </c>
      <c r="C12" s="159">
        <v>63</v>
      </c>
      <c r="D12" s="160">
        <v>45737</v>
      </c>
      <c r="E12" s="160">
        <v>45741</v>
      </c>
      <c r="F12" s="159">
        <v>28</v>
      </c>
      <c r="G12" s="159">
        <v>0</v>
      </c>
      <c r="H12" s="203">
        <f t="shared" si="45"/>
        <v>28</v>
      </c>
      <c r="I12" s="159">
        <v>10</v>
      </c>
      <c r="J12" s="159">
        <v>0</v>
      </c>
      <c r="K12" s="203">
        <f t="shared" si="46"/>
        <v>38</v>
      </c>
      <c r="L12" s="159">
        <v>0</v>
      </c>
      <c r="M12" s="159">
        <v>0</v>
      </c>
      <c r="N12" s="159">
        <v>28</v>
      </c>
      <c r="O12" s="159">
        <v>4</v>
      </c>
      <c r="P12" s="159">
        <v>0</v>
      </c>
      <c r="Q12" s="159">
        <v>5</v>
      </c>
      <c r="R12" s="159">
        <v>0</v>
      </c>
      <c r="S12" s="159">
        <v>5</v>
      </c>
      <c r="T12" s="159">
        <v>41</v>
      </c>
      <c r="U12" s="159">
        <v>0</v>
      </c>
      <c r="V12" s="159">
        <v>35</v>
      </c>
      <c r="W12" s="159">
        <v>20</v>
      </c>
      <c r="X12" s="159">
        <v>1</v>
      </c>
      <c r="Y12" s="159">
        <v>61</v>
      </c>
      <c r="Z12" s="159">
        <v>2</v>
      </c>
      <c r="AA12" s="159">
        <v>1</v>
      </c>
      <c r="AB12" s="159">
        <v>13</v>
      </c>
      <c r="AC12" s="159">
        <v>0</v>
      </c>
      <c r="AD12" s="159">
        <v>0</v>
      </c>
      <c r="AE12" s="159">
        <v>103</v>
      </c>
      <c r="AF12" s="159">
        <v>61</v>
      </c>
      <c r="AG12" s="159">
        <v>2</v>
      </c>
      <c r="AH12" s="159">
        <v>0</v>
      </c>
      <c r="AI12" s="159">
        <v>0</v>
      </c>
      <c r="AJ12" s="159">
        <v>0</v>
      </c>
      <c r="AK12" s="203">
        <f t="shared" si="47"/>
        <v>217</v>
      </c>
      <c r="AL12" s="203">
        <f t="shared" si="48"/>
        <v>129</v>
      </c>
      <c r="AM12" s="203">
        <f t="shared" si="49"/>
        <v>346</v>
      </c>
      <c r="AN12" s="203">
        <f t="shared" si="33"/>
        <v>4</v>
      </c>
      <c r="AO12" s="189">
        <f t="shared" si="50"/>
        <v>14.285714285714285</v>
      </c>
      <c r="AP12" s="189">
        <f t="shared" si="34"/>
        <v>14.285714285714285</v>
      </c>
      <c r="AQ12" s="189">
        <f t="shared" si="35"/>
        <v>1.1560693641618496</v>
      </c>
      <c r="AR12" s="81">
        <f t="shared" si="36"/>
        <v>62.716763005780351</v>
      </c>
      <c r="AS12" s="81">
        <f t="shared" si="37"/>
        <v>37.283236994219656</v>
      </c>
      <c r="AT12" s="81">
        <f t="shared" si="38"/>
        <v>0</v>
      </c>
      <c r="AU12" s="81">
        <f t="shared" si="39"/>
        <v>0</v>
      </c>
      <c r="AV12" s="81">
        <f t="shared" si="40"/>
        <v>25</v>
      </c>
      <c r="AW12" s="81">
        <f t="shared" si="41"/>
        <v>25</v>
      </c>
      <c r="AX12" s="81">
        <f t="shared" si="42"/>
        <v>0</v>
      </c>
      <c r="AY12" s="81">
        <f t="shared" si="43"/>
        <v>50</v>
      </c>
      <c r="AZ12" s="81">
        <f t="shared" si="44"/>
        <v>0</v>
      </c>
    </row>
    <row r="13" spans="1:52" s="65" customFormat="1" ht="20.25" customHeight="1">
      <c r="A13" s="70" t="s">
        <v>103</v>
      </c>
      <c r="B13" s="70">
        <v>2</v>
      </c>
      <c r="C13" s="70">
        <f>SUM(C11:C12)</f>
        <v>351</v>
      </c>
      <c r="D13" s="68">
        <v>45730</v>
      </c>
      <c r="E13" s="68">
        <v>45744</v>
      </c>
      <c r="F13" s="70">
        <f>SUM(F11:F12)</f>
        <v>128</v>
      </c>
      <c r="G13" s="70">
        <f t="shared" ref="G13:AJ13" si="51">SUM(G11:G12)</f>
        <v>0</v>
      </c>
      <c r="H13" s="70">
        <f t="shared" si="51"/>
        <v>128</v>
      </c>
      <c r="I13" s="70">
        <f t="shared" si="51"/>
        <v>20</v>
      </c>
      <c r="J13" s="70">
        <f t="shared" si="51"/>
        <v>0</v>
      </c>
      <c r="K13" s="70">
        <f t="shared" si="51"/>
        <v>148</v>
      </c>
      <c r="L13" s="70">
        <f t="shared" si="51"/>
        <v>0</v>
      </c>
      <c r="M13" s="70">
        <f t="shared" si="51"/>
        <v>0</v>
      </c>
      <c r="N13" s="70">
        <f t="shared" si="51"/>
        <v>128</v>
      </c>
      <c r="O13" s="70">
        <f t="shared" si="51"/>
        <v>17</v>
      </c>
      <c r="P13" s="70">
        <f t="shared" si="51"/>
        <v>0</v>
      </c>
      <c r="Q13" s="70">
        <f t="shared" si="51"/>
        <v>10</v>
      </c>
      <c r="R13" s="70">
        <f t="shared" si="51"/>
        <v>0</v>
      </c>
      <c r="S13" s="70">
        <f t="shared" si="51"/>
        <v>22</v>
      </c>
      <c r="T13" s="70">
        <f t="shared" si="51"/>
        <v>168</v>
      </c>
      <c r="U13" s="70">
        <f t="shared" si="51"/>
        <v>3</v>
      </c>
      <c r="V13" s="70">
        <f t="shared" si="51"/>
        <v>148</v>
      </c>
      <c r="W13" s="70">
        <f t="shared" si="51"/>
        <v>49</v>
      </c>
      <c r="X13" s="70">
        <f t="shared" si="51"/>
        <v>5</v>
      </c>
      <c r="Y13" s="70">
        <f t="shared" si="51"/>
        <v>166</v>
      </c>
      <c r="Z13" s="70">
        <f t="shared" si="51"/>
        <v>5</v>
      </c>
      <c r="AA13" s="70">
        <f t="shared" si="51"/>
        <v>1</v>
      </c>
      <c r="AB13" s="70">
        <f t="shared" si="51"/>
        <v>52</v>
      </c>
      <c r="AC13" s="70">
        <f t="shared" si="51"/>
        <v>20</v>
      </c>
      <c r="AD13" s="70">
        <f t="shared" si="51"/>
        <v>2</v>
      </c>
      <c r="AE13" s="70">
        <f t="shared" si="51"/>
        <v>486</v>
      </c>
      <c r="AF13" s="70">
        <f t="shared" si="51"/>
        <v>89</v>
      </c>
      <c r="AG13" s="70">
        <f t="shared" si="51"/>
        <v>6</v>
      </c>
      <c r="AH13" s="70">
        <f t="shared" si="51"/>
        <v>0</v>
      </c>
      <c r="AI13" s="70">
        <f t="shared" si="51"/>
        <v>1</v>
      </c>
      <c r="AJ13" s="70">
        <f t="shared" si="51"/>
        <v>0</v>
      </c>
      <c r="AK13" s="83">
        <f>P13+S13+V13+Y13+AB13+AE13+AH13</f>
        <v>874</v>
      </c>
      <c r="AL13" s="83">
        <f>Q13+T13+W13+Z13+AC13+AF13+AI13</f>
        <v>342</v>
      </c>
      <c r="AM13" s="83">
        <f>AK13+AL13</f>
        <v>1216</v>
      </c>
      <c r="AN13" s="83">
        <f>R13+U13+X13+AA13+AD13+AG13+AJ13</f>
        <v>17</v>
      </c>
      <c r="AO13" s="190">
        <f>O13/H13*100</f>
        <v>13.28125</v>
      </c>
      <c r="AP13" s="190">
        <f t="shared" ref="AP13:AP14" si="52">AN13/H13*100</f>
        <v>13.28125</v>
      </c>
      <c r="AQ13" s="190">
        <f t="shared" ref="AQ13:AQ14" si="53">AN13/AM13*100</f>
        <v>1.3980263157894737</v>
      </c>
      <c r="AR13" s="85">
        <f>AK13/AM13*100</f>
        <v>71.875</v>
      </c>
      <c r="AS13" s="85">
        <f t="shared" ref="AS13:AS14" si="54">AL13/AM13*100</f>
        <v>28.125</v>
      </c>
      <c r="AT13" s="85">
        <f t="shared" ref="AT13:AT14" si="55">R13/AN13*100</f>
        <v>0</v>
      </c>
      <c r="AU13" s="85">
        <f>U13/AN13*100</f>
        <v>17.647058823529413</v>
      </c>
      <c r="AV13" s="85">
        <f t="shared" ref="AV13:AV14" si="56">X13/AN13*100</f>
        <v>29.411764705882355</v>
      </c>
      <c r="AW13" s="85">
        <f t="shared" ref="AW13:AW14" si="57">AA13/AN13*100</f>
        <v>5.8823529411764701</v>
      </c>
      <c r="AX13" s="85">
        <f t="shared" ref="AX13:AX14" si="58">AD13/AN13*100</f>
        <v>11.76470588235294</v>
      </c>
      <c r="AY13" s="85">
        <f t="shared" ref="AY13:AY14" si="59">AG13/AN13*100</f>
        <v>35.294117647058826</v>
      </c>
      <c r="AZ13" s="85">
        <f t="shared" ref="AZ13:AZ14" si="60">AJ13/AN13*100</f>
        <v>0</v>
      </c>
    </row>
    <row r="14" spans="1:52" s="165" customFormat="1" ht="20.25" customHeight="1">
      <c r="A14" s="163" t="s">
        <v>200</v>
      </c>
      <c r="B14" s="163" t="s">
        <v>216</v>
      </c>
      <c r="C14" s="159">
        <v>268</v>
      </c>
      <c r="D14" s="160">
        <v>45754</v>
      </c>
      <c r="E14" s="160">
        <v>45763</v>
      </c>
      <c r="F14" s="159">
        <v>131</v>
      </c>
      <c r="G14" s="159">
        <v>0</v>
      </c>
      <c r="H14" s="247">
        <f t="shared" si="45"/>
        <v>131</v>
      </c>
      <c r="I14" s="159">
        <v>3</v>
      </c>
      <c r="J14" s="159">
        <v>0</v>
      </c>
      <c r="K14" s="247">
        <f t="shared" si="46"/>
        <v>134</v>
      </c>
      <c r="L14" s="159">
        <v>0</v>
      </c>
      <c r="M14" s="159">
        <v>0</v>
      </c>
      <c r="N14" s="159">
        <v>131</v>
      </c>
      <c r="O14" s="159">
        <v>10</v>
      </c>
      <c r="P14" s="159">
        <v>0</v>
      </c>
      <c r="Q14" s="159">
        <v>2</v>
      </c>
      <c r="R14" s="159">
        <v>0</v>
      </c>
      <c r="S14" s="159">
        <v>3</v>
      </c>
      <c r="T14" s="159">
        <v>101</v>
      </c>
      <c r="U14" s="159">
        <v>5</v>
      </c>
      <c r="V14" s="159">
        <v>27</v>
      </c>
      <c r="W14" s="159">
        <v>56</v>
      </c>
      <c r="X14" s="159">
        <v>10</v>
      </c>
      <c r="Y14" s="159">
        <v>0</v>
      </c>
      <c r="Z14" s="159">
        <v>5</v>
      </c>
      <c r="AA14" s="159">
        <v>0</v>
      </c>
      <c r="AB14" s="159">
        <v>16</v>
      </c>
      <c r="AC14" s="159">
        <v>11</v>
      </c>
      <c r="AD14" s="159">
        <v>0</v>
      </c>
      <c r="AE14" s="159">
        <v>285</v>
      </c>
      <c r="AF14" s="159">
        <v>6</v>
      </c>
      <c r="AG14" s="159">
        <v>0</v>
      </c>
      <c r="AH14" s="159">
        <v>0</v>
      </c>
      <c r="AI14" s="159">
        <v>4</v>
      </c>
      <c r="AJ14" s="159">
        <v>1</v>
      </c>
      <c r="AK14" s="247">
        <f t="shared" ref="AK14" si="61">P14+S14+V14+Y14+AB14+AE14+AH14</f>
        <v>331</v>
      </c>
      <c r="AL14" s="247">
        <f t="shared" ref="AL14" si="62">Q14+T14+W14+Z14+AC14+AF14+AI14</f>
        <v>185</v>
      </c>
      <c r="AM14" s="247">
        <f t="shared" ref="AM14" si="63">AK14+AL14</f>
        <v>516</v>
      </c>
      <c r="AN14" s="247">
        <f t="shared" ref="AN14" si="64">R14+U14+X14+AA14+AD14+AG14+AJ14</f>
        <v>16</v>
      </c>
      <c r="AO14" s="189">
        <f t="shared" ref="AO14" si="65">O14/H14*100</f>
        <v>7.6335877862595423</v>
      </c>
      <c r="AP14" s="189">
        <f t="shared" si="52"/>
        <v>12.213740458015266</v>
      </c>
      <c r="AQ14" s="189">
        <f t="shared" si="53"/>
        <v>3.1007751937984498</v>
      </c>
      <c r="AR14" s="81">
        <f t="shared" ref="AR14" si="66">AK14/AM14*100</f>
        <v>64.147286821705436</v>
      </c>
      <c r="AS14" s="81">
        <f t="shared" si="54"/>
        <v>35.852713178294579</v>
      </c>
      <c r="AT14" s="81">
        <f t="shared" si="55"/>
        <v>0</v>
      </c>
      <c r="AU14" s="81">
        <f t="shared" ref="AU14" si="67">U14/AN14*100</f>
        <v>31.25</v>
      </c>
      <c r="AV14" s="81">
        <f t="shared" si="56"/>
        <v>62.5</v>
      </c>
      <c r="AW14" s="81">
        <f t="shared" si="57"/>
        <v>0</v>
      </c>
      <c r="AX14" s="81">
        <f t="shared" si="58"/>
        <v>0</v>
      </c>
      <c r="AY14" s="81">
        <f t="shared" si="59"/>
        <v>0</v>
      </c>
      <c r="AZ14" s="81">
        <f t="shared" si="60"/>
        <v>6.25</v>
      </c>
    </row>
    <row r="15" spans="1:52" s="165" customFormat="1" ht="20.25" customHeight="1">
      <c r="A15" s="163" t="s">
        <v>260</v>
      </c>
      <c r="B15" s="163" t="s">
        <v>261</v>
      </c>
      <c r="C15" s="159">
        <v>169</v>
      </c>
      <c r="D15" s="160">
        <v>45769</v>
      </c>
      <c r="E15" s="160">
        <v>45771</v>
      </c>
      <c r="F15" s="159">
        <v>60</v>
      </c>
      <c r="G15" s="159">
        <v>0</v>
      </c>
      <c r="H15" s="247">
        <f t="shared" si="45"/>
        <v>60</v>
      </c>
      <c r="I15" s="159">
        <v>0</v>
      </c>
      <c r="J15" s="159">
        <v>0</v>
      </c>
      <c r="K15" s="247">
        <f t="shared" si="46"/>
        <v>60</v>
      </c>
      <c r="L15" s="159">
        <v>0</v>
      </c>
      <c r="M15" s="159">
        <v>0</v>
      </c>
      <c r="N15" s="159">
        <v>60</v>
      </c>
      <c r="O15" s="159">
        <v>1</v>
      </c>
      <c r="P15" s="159">
        <v>0</v>
      </c>
      <c r="Q15" s="159">
        <v>9</v>
      </c>
      <c r="R15" s="159">
        <v>0</v>
      </c>
      <c r="S15" s="159">
        <v>2</v>
      </c>
      <c r="T15" s="159">
        <v>21</v>
      </c>
      <c r="U15" s="159">
        <v>0</v>
      </c>
      <c r="V15" s="159">
        <v>4</v>
      </c>
      <c r="W15" s="159">
        <v>43</v>
      </c>
      <c r="X15" s="159">
        <v>1</v>
      </c>
      <c r="Y15" s="159">
        <v>0</v>
      </c>
      <c r="Z15" s="159">
        <v>0</v>
      </c>
      <c r="AA15" s="159">
        <v>0</v>
      </c>
      <c r="AB15" s="159">
        <v>2</v>
      </c>
      <c r="AC15" s="159">
        <v>11</v>
      </c>
      <c r="AD15" s="159">
        <v>0</v>
      </c>
      <c r="AE15" s="159">
        <v>40</v>
      </c>
      <c r="AF15" s="159">
        <v>1</v>
      </c>
      <c r="AG15" s="159">
        <v>0</v>
      </c>
      <c r="AH15" s="159">
        <v>0</v>
      </c>
      <c r="AI15" s="159">
        <v>6</v>
      </c>
      <c r="AJ15" s="159">
        <v>0</v>
      </c>
      <c r="AK15" s="247">
        <f t="shared" ref="AK15:AK17" si="68">P15+S15+V15+Y15+AB15+AE15+AH15</f>
        <v>48</v>
      </c>
      <c r="AL15" s="247">
        <f t="shared" ref="AL15:AL17" si="69">Q15+T15+W15+Z15+AC15+AF15+AI15</f>
        <v>91</v>
      </c>
      <c r="AM15" s="247">
        <f t="shared" ref="AM15:AM17" si="70">AK15+AL15</f>
        <v>139</v>
      </c>
      <c r="AN15" s="247">
        <f t="shared" ref="AN15:AN17" si="71">R15+U15+X15+AA15+AD15+AG15+AJ15</f>
        <v>1</v>
      </c>
      <c r="AO15" s="189">
        <f t="shared" ref="AO15:AO17" si="72">O15/H15*100</f>
        <v>1.6666666666666667</v>
      </c>
      <c r="AP15" s="189">
        <f t="shared" ref="AP15:AP18" si="73">AN15/H15*100</f>
        <v>1.6666666666666667</v>
      </c>
      <c r="AQ15" s="189">
        <f t="shared" ref="AQ15:AQ18" si="74">AN15/AM15*100</f>
        <v>0.71942446043165476</v>
      </c>
      <c r="AR15" s="81">
        <f t="shared" ref="AR15:AR17" si="75">AK15/AM15*100</f>
        <v>34.532374100719423</v>
      </c>
      <c r="AS15" s="81">
        <f t="shared" ref="AS15:AS18" si="76">AL15/AM15*100</f>
        <v>65.467625899280577</v>
      </c>
      <c r="AT15" s="81">
        <f t="shared" ref="AT15:AT18" si="77">R15/AN15*100</f>
        <v>0</v>
      </c>
      <c r="AU15" s="81">
        <f t="shared" ref="AU15:AU17" si="78">U15/AN15*100</f>
        <v>0</v>
      </c>
      <c r="AV15" s="81">
        <f t="shared" ref="AV15:AV18" si="79">X15/AN15*100</f>
        <v>100</v>
      </c>
      <c r="AW15" s="81">
        <f t="shared" ref="AW15:AW18" si="80">AA15/AN15*100</f>
        <v>0</v>
      </c>
      <c r="AX15" s="81">
        <f t="shared" ref="AX15:AX18" si="81">AD15/AN15*100</f>
        <v>0</v>
      </c>
      <c r="AY15" s="81">
        <f t="shared" ref="AY15:AY18" si="82">AG15/AN15*100</f>
        <v>0</v>
      </c>
      <c r="AZ15" s="81">
        <f t="shared" ref="AZ15:AZ18" si="83">AJ15/AN15*100</f>
        <v>0</v>
      </c>
    </row>
    <row r="16" spans="1:52" s="165" customFormat="1" ht="20.25" customHeight="1">
      <c r="A16" s="376" t="s">
        <v>167</v>
      </c>
      <c r="B16" s="163" t="s">
        <v>262</v>
      </c>
      <c r="C16" s="159">
        <v>82</v>
      </c>
      <c r="D16" s="160">
        <v>45755</v>
      </c>
      <c r="E16" s="160">
        <v>45761</v>
      </c>
      <c r="F16" s="159">
        <v>41</v>
      </c>
      <c r="G16" s="159">
        <v>0</v>
      </c>
      <c r="H16" s="247">
        <f t="shared" si="45"/>
        <v>41</v>
      </c>
      <c r="I16" s="159">
        <v>6</v>
      </c>
      <c r="J16" s="159">
        <v>0</v>
      </c>
      <c r="K16" s="247">
        <f t="shared" si="46"/>
        <v>47</v>
      </c>
      <c r="L16" s="159">
        <v>0</v>
      </c>
      <c r="M16" s="159">
        <v>0</v>
      </c>
      <c r="N16" s="159">
        <v>41</v>
      </c>
      <c r="O16" s="159">
        <v>4</v>
      </c>
      <c r="P16" s="159">
        <v>0</v>
      </c>
      <c r="Q16" s="159">
        <v>3</v>
      </c>
      <c r="R16" s="159">
        <v>0</v>
      </c>
      <c r="S16" s="159">
        <v>4</v>
      </c>
      <c r="T16" s="159">
        <v>48</v>
      </c>
      <c r="U16" s="159">
        <v>2</v>
      </c>
      <c r="V16" s="159">
        <v>9</v>
      </c>
      <c r="W16" s="159">
        <v>13</v>
      </c>
      <c r="X16" s="159">
        <v>1</v>
      </c>
      <c r="Y16" s="159">
        <v>18</v>
      </c>
      <c r="Z16" s="159">
        <v>1</v>
      </c>
      <c r="AA16" s="159">
        <v>0</v>
      </c>
      <c r="AB16" s="159">
        <v>6</v>
      </c>
      <c r="AC16" s="159">
        <v>5</v>
      </c>
      <c r="AD16" s="159">
        <v>1</v>
      </c>
      <c r="AE16" s="159">
        <v>20</v>
      </c>
      <c r="AF16" s="159">
        <v>9</v>
      </c>
      <c r="AG16" s="159">
        <v>0</v>
      </c>
      <c r="AH16" s="159">
        <v>0</v>
      </c>
      <c r="AI16" s="159">
        <v>0</v>
      </c>
      <c r="AJ16" s="159">
        <v>0</v>
      </c>
      <c r="AK16" s="247">
        <f t="shared" si="68"/>
        <v>57</v>
      </c>
      <c r="AL16" s="247">
        <f t="shared" si="69"/>
        <v>79</v>
      </c>
      <c r="AM16" s="247">
        <f t="shared" si="70"/>
        <v>136</v>
      </c>
      <c r="AN16" s="247">
        <f t="shared" si="71"/>
        <v>4</v>
      </c>
      <c r="AO16" s="189">
        <f t="shared" si="72"/>
        <v>9.7560975609756095</v>
      </c>
      <c r="AP16" s="189">
        <f t="shared" si="73"/>
        <v>9.7560975609756095</v>
      </c>
      <c r="AQ16" s="189">
        <f t="shared" si="74"/>
        <v>2.9411764705882351</v>
      </c>
      <c r="AR16" s="81">
        <f t="shared" si="75"/>
        <v>41.911764705882355</v>
      </c>
      <c r="AS16" s="81">
        <f t="shared" si="76"/>
        <v>58.088235294117652</v>
      </c>
      <c r="AT16" s="81">
        <f t="shared" si="77"/>
        <v>0</v>
      </c>
      <c r="AU16" s="81">
        <f t="shared" si="78"/>
        <v>50</v>
      </c>
      <c r="AV16" s="81">
        <f t="shared" si="79"/>
        <v>25</v>
      </c>
      <c r="AW16" s="81">
        <f t="shared" si="80"/>
        <v>0</v>
      </c>
      <c r="AX16" s="81">
        <f t="shared" si="81"/>
        <v>25</v>
      </c>
      <c r="AY16" s="81">
        <f t="shared" si="82"/>
        <v>0</v>
      </c>
      <c r="AZ16" s="81">
        <f t="shared" si="83"/>
        <v>0</v>
      </c>
    </row>
    <row r="17" spans="1:52" s="165" customFormat="1" ht="20.25" customHeight="1">
      <c r="A17" s="377"/>
      <c r="B17" s="163" t="s">
        <v>263</v>
      </c>
      <c r="C17" s="159">
        <v>90</v>
      </c>
      <c r="D17" s="160">
        <v>45762</v>
      </c>
      <c r="E17" s="160">
        <v>45769</v>
      </c>
      <c r="F17" s="159">
        <v>42</v>
      </c>
      <c r="G17" s="159">
        <v>0</v>
      </c>
      <c r="H17" s="247">
        <f t="shared" si="45"/>
        <v>42</v>
      </c>
      <c r="I17" s="159">
        <v>1</v>
      </c>
      <c r="J17" s="159">
        <v>0</v>
      </c>
      <c r="K17" s="247">
        <f t="shared" si="46"/>
        <v>43</v>
      </c>
      <c r="L17" s="159">
        <v>0</v>
      </c>
      <c r="M17" s="159">
        <v>0</v>
      </c>
      <c r="N17" s="159">
        <v>46</v>
      </c>
      <c r="O17" s="159">
        <v>2</v>
      </c>
      <c r="P17" s="159">
        <v>0</v>
      </c>
      <c r="Q17" s="159">
        <v>3</v>
      </c>
      <c r="R17" s="159">
        <v>0</v>
      </c>
      <c r="S17" s="159">
        <v>16</v>
      </c>
      <c r="T17" s="159">
        <v>30</v>
      </c>
      <c r="U17" s="159">
        <v>0</v>
      </c>
      <c r="V17" s="159">
        <v>23</v>
      </c>
      <c r="W17" s="159">
        <v>7</v>
      </c>
      <c r="X17" s="159">
        <v>1</v>
      </c>
      <c r="Y17" s="159">
        <v>26</v>
      </c>
      <c r="Z17" s="159">
        <v>0</v>
      </c>
      <c r="AA17" s="159">
        <v>0</v>
      </c>
      <c r="AB17" s="159">
        <v>11</v>
      </c>
      <c r="AC17" s="159">
        <v>1</v>
      </c>
      <c r="AD17" s="159">
        <v>1</v>
      </c>
      <c r="AE17" s="159">
        <v>18</v>
      </c>
      <c r="AF17" s="159">
        <v>6</v>
      </c>
      <c r="AG17" s="159">
        <v>0</v>
      </c>
      <c r="AH17" s="159">
        <v>0</v>
      </c>
      <c r="AI17" s="159">
        <v>0</v>
      </c>
      <c r="AJ17" s="159">
        <v>0</v>
      </c>
      <c r="AK17" s="247">
        <f t="shared" si="68"/>
        <v>94</v>
      </c>
      <c r="AL17" s="247">
        <f t="shared" si="69"/>
        <v>47</v>
      </c>
      <c r="AM17" s="247">
        <f t="shared" si="70"/>
        <v>141</v>
      </c>
      <c r="AN17" s="247">
        <f t="shared" si="71"/>
        <v>2</v>
      </c>
      <c r="AO17" s="189">
        <f t="shared" si="72"/>
        <v>4.7619047619047619</v>
      </c>
      <c r="AP17" s="189">
        <f t="shared" si="73"/>
        <v>4.7619047619047619</v>
      </c>
      <c r="AQ17" s="189">
        <f t="shared" si="74"/>
        <v>1.4184397163120568</v>
      </c>
      <c r="AR17" s="81">
        <f t="shared" si="75"/>
        <v>66.666666666666657</v>
      </c>
      <c r="AS17" s="81">
        <f t="shared" si="76"/>
        <v>33.333333333333329</v>
      </c>
      <c r="AT17" s="81">
        <f t="shared" si="77"/>
        <v>0</v>
      </c>
      <c r="AU17" s="81">
        <f t="shared" si="78"/>
        <v>0</v>
      </c>
      <c r="AV17" s="81">
        <f t="shared" si="79"/>
        <v>50</v>
      </c>
      <c r="AW17" s="81">
        <f t="shared" si="80"/>
        <v>0</v>
      </c>
      <c r="AX17" s="81">
        <f t="shared" si="81"/>
        <v>50</v>
      </c>
      <c r="AY17" s="81">
        <f t="shared" si="82"/>
        <v>0</v>
      </c>
      <c r="AZ17" s="81">
        <f t="shared" si="83"/>
        <v>0</v>
      </c>
    </row>
    <row r="18" spans="1:52" s="65" customFormat="1" ht="20.25" customHeight="1">
      <c r="A18" s="70" t="s">
        <v>254</v>
      </c>
      <c r="B18" s="70">
        <f>COUNTA(B14:B17)</f>
        <v>4</v>
      </c>
      <c r="C18" s="70">
        <f>SUM(C14:C17)</f>
        <v>609</v>
      </c>
      <c r="D18" s="68">
        <f>MIN(D14:D17)</f>
        <v>45754</v>
      </c>
      <c r="E18" s="68">
        <f>MAX(E14:E17)</f>
        <v>45771</v>
      </c>
      <c r="F18" s="70">
        <f>SUM(F14:F17)</f>
        <v>274</v>
      </c>
      <c r="G18" s="70">
        <f t="shared" ref="G18:AJ18" si="84">SUM(G14:G17)</f>
        <v>0</v>
      </c>
      <c r="H18" s="70">
        <f t="shared" si="84"/>
        <v>274</v>
      </c>
      <c r="I18" s="70">
        <f t="shared" si="84"/>
        <v>10</v>
      </c>
      <c r="J18" s="70">
        <f t="shared" si="84"/>
        <v>0</v>
      </c>
      <c r="K18" s="70">
        <f t="shared" si="84"/>
        <v>284</v>
      </c>
      <c r="L18" s="70">
        <f t="shared" si="84"/>
        <v>0</v>
      </c>
      <c r="M18" s="70">
        <f t="shared" si="84"/>
        <v>0</v>
      </c>
      <c r="N18" s="70">
        <f t="shared" si="84"/>
        <v>278</v>
      </c>
      <c r="O18" s="70">
        <f t="shared" si="84"/>
        <v>17</v>
      </c>
      <c r="P18" s="70">
        <f t="shared" si="84"/>
        <v>0</v>
      </c>
      <c r="Q18" s="70">
        <f t="shared" si="84"/>
        <v>17</v>
      </c>
      <c r="R18" s="70">
        <f t="shared" si="84"/>
        <v>0</v>
      </c>
      <c r="S18" s="70">
        <f t="shared" si="84"/>
        <v>25</v>
      </c>
      <c r="T18" s="70">
        <f t="shared" si="84"/>
        <v>200</v>
      </c>
      <c r="U18" s="70">
        <f t="shared" si="84"/>
        <v>7</v>
      </c>
      <c r="V18" s="70">
        <f t="shared" si="84"/>
        <v>63</v>
      </c>
      <c r="W18" s="70">
        <f t="shared" si="84"/>
        <v>119</v>
      </c>
      <c r="X18" s="70">
        <f t="shared" si="84"/>
        <v>13</v>
      </c>
      <c r="Y18" s="70">
        <f t="shared" si="84"/>
        <v>44</v>
      </c>
      <c r="Z18" s="70">
        <f t="shared" si="84"/>
        <v>6</v>
      </c>
      <c r="AA18" s="70">
        <f t="shared" si="84"/>
        <v>0</v>
      </c>
      <c r="AB18" s="70">
        <f t="shared" si="84"/>
        <v>35</v>
      </c>
      <c r="AC18" s="70">
        <f t="shared" si="84"/>
        <v>28</v>
      </c>
      <c r="AD18" s="70">
        <f t="shared" si="84"/>
        <v>2</v>
      </c>
      <c r="AE18" s="70">
        <f t="shared" si="84"/>
        <v>363</v>
      </c>
      <c r="AF18" s="70">
        <f t="shared" si="84"/>
        <v>22</v>
      </c>
      <c r="AG18" s="70">
        <f t="shared" si="84"/>
        <v>0</v>
      </c>
      <c r="AH18" s="70">
        <f t="shared" si="84"/>
        <v>0</v>
      </c>
      <c r="AI18" s="70">
        <f t="shared" si="84"/>
        <v>10</v>
      </c>
      <c r="AJ18" s="70">
        <f t="shared" si="84"/>
        <v>1</v>
      </c>
      <c r="AK18" s="83">
        <f>P18+S18+V18+Y18+AB18+AE18+AH18</f>
        <v>530</v>
      </c>
      <c r="AL18" s="83">
        <f>Q18+T18+W18+Z18+AC18+AF18+AI18</f>
        <v>402</v>
      </c>
      <c r="AM18" s="83">
        <f>AK18+AL18</f>
        <v>932</v>
      </c>
      <c r="AN18" s="83">
        <f>R18+U18+X18+AA18+AD18+AG18+AJ18</f>
        <v>23</v>
      </c>
      <c r="AO18" s="190">
        <f>O18/H18*100</f>
        <v>6.2043795620437958</v>
      </c>
      <c r="AP18" s="190">
        <f t="shared" si="73"/>
        <v>8.3941605839416056</v>
      </c>
      <c r="AQ18" s="190">
        <f t="shared" si="74"/>
        <v>2.4678111587982832</v>
      </c>
      <c r="AR18" s="85">
        <f>AK18/AM18*100</f>
        <v>56.866952789699575</v>
      </c>
      <c r="AS18" s="85">
        <f t="shared" si="76"/>
        <v>43.133047210300433</v>
      </c>
      <c r="AT18" s="85">
        <f t="shared" si="77"/>
        <v>0</v>
      </c>
      <c r="AU18" s="85">
        <f>U18/AN18*100</f>
        <v>30.434782608695656</v>
      </c>
      <c r="AV18" s="85">
        <f t="shared" si="79"/>
        <v>56.521739130434781</v>
      </c>
      <c r="AW18" s="85">
        <f t="shared" si="80"/>
        <v>0</v>
      </c>
      <c r="AX18" s="85">
        <f t="shared" si="81"/>
        <v>8.695652173913043</v>
      </c>
      <c r="AY18" s="85">
        <f t="shared" si="82"/>
        <v>0</v>
      </c>
      <c r="AZ18" s="85">
        <f t="shared" si="83"/>
        <v>4.3478260869565215</v>
      </c>
    </row>
    <row r="19" spans="1:52" s="299" customFormat="1" ht="20.25" customHeight="1">
      <c r="A19" s="163" t="s">
        <v>200</v>
      </c>
      <c r="B19" s="163" t="s">
        <v>216</v>
      </c>
      <c r="C19" s="159">
        <v>2516</v>
      </c>
      <c r="D19" s="160">
        <v>45966</v>
      </c>
      <c r="E19" s="160">
        <v>45986</v>
      </c>
      <c r="F19" s="159">
        <v>125</v>
      </c>
      <c r="G19" s="159">
        <v>0</v>
      </c>
      <c r="H19" s="159">
        <v>125</v>
      </c>
      <c r="I19" s="159">
        <v>3</v>
      </c>
      <c r="J19" s="159">
        <v>0</v>
      </c>
      <c r="K19" s="298">
        <f t="shared" si="46"/>
        <v>128</v>
      </c>
      <c r="L19" s="159">
        <v>0</v>
      </c>
      <c r="M19" s="159">
        <v>0</v>
      </c>
      <c r="N19" s="159">
        <v>125</v>
      </c>
      <c r="O19" s="159">
        <v>0</v>
      </c>
      <c r="P19" s="159">
        <v>0</v>
      </c>
      <c r="Q19" s="159">
        <v>1</v>
      </c>
      <c r="R19" s="159">
        <v>0</v>
      </c>
      <c r="S19" s="159">
        <v>4</v>
      </c>
      <c r="T19" s="159">
        <v>90</v>
      </c>
      <c r="U19" s="159">
        <v>0</v>
      </c>
      <c r="V19" s="159">
        <v>18</v>
      </c>
      <c r="W19" s="159">
        <v>15</v>
      </c>
      <c r="X19" s="159">
        <v>0</v>
      </c>
      <c r="Y19" s="159">
        <v>0</v>
      </c>
      <c r="Z19" s="159">
        <v>4</v>
      </c>
      <c r="AA19" s="159">
        <v>0</v>
      </c>
      <c r="AB19" s="159">
        <v>5</v>
      </c>
      <c r="AC19" s="159">
        <v>12</v>
      </c>
      <c r="AD19" s="159">
        <v>0</v>
      </c>
      <c r="AE19" s="159">
        <v>163</v>
      </c>
      <c r="AF19" s="159">
        <v>0</v>
      </c>
      <c r="AG19" s="159">
        <v>0</v>
      </c>
      <c r="AH19" s="159">
        <v>0</v>
      </c>
      <c r="AI19" s="159">
        <v>0</v>
      </c>
      <c r="AJ19" s="159">
        <v>0</v>
      </c>
      <c r="AK19" s="298">
        <f t="shared" ref="AK19" si="85">P19+S19+V19+Y19+AB19+AE19+AH19</f>
        <v>190</v>
      </c>
      <c r="AL19" s="298">
        <f t="shared" ref="AL19" si="86">Q19+T19+W19+Z19+AC19+AF19+AI19</f>
        <v>122</v>
      </c>
      <c r="AM19" s="298">
        <f t="shared" ref="AM19" si="87">AK19+AL19</f>
        <v>312</v>
      </c>
      <c r="AN19" s="298">
        <f t="shared" ref="AN19" si="88">R19+U19+X19+AA19+AD19+AG19+AJ19</f>
        <v>0</v>
      </c>
      <c r="AO19" s="189">
        <f t="shared" ref="AO19" si="89">O19/H19*100</f>
        <v>0</v>
      </c>
      <c r="AP19" s="189">
        <f t="shared" ref="AP19:AP20" si="90">AN19/H19*100</f>
        <v>0</v>
      </c>
      <c r="AQ19" s="189">
        <f t="shared" ref="AQ19:AQ20" si="91">AN19/AM19*100</f>
        <v>0</v>
      </c>
      <c r="AR19" s="81">
        <f t="shared" ref="AR19" si="92">AK19/AM19*100</f>
        <v>60.897435897435891</v>
      </c>
      <c r="AS19" s="81">
        <f t="shared" ref="AS19:AS20" si="93">AL19/AM19*100</f>
        <v>39.102564102564102</v>
      </c>
      <c r="AT19" s="81" t="e">
        <f t="shared" ref="AT19:AT20" si="94">R19/AN19*100</f>
        <v>#DIV/0!</v>
      </c>
      <c r="AU19" s="81" t="e">
        <f t="shared" ref="AU19" si="95">U19/AN19*100</f>
        <v>#DIV/0!</v>
      </c>
      <c r="AV19" s="81" t="e">
        <f t="shared" ref="AV19:AV20" si="96">X19/AN19*100</f>
        <v>#DIV/0!</v>
      </c>
      <c r="AW19" s="81" t="e">
        <f t="shared" ref="AW19:AW20" si="97">AA19/AN19*100</f>
        <v>#DIV/0!</v>
      </c>
      <c r="AX19" s="81" t="e">
        <f t="shared" ref="AX19:AX20" si="98">AD19/AN19*100</f>
        <v>#DIV/0!</v>
      </c>
      <c r="AY19" s="81" t="e">
        <f t="shared" ref="AY19:AY20" si="99">AG19/AN19*100</f>
        <v>#DIV/0!</v>
      </c>
      <c r="AZ19" s="81" t="e">
        <f t="shared" ref="AZ19:AZ20" si="100">AJ19/AN19*100</f>
        <v>#DIV/0!</v>
      </c>
    </row>
    <row r="20" spans="1:52" s="65" customFormat="1" ht="20.25" customHeight="1">
      <c r="A20" s="70" t="s">
        <v>295</v>
      </c>
      <c r="B20" s="70">
        <f>COUNTA(B16:B19)</f>
        <v>4</v>
      </c>
      <c r="C20" s="70">
        <f>SUM(C16:C19)</f>
        <v>3297</v>
      </c>
      <c r="D20" s="68">
        <f>MIN(D19)</f>
        <v>45966</v>
      </c>
      <c r="E20" s="68">
        <f>MAX(E16:E19)</f>
        <v>45986</v>
      </c>
      <c r="F20" s="70">
        <f t="shared" ref="F20:AJ20" si="101">SUM(F16:F19)</f>
        <v>482</v>
      </c>
      <c r="G20" s="70">
        <f t="shared" si="101"/>
        <v>0</v>
      </c>
      <c r="H20" s="70">
        <f t="shared" si="101"/>
        <v>482</v>
      </c>
      <c r="I20" s="70">
        <f t="shared" si="101"/>
        <v>20</v>
      </c>
      <c r="J20" s="70">
        <f t="shared" si="101"/>
        <v>0</v>
      </c>
      <c r="K20" s="70">
        <f t="shared" si="101"/>
        <v>502</v>
      </c>
      <c r="L20" s="70">
        <f t="shared" si="101"/>
        <v>0</v>
      </c>
      <c r="M20" s="70">
        <f t="shared" si="101"/>
        <v>0</v>
      </c>
      <c r="N20" s="70">
        <f t="shared" si="101"/>
        <v>490</v>
      </c>
      <c r="O20" s="70">
        <f t="shared" si="101"/>
        <v>23</v>
      </c>
      <c r="P20" s="70">
        <f t="shared" si="101"/>
        <v>0</v>
      </c>
      <c r="Q20" s="70">
        <f t="shared" si="101"/>
        <v>24</v>
      </c>
      <c r="R20" s="70">
        <f t="shared" si="101"/>
        <v>0</v>
      </c>
      <c r="S20" s="70">
        <f t="shared" si="101"/>
        <v>49</v>
      </c>
      <c r="T20" s="70">
        <f t="shared" si="101"/>
        <v>368</v>
      </c>
      <c r="U20" s="70">
        <f t="shared" si="101"/>
        <v>9</v>
      </c>
      <c r="V20" s="70">
        <f t="shared" si="101"/>
        <v>113</v>
      </c>
      <c r="W20" s="70">
        <f t="shared" si="101"/>
        <v>154</v>
      </c>
      <c r="X20" s="70">
        <f t="shared" si="101"/>
        <v>15</v>
      </c>
      <c r="Y20" s="70">
        <f t="shared" si="101"/>
        <v>88</v>
      </c>
      <c r="Z20" s="70">
        <f t="shared" si="101"/>
        <v>11</v>
      </c>
      <c r="AA20" s="70">
        <f t="shared" si="101"/>
        <v>0</v>
      </c>
      <c r="AB20" s="70">
        <f t="shared" si="101"/>
        <v>57</v>
      </c>
      <c r="AC20" s="70">
        <f t="shared" si="101"/>
        <v>46</v>
      </c>
      <c r="AD20" s="70">
        <f t="shared" si="101"/>
        <v>4</v>
      </c>
      <c r="AE20" s="70">
        <f t="shared" si="101"/>
        <v>564</v>
      </c>
      <c r="AF20" s="70">
        <f t="shared" si="101"/>
        <v>37</v>
      </c>
      <c r="AG20" s="70">
        <f t="shared" si="101"/>
        <v>0</v>
      </c>
      <c r="AH20" s="70">
        <f t="shared" si="101"/>
        <v>0</v>
      </c>
      <c r="AI20" s="70">
        <f t="shared" si="101"/>
        <v>10</v>
      </c>
      <c r="AJ20" s="70">
        <f t="shared" si="101"/>
        <v>1</v>
      </c>
      <c r="AK20" s="83">
        <f>P20+S20+V20+Y20+AB20+AE20+AH20</f>
        <v>871</v>
      </c>
      <c r="AL20" s="83">
        <f>Q20+T20+W20+Z20+AC20+AF20+AI20</f>
        <v>650</v>
      </c>
      <c r="AM20" s="83">
        <f>AK20+AL20</f>
        <v>1521</v>
      </c>
      <c r="AN20" s="83">
        <f>R20+U20+X20+AA20+AD20+AG20+AJ20</f>
        <v>29</v>
      </c>
      <c r="AO20" s="190">
        <f>O20/H20*100</f>
        <v>4.7717842323651452</v>
      </c>
      <c r="AP20" s="190">
        <f t="shared" si="90"/>
        <v>6.0165975103734439</v>
      </c>
      <c r="AQ20" s="190">
        <f t="shared" si="91"/>
        <v>1.9066403681788298</v>
      </c>
      <c r="AR20" s="85">
        <f>AK20/AM20*100</f>
        <v>57.26495726495726</v>
      </c>
      <c r="AS20" s="85">
        <f t="shared" si="93"/>
        <v>42.735042735042732</v>
      </c>
      <c r="AT20" s="85">
        <f t="shared" si="94"/>
        <v>0</v>
      </c>
      <c r="AU20" s="85">
        <f>U20/AN20*100</f>
        <v>31.03448275862069</v>
      </c>
      <c r="AV20" s="85">
        <f t="shared" si="96"/>
        <v>51.724137931034484</v>
      </c>
      <c r="AW20" s="85">
        <f t="shared" si="97"/>
        <v>0</v>
      </c>
      <c r="AX20" s="85">
        <f t="shared" si="98"/>
        <v>13.793103448275861</v>
      </c>
      <c r="AY20" s="85">
        <f t="shared" si="99"/>
        <v>0</v>
      </c>
      <c r="AZ20" s="85">
        <f t="shared" si="100"/>
        <v>3.4482758620689653</v>
      </c>
    </row>
    <row r="21" spans="1:52" s="165" customFormat="1" ht="20.25" customHeight="1">
      <c r="A21" s="163" t="s">
        <v>308</v>
      </c>
      <c r="B21" s="163" t="s">
        <v>261</v>
      </c>
      <c r="C21" s="159">
        <v>155</v>
      </c>
      <c r="D21" s="160">
        <v>45999</v>
      </c>
      <c r="E21" s="160">
        <v>46001</v>
      </c>
      <c r="F21" s="159">
        <v>54</v>
      </c>
      <c r="G21" s="159">
        <v>0</v>
      </c>
      <c r="H21" s="105">
        <f>F21+G21</f>
        <v>54</v>
      </c>
      <c r="I21" s="159">
        <v>1</v>
      </c>
      <c r="J21" s="159">
        <v>0</v>
      </c>
      <c r="K21" s="314">
        <f t="shared" si="46"/>
        <v>55</v>
      </c>
      <c r="L21" s="159">
        <v>0</v>
      </c>
      <c r="M21" s="159">
        <v>0</v>
      </c>
      <c r="N21" s="159">
        <v>54</v>
      </c>
      <c r="O21" s="159">
        <v>0</v>
      </c>
      <c r="P21" s="159">
        <v>0</v>
      </c>
      <c r="Q21" s="159">
        <v>6</v>
      </c>
      <c r="R21" s="159">
        <v>0</v>
      </c>
      <c r="S21" s="159">
        <v>1</v>
      </c>
      <c r="T21" s="159">
        <v>25</v>
      </c>
      <c r="U21" s="159">
        <v>0</v>
      </c>
      <c r="V21" s="159">
        <v>0</v>
      </c>
      <c r="W21" s="159">
        <v>0</v>
      </c>
      <c r="X21" s="159">
        <v>0</v>
      </c>
      <c r="Y21" s="159">
        <v>0</v>
      </c>
      <c r="Z21" s="159">
        <v>0</v>
      </c>
      <c r="AA21" s="159">
        <v>0</v>
      </c>
      <c r="AB21" s="159">
        <v>5</v>
      </c>
      <c r="AC21" s="159">
        <v>1</v>
      </c>
      <c r="AD21" s="159">
        <v>0</v>
      </c>
      <c r="AE21" s="159">
        <v>0</v>
      </c>
      <c r="AF21" s="159">
        <v>0</v>
      </c>
      <c r="AG21" s="159">
        <v>0</v>
      </c>
      <c r="AH21" s="159">
        <v>0</v>
      </c>
      <c r="AI21" s="159">
        <v>0</v>
      </c>
      <c r="AJ21" s="159">
        <v>0</v>
      </c>
      <c r="AK21" s="314">
        <f t="shared" ref="AK21:AK22" si="102">P21+S21+V21+Y21+AB21+AE21+AH21</f>
        <v>6</v>
      </c>
      <c r="AL21" s="314">
        <f t="shared" ref="AL21:AL22" si="103">Q21+T21+W21+Z21+AC21+AF21+AI21</f>
        <v>32</v>
      </c>
      <c r="AM21" s="314">
        <f t="shared" ref="AM21:AM22" si="104">AK21+AL21</f>
        <v>38</v>
      </c>
      <c r="AN21" s="314">
        <f t="shared" ref="AN21:AN22" si="105">R21+U21+X21+AA21+AD21+AG21+AJ21</f>
        <v>0</v>
      </c>
      <c r="AO21" s="189">
        <f t="shared" ref="AO21:AO22" si="106">O21/H21*100</f>
        <v>0</v>
      </c>
      <c r="AP21" s="189">
        <f t="shared" ref="AP21:AP22" si="107">AN21/H21*100</f>
        <v>0</v>
      </c>
      <c r="AQ21" s="189">
        <f t="shared" ref="AQ21:AQ22" si="108">AN21/AM21*100</f>
        <v>0</v>
      </c>
      <c r="AR21" s="81">
        <f t="shared" ref="AR21:AR22" si="109">AK21/AM21*100</f>
        <v>15.789473684210526</v>
      </c>
      <c r="AS21" s="81">
        <f t="shared" ref="AS21:AS22" si="110">AL21/AM21*100</f>
        <v>84.210526315789465</v>
      </c>
      <c r="AT21" s="81" t="e">
        <f t="shared" ref="AT21:AT22" si="111">R21/AN21*100</f>
        <v>#DIV/0!</v>
      </c>
      <c r="AU21" s="81" t="e">
        <f t="shared" ref="AU21:AU22" si="112">U21/AN21*100</f>
        <v>#DIV/0!</v>
      </c>
      <c r="AV21" s="81" t="e">
        <f t="shared" ref="AV21:AV22" si="113">X21/AN21*100</f>
        <v>#DIV/0!</v>
      </c>
      <c r="AW21" s="81" t="e">
        <f t="shared" ref="AW21:AW22" si="114">AA21/AN21*100</f>
        <v>#DIV/0!</v>
      </c>
      <c r="AX21" s="81" t="e">
        <f t="shared" ref="AX21:AX22" si="115">AD21/AN21*100</f>
        <v>#DIV/0!</v>
      </c>
      <c r="AY21" s="81" t="e">
        <f t="shared" ref="AY21:AY22" si="116">AG21/AN21*100</f>
        <v>#DIV/0!</v>
      </c>
      <c r="AZ21" s="81" t="e">
        <f t="shared" ref="AZ21:AZ22" si="117">AJ21/AN21*100</f>
        <v>#DIV/0!</v>
      </c>
    </row>
    <row r="22" spans="1:52" s="165" customFormat="1" ht="20.25" customHeight="1">
      <c r="A22" s="163" t="s">
        <v>200</v>
      </c>
      <c r="B22" s="163" t="s">
        <v>304</v>
      </c>
      <c r="C22" s="317">
        <v>95</v>
      </c>
      <c r="D22" s="160">
        <v>46003</v>
      </c>
      <c r="E22" s="160">
        <v>46003</v>
      </c>
      <c r="F22" s="159">
        <v>48</v>
      </c>
      <c r="G22" s="159">
        <v>0</v>
      </c>
      <c r="H22" s="105">
        <f t="shared" ref="H22:H23" si="118">F22+G22</f>
        <v>48</v>
      </c>
      <c r="I22" s="159">
        <v>0</v>
      </c>
      <c r="J22" s="159">
        <v>0</v>
      </c>
      <c r="K22" s="314">
        <f t="shared" si="46"/>
        <v>48</v>
      </c>
      <c r="L22" s="159">
        <v>0</v>
      </c>
      <c r="M22" s="159">
        <v>0</v>
      </c>
      <c r="N22" s="159">
        <v>48</v>
      </c>
      <c r="O22" s="159">
        <v>0</v>
      </c>
      <c r="P22" s="159">
        <v>0</v>
      </c>
      <c r="Q22" s="159">
        <v>1</v>
      </c>
      <c r="R22" s="159">
        <v>0</v>
      </c>
      <c r="S22" s="159">
        <v>2</v>
      </c>
      <c r="T22" s="159">
        <v>27</v>
      </c>
      <c r="U22" s="159">
        <v>0</v>
      </c>
      <c r="V22" s="159">
        <v>3</v>
      </c>
      <c r="W22" s="159">
        <v>0</v>
      </c>
      <c r="X22" s="159">
        <v>0</v>
      </c>
      <c r="Y22" s="159">
        <v>0</v>
      </c>
      <c r="Z22" s="159">
        <v>0</v>
      </c>
      <c r="AA22" s="159">
        <v>0</v>
      </c>
      <c r="AB22" s="159">
        <v>6</v>
      </c>
      <c r="AC22" s="159">
        <v>0</v>
      </c>
      <c r="AD22" s="159">
        <v>0</v>
      </c>
      <c r="AE22" s="159">
        <v>8</v>
      </c>
      <c r="AF22" s="159">
        <v>0</v>
      </c>
      <c r="AG22" s="159">
        <v>0</v>
      </c>
      <c r="AH22" s="159">
        <v>0</v>
      </c>
      <c r="AI22" s="159">
        <v>1</v>
      </c>
      <c r="AJ22" s="159">
        <v>0</v>
      </c>
      <c r="AK22" s="314">
        <f t="shared" si="102"/>
        <v>19</v>
      </c>
      <c r="AL22" s="314">
        <f t="shared" si="103"/>
        <v>29</v>
      </c>
      <c r="AM22" s="314">
        <f t="shared" si="104"/>
        <v>48</v>
      </c>
      <c r="AN22" s="314">
        <f t="shared" si="105"/>
        <v>0</v>
      </c>
      <c r="AO22" s="189">
        <f t="shared" si="106"/>
        <v>0</v>
      </c>
      <c r="AP22" s="189">
        <f t="shared" si="107"/>
        <v>0</v>
      </c>
      <c r="AQ22" s="189">
        <f t="shared" si="108"/>
        <v>0</v>
      </c>
      <c r="AR22" s="81">
        <f t="shared" si="109"/>
        <v>39.583333333333329</v>
      </c>
      <c r="AS22" s="81">
        <f t="shared" si="110"/>
        <v>60.416666666666664</v>
      </c>
      <c r="AT22" s="81" t="e">
        <f t="shared" si="111"/>
        <v>#DIV/0!</v>
      </c>
      <c r="AU22" s="81" t="e">
        <f t="shared" si="112"/>
        <v>#DIV/0!</v>
      </c>
      <c r="AV22" s="81" t="e">
        <f t="shared" si="113"/>
        <v>#DIV/0!</v>
      </c>
      <c r="AW22" s="81" t="e">
        <f t="shared" si="114"/>
        <v>#DIV/0!</v>
      </c>
      <c r="AX22" s="81" t="e">
        <f t="shared" si="115"/>
        <v>#DIV/0!</v>
      </c>
      <c r="AY22" s="81" t="e">
        <f t="shared" si="116"/>
        <v>#DIV/0!</v>
      </c>
      <c r="AZ22" s="81" t="e">
        <f t="shared" si="117"/>
        <v>#DIV/0!</v>
      </c>
    </row>
    <row r="23" spans="1:52" s="165" customFormat="1" ht="20.25" customHeight="1">
      <c r="A23" s="163" t="s">
        <v>309</v>
      </c>
      <c r="B23" s="163" t="s">
        <v>159</v>
      </c>
      <c r="C23" s="159">
        <v>250</v>
      </c>
      <c r="D23" s="160">
        <v>46000</v>
      </c>
      <c r="E23" s="160">
        <v>46010</v>
      </c>
      <c r="F23" s="159">
        <v>122</v>
      </c>
      <c r="G23" s="159">
        <v>0</v>
      </c>
      <c r="H23" s="105">
        <f t="shared" si="118"/>
        <v>122</v>
      </c>
      <c r="I23" s="159">
        <v>7</v>
      </c>
      <c r="J23" s="159">
        <v>0</v>
      </c>
      <c r="K23" s="314">
        <f t="shared" si="46"/>
        <v>129</v>
      </c>
      <c r="L23" s="159">
        <v>0</v>
      </c>
      <c r="M23" s="159">
        <v>0</v>
      </c>
      <c r="N23" s="159">
        <v>122</v>
      </c>
      <c r="O23" s="159">
        <v>7</v>
      </c>
      <c r="P23" s="159">
        <v>5</v>
      </c>
      <c r="Q23" s="159">
        <v>12</v>
      </c>
      <c r="R23" s="159">
        <v>0</v>
      </c>
      <c r="S23" s="159">
        <v>27</v>
      </c>
      <c r="T23" s="159">
        <v>186</v>
      </c>
      <c r="U23" s="159">
        <v>7</v>
      </c>
      <c r="V23" s="159">
        <v>49</v>
      </c>
      <c r="W23" s="159">
        <v>37</v>
      </c>
      <c r="X23" s="159">
        <v>0</v>
      </c>
      <c r="Y23" s="159">
        <v>14</v>
      </c>
      <c r="Z23" s="159">
        <v>5</v>
      </c>
      <c r="AA23" s="159">
        <v>0</v>
      </c>
      <c r="AB23" s="159">
        <v>21</v>
      </c>
      <c r="AC23" s="159">
        <v>8</v>
      </c>
      <c r="AD23" s="159">
        <v>0</v>
      </c>
      <c r="AE23" s="159">
        <v>42</v>
      </c>
      <c r="AF23" s="159">
        <v>3</v>
      </c>
      <c r="AG23" s="159">
        <v>0</v>
      </c>
      <c r="AH23" s="159">
        <v>5</v>
      </c>
      <c r="AI23" s="159">
        <v>1</v>
      </c>
      <c r="AJ23" s="159">
        <v>0</v>
      </c>
      <c r="AK23" s="314">
        <f t="shared" ref="AK23" si="119">P23+S23+V23+Y23+AB23+AE23+AH23</f>
        <v>163</v>
      </c>
      <c r="AL23" s="314">
        <f t="shared" ref="AL23" si="120">Q23+T23+W23+Z23+AC23+AF23+AI23</f>
        <v>252</v>
      </c>
      <c r="AM23" s="314">
        <f t="shared" ref="AM23" si="121">AK23+AL23</f>
        <v>415</v>
      </c>
      <c r="AN23" s="314">
        <f t="shared" ref="AN23" si="122">R23+U23+X23+AA23+AD23+AG23+AJ23</f>
        <v>7</v>
      </c>
      <c r="AO23" s="189">
        <f t="shared" ref="AO23" si="123">O23/H23*100</f>
        <v>5.7377049180327866</v>
      </c>
      <c r="AP23" s="189">
        <f t="shared" ref="AP23" si="124">AN23/H23*100</f>
        <v>5.7377049180327866</v>
      </c>
      <c r="AQ23" s="189">
        <f t="shared" ref="AQ23" si="125">AN23/AM23*100</f>
        <v>1.6867469879518073</v>
      </c>
      <c r="AR23" s="81">
        <f t="shared" ref="AR23" si="126">AK23/AM23*100</f>
        <v>39.277108433734945</v>
      </c>
      <c r="AS23" s="81">
        <f t="shared" ref="AS23" si="127">AL23/AM23*100</f>
        <v>60.722891566265055</v>
      </c>
      <c r="AT23" s="81">
        <f t="shared" ref="AT23" si="128">R23/AN23*100</f>
        <v>0</v>
      </c>
      <c r="AU23" s="81">
        <f t="shared" ref="AU23" si="129">U23/AN23*100</f>
        <v>100</v>
      </c>
      <c r="AV23" s="81">
        <f t="shared" ref="AV23" si="130">X23/AN23*100</f>
        <v>0</v>
      </c>
      <c r="AW23" s="81">
        <f t="shared" ref="AW23" si="131">AA23/AN23*100</f>
        <v>0</v>
      </c>
      <c r="AX23" s="81">
        <f t="shared" ref="AX23" si="132">AD23/AN23*100</f>
        <v>0</v>
      </c>
      <c r="AY23" s="81">
        <f t="shared" ref="AY23" si="133">AG23/AN23*100</f>
        <v>0</v>
      </c>
      <c r="AZ23" s="81">
        <f t="shared" ref="AZ23" si="134">AJ23/AN23*100</f>
        <v>0</v>
      </c>
    </row>
    <row r="24" spans="1:52" s="65" customFormat="1" ht="20.25" customHeight="1">
      <c r="A24" s="70" t="s">
        <v>305</v>
      </c>
      <c r="B24" s="70">
        <f>COUNTA(B20:B23)</f>
        <v>4</v>
      </c>
      <c r="C24" s="70">
        <f>SUM(C21:C23)</f>
        <v>500</v>
      </c>
      <c r="D24" s="68">
        <f>MIN(D21:D23)</f>
        <v>45999</v>
      </c>
      <c r="E24" s="68">
        <f>MAX(E21:E23)</f>
        <v>46010</v>
      </c>
      <c r="F24" s="70">
        <f>SUM(F21:F23)</f>
        <v>224</v>
      </c>
      <c r="G24" s="70">
        <f>SUM(G21:G23)</f>
        <v>0</v>
      </c>
      <c r="H24" s="70">
        <f>SUM(H21:H23)</f>
        <v>224</v>
      </c>
      <c r="I24" s="70">
        <f t="shared" ref="I24:AJ24" si="135">SUM(I21:I23)</f>
        <v>8</v>
      </c>
      <c r="J24" s="70">
        <f t="shared" si="135"/>
        <v>0</v>
      </c>
      <c r="K24" s="70">
        <f t="shared" si="135"/>
        <v>232</v>
      </c>
      <c r="L24" s="70">
        <f t="shared" si="135"/>
        <v>0</v>
      </c>
      <c r="M24" s="70">
        <f t="shared" si="135"/>
        <v>0</v>
      </c>
      <c r="N24" s="70">
        <f t="shared" si="135"/>
        <v>224</v>
      </c>
      <c r="O24" s="70">
        <f>SUM(O21:O23)</f>
        <v>7</v>
      </c>
      <c r="P24" s="70">
        <f t="shared" si="135"/>
        <v>5</v>
      </c>
      <c r="Q24" s="70">
        <f t="shared" si="135"/>
        <v>19</v>
      </c>
      <c r="R24" s="70">
        <f t="shared" si="135"/>
        <v>0</v>
      </c>
      <c r="S24" s="70">
        <f t="shared" si="135"/>
        <v>30</v>
      </c>
      <c r="T24" s="70">
        <f t="shared" si="135"/>
        <v>238</v>
      </c>
      <c r="U24" s="70">
        <f t="shared" si="135"/>
        <v>7</v>
      </c>
      <c r="V24" s="70">
        <f t="shared" si="135"/>
        <v>52</v>
      </c>
      <c r="W24" s="70">
        <f t="shared" si="135"/>
        <v>37</v>
      </c>
      <c r="X24" s="70">
        <f t="shared" si="135"/>
        <v>0</v>
      </c>
      <c r="Y24" s="70">
        <f t="shared" si="135"/>
        <v>14</v>
      </c>
      <c r="Z24" s="70">
        <f t="shared" si="135"/>
        <v>5</v>
      </c>
      <c r="AA24" s="70">
        <f t="shared" si="135"/>
        <v>0</v>
      </c>
      <c r="AB24" s="70">
        <f t="shared" si="135"/>
        <v>32</v>
      </c>
      <c r="AC24" s="70">
        <f t="shared" si="135"/>
        <v>9</v>
      </c>
      <c r="AD24" s="70">
        <f t="shared" si="135"/>
        <v>0</v>
      </c>
      <c r="AE24" s="70">
        <f t="shared" si="135"/>
        <v>50</v>
      </c>
      <c r="AF24" s="70">
        <f t="shared" si="135"/>
        <v>3</v>
      </c>
      <c r="AG24" s="70">
        <f t="shared" si="135"/>
        <v>0</v>
      </c>
      <c r="AH24" s="70">
        <f t="shared" si="135"/>
        <v>5</v>
      </c>
      <c r="AI24" s="70">
        <f t="shared" si="135"/>
        <v>2</v>
      </c>
      <c r="AJ24" s="70">
        <f t="shared" si="135"/>
        <v>0</v>
      </c>
      <c r="AK24" s="83">
        <f>P24+S24+V24+Y24+AB24+AE24+AH24</f>
        <v>188</v>
      </c>
      <c r="AL24" s="83">
        <f>Q24+T24+W24+Z24+AC24+AF24+AI24</f>
        <v>313</v>
      </c>
      <c r="AM24" s="83">
        <f>AK24+AL24</f>
        <v>501</v>
      </c>
      <c r="AN24" s="83">
        <v>7</v>
      </c>
      <c r="AO24" s="190">
        <f>O24/H24*100</f>
        <v>3.125</v>
      </c>
      <c r="AP24" s="190">
        <f t="shared" ref="AP24" si="136">AN24/H24*100</f>
        <v>3.125</v>
      </c>
      <c r="AQ24" s="190">
        <f t="shared" ref="AQ24" si="137">AN24/AM24*100</f>
        <v>1.3972055888223553</v>
      </c>
      <c r="AR24" s="85">
        <f>AK24/AM24*100</f>
        <v>37.5249500998004</v>
      </c>
      <c r="AS24" s="85">
        <f t="shared" ref="AS24" si="138">AL24/AM24*100</f>
        <v>62.4750499001996</v>
      </c>
      <c r="AT24" s="85">
        <f t="shared" ref="AT24" si="139">R24/AN24*100</f>
        <v>0</v>
      </c>
      <c r="AU24" s="85">
        <f>U24/AN24*100</f>
        <v>100</v>
      </c>
      <c r="AV24" s="85">
        <f t="shared" ref="AV24" si="140">X24/AN24*100</f>
        <v>0</v>
      </c>
      <c r="AW24" s="85">
        <f t="shared" ref="AW24" si="141">AA24/AN24*100</f>
        <v>0</v>
      </c>
      <c r="AX24" s="85">
        <f t="shared" ref="AX24" si="142">AD24/AN24*100</f>
        <v>0</v>
      </c>
      <c r="AY24" s="85">
        <f t="shared" ref="AY24" si="143">AG24/AN24*100</f>
        <v>0</v>
      </c>
      <c r="AZ24" s="85">
        <f t="shared" ref="AZ24" si="144">AJ24/AN24*100</f>
        <v>0</v>
      </c>
    </row>
    <row r="25" spans="1:52" s="65" customFormat="1" ht="20.25" customHeight="1">
      <c r="A25" s="70" t="s">
        <v>38</v>
      </c>
      <c r="B25" s="70">
        <f>+B7+B10+B13+B18+B20+B24</f>
        <v>17</v>
      </c>
      <c r="C25" s="70">
        <f>+C7+C10+C13+C18+C20+C24</f>
        <v>5359</v>
      </c>
      <c r="D25" s="68">
        <f>MIN(D6:D24)</f>
        <v>45664</v>
      </c>
      <c r="E25" s="68">
        <f>MAX(E6:E24)</f>
        <v>46010</v>
      </c>
      <c r="F25" s="70">
        <f>+F7+F10+F13+F18+F24</f>
        <v>847</v>
      </c>
      <c r="G25" s="70">
        <f t="shared" ref="G25:S25" si="145">+G7+G10+G13+G18+G24</f>
        <v>0</v>
      </c>
      <c r="H25" s="70">
        <f t="shared" si="145"/>
        <v>847</v>
      </c>
      <c r="I25" s="70">
        <f t="shared" si="145"/>
        <v>45</v>
      </c>
      <c r="J25" s="70">
        <f t="shared" si="145"/>
        <v>0</v>
      </c>
      <c r="K25" s="70">
        <f t="shared" si="145"/>
        <v>892</v>
      </c>
      <c r="L25" s="70">
        <f t="shared" si="145"/>
        <v>0</v>
      </c>
      <c r="M25" s="70">
        <f t="shared" si="145"/>
        <v>0</v>
      </c>
      <c r="N25" s="70">
        <f t="shared" si="145"/>
        <v>727</v>
      </c>
      <c r="O25" s="70">
        <f t="shared" si="145"/>
        <v>60</v>
      </c>
      <c r="P25" s="70">
        <f t="shared" si="145"/>
        <v>5</v>
      </c>
      <c r="Q25" s="70">
        <f t="shared" si="145"/>
        <v>61</v>
      </c>
      <c r="R25" s="70">
        <f t="shared" si="145"/>
        <v>0</v>
      </c>
      <c r="S25" s="70">
        <f t="shared" si="145"/>
        <v>96</v>
      </c>
      <c r="T25" s="70">
        <f>+T7+T10+T13+T18+T24</f>
        <v>855</v>
      </c>
      <c r="U25" s="70">
        <f t="shared" ref="U25:AI25" si="146">+U7+U10+U13+U18+U24</f>
        <v>26</v>
      </c>
      <c r="V25" s="70">
        <f t="shared" si="146"/>
        <v>296</v>
      </c>
      <c r="W25" s="70">
        <f t="shared" si="146"/>
        <v>319</v>
      </c>
      <c r="X25" s="70">
        <f t="shared" si="146"/>
        <v>26</v>
      </c>
      <c r="Y25" s="70">
        <f t="shared" si="146"/>
        <v>225</v>
      </c>
      <c r="Z25" s="70">
        <f t="shared" si="146"/>
        <v>42</v>
      </c>
      <c r="AA25" s="70">
        <f t="shared" si="146"/>
        <v>5</v>
      </c>
      <c r="AB25" s="70">
        <f t="shared" si="146"/>
        <v>150</v>
      </c>
      <c r="AC25" s="70">
        <f t="shared" si="146"/>
        <v>81</v>
      </c>
      <c r="AD25" s="70">
        <f t="shared" si="146"/>
        <v>4</v>
      </c>
      <c r="AE25" s="70">
        <f t="shared" si="146"/>
        <v>1663</v>
      </c>
      <c r="AF25" s="70">
        <f t="shared" si="146"/>
        <v>231</v>
      </c>
      <c r="AG25" s="70">
        <f t="shared" si="146"/>
        <v>9</v>
      </c>
      <c r="AH25" s="70">
        <f t="shared" si="146"/>
        <v>5</v>
      </c>
      <c r="AI25" s="70">
        <f t="shared" si="146"/>
        <v>16</v>
      </c>
      <c r="AJ25" s="70">
        <f>+AJ7+AJ10+AJ13+AJ18+AJ24</f>
        <v>1</v>
      </c>
      <c r="AK25" s="70">
        <f>P25+S25+V25+Y25+AB25+AE25+AH25</f>
        <v>2440</v>
      </c>
      <c r="AL25" s="70">
        <f>Q25+T25+W25+Z25+AC25+AF25+AI25</f>
        <v>1605</v>
      </c>
      <c r="AM25" s="70">
        <f>AK25+AL25</f>
        <v>4045</v>
      </c>
      <c r="AN25" s="70">
        <f>R25+U25+X25+AA25+AD25+AG25+AJ25</f>
        <v>71</v>
      </c>
      <c r="AO25" s="183">
        <f>O25/H25*100</f>
        <v>7.0838252656434477</v>
      </c>
      <c r="AP25" s="183">
        <f t="shared" ref="AP25" si="147">AN25/H25*100</f>
        <v>8.3825265643447455</v>
      </c>
      <c r="AQ25" s="183">
        <f t="shared" si="5"/>
        <v>1.7552533992583437</v>
      </c>
      <c r="AR25" s="69">
        <f t="shared" si="6"/>
        <v>60.321384425216316</v>
      </c>
      <c r="AS25" s="69">
        <f t="shared" si="7"/>
        <v>39.678615574783684</v>
      </c>
      <c r="AT25" s="69">
        <f t="shared" ref="AT25" si="148">R25/AN25*100</f>
        <v>0</v>
      </c>
      <c r="AU25" s="69">
        <f t="shared" si="9"/>
        <v>36.619718309859159</v>
      </c>
      <c r="AV25" s="69">
        <f t="shared" si="10"/>
        <v>36.619718309859159</v>
      </c>
      <c r="AW25" s="85">
        <f t="shared" si="11"/>
        <v>7.042253521126761</v>
      </c>
      <c r="AX25" s="69">
        <f t="shared" si="12"/>
        <v>5.6338028169014089</v>
      </c>
      <c r="AY25" s="69">
        <f t="shared" si="13"/>
        <v>12.676056338028168</v>
      </c>
      <c r="AZ25" s="69">
        <f t="shared" si="14"/>
        <v>1.4084507042253522</v>
      </c>
    </row>
    <row r="26" spans="1:52" s="10" customFormat="1" ht="18">
      <c r="A26" s="9" t="s">
        <v>52</v>
      </c>
      <c r="C26" s="44"/>
      <c r="AO26" s="191"/>
      <c r="AP26" s="191"/>
      <c r="AQ26" s="191"/>
      <c r="AR26" s="47"/>
      <c r="AS26" s="47"/>
      <c r="AT26" s="73"/>
      <c r="AU26" s="73"/>
      <c r="AV26" s="73"/>
      <c r="AW26" s="73"/>
      <c r="AX26" s="73"/>
      <c r="AY26" s="73"/>
      <c r="AZ26" s="73"/>
    </row>
  </sheetData>
  <mergeCells count="48">
    <mergeCell ref="A16:A17"/>
    <mergeCell ref="A1:AP1"/>
    <mergeCell ref="A3:A5"/>
    <mergeCell ref="B3:B5"/>
    <mergeCell ref="C3:C5"/>
    <mergeCell ref="D3:E3"/>
    <mergeCell ref="F3:J3"/>
    <mergeCell ref="K3:K5"/>
    <mergeCell ref="L3:M3"/>
    <mergeCell ref="N3:O3"/>
    <mergeCell ref="P3:U3"/>
    <mergeCell ref="V3:X3"/>
    <mergeCell ref="Y3:AA3"/>
    <mergeCell ref="I4:I5"/>
    <mergeCell ref="J4:J5"/>
    <mergeCell ref="AO3:AS3"/>
    <mergeCell ref="AZ4:AZ5"/>
    <mergeCell ref="AB3:AG3"/>
    <mergeCell ref="AW4:AW5"/>
    <mergeCell ref="AK3:AN3"/>
    <mergeCell ref="AX4:AX5"/>
    <mergeCell ref="AT3:AZ3"/>
    <mergeCell ref="AY4:AY5"/>
    <mergeCell ref="AE4:AG4"/>
    <mergeCell ref="AH4:AJ4"/>
    <mergeCell ref="AK4:AK5"/>
    <mergeCell ref="AL4:AL5"/>
    <mergeCell ref="AM4:AM5"/>
    <mergeCell ref="AO4:AQ4"/>
    <mergeCell ref="AT4:AT5"/>
    <mergeCell ref="AN4:AN5"/>
    <mergeCell ref="AH3:AJ3"/>
    <mergeCell ref="N4:N5"/>
    <mergeCell ref="M4:M5"/>
    <mergeCell ref="O4:O5"/>
    <mergeCell ref="D4:D5"/>
    <mergeCell ref="E4:E5"/>
    <mergeCell ref="F4:G4"/>
    <mergeCell ref="H4:H5"/>
    <mergeCell ref="L4:L5"/>
    <mergeCell ref="AV4:AV5"/>
    <mergeCell ref="P4:R4"/>
    <mergeCell ref="S4:U4"/>
    <mergeCell ref="Y4:AA4"/>
    <mergeCell ref="AU4:AU5"/>
    <mergeCell ref="AB4:AD4"/>
    <mergeCell ref="V4:X4"/>
    <mergeCell ref="AR4:AS4"/>
  </mergeCells>
  <pageMargins left="0.7" right="0.7" top="0.75" bottom="0.75" header="0.3" footer="0.3"/>
  <ignoredErrors>
    <ignoredError sqref="H7:K7 H10:K10" formula="1"/>
    <ignoredError sqref="D18:E18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Z45"/>
  <sheetViews>
    <sheetView zoomScaleNormal="100" workbookViewId="0">
      <pane xSplit="1" ySplit="5" topLeftCell="T48" activePane="bottomRight" state="frozen"/>
      <selection activeCell="C20" sqref="C20"/>
      <selection pane="topRight" activeCell="C20" sqref="C20"/>
      <selection pane="bottomLeft" activeCell="C20" sqref="C20"/>
      <selection pane="bottomRight" activeCell="AV59" sqref="AV59"/>
    </sheetView>
  </sheetViews>
  <sheetFormatPr baseColWidth="10" defaultRowHeight="12.75"/>
  <cols>
    <col min="1" max="1" width="28.85546875" customWidth="1"/>
    <col min="2" max="2" width="29.85546875" customWidth="1"/>
    <col min="3" max="3" width="10.85546875" style="147" customWidth="1"/>
    <col min="4" max="5" width="12.7109375" style="147" customWidth="1"/>
    <col min="6" max="6" width="8.140625" style="147" customWidth="1"/>
    <col min="7" max="7" width="6.5703125" style="147" customWidth="1"/>
    <col min="8" max="8" width="8.42578125" customWidth="1"/>
    <col min="9" max="9" width="5.5703125" customWidth="1"/>
    <col min="10" max="10" width="5.85546875" customWidth="1"/>
    <col min="11" max="11" width="8" customWidth="1"/>
    <col min="12" max="13" width="5.5703125" customWidth="1"/>
    <col min="14" max="14" width="8.7109375" customWidth="1"/>
    <col min="15" max="19" width="6.85546875" customWidth="1"/>
    <col min="20" max="22" width="5.5703125" customWidth="1"/>
    <col min="23" max="23" width="6.140625" customWidth="1"/>
    <col min="24" max="25" width="5.5703125" customWidth="1"/>
    <col min="26" max="26" width="6.140625" customWidth="1"/>
    <col min="27" max="29" width="5.5703125" customWidth="1"/>
    <col min="30" max="30" width="6.140625" customWidth="1"/>
    <col min="31" max="31" width="5.5703125" customWidth="1"/>
    <col min="32" max="32" width="6.28515625" customWidth="1"/>
    <col min="33" max="36" width="5.5703125" customWidth="1"/>
    <col min="37" max="40" width="8.42578125" customWidth="1"/>
    <col min="41" max="43" width="9.85546875" style="5" customWidth="1"/>
    <col min="44" max="45" width="9.7109375" style="46" customWidth="1"/>
    <col min="46" max="47" width="7.7109375" style="46" customWidth="1"/>
    <col min="48" max="48" width="8" style="46" customWidth="1"/>
    <col min="49" max="49" width="8.140625" style="46" customWidth="1"/>
    <col min="50" max="52" width="7.85546875" style="46" customWidth="1"/>
  </cols>
  <sheetData>
    <row r="1" spans="1:52" ht="44.25" customHeight="1">
      <c r="A1" s="326" t="s">
        <v>178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  <c r="AO1" s="326"/>
      <c r="AP1" s="326"/>
      <c r="AQ1" s="179"/>
      <c r="AR1" s="48"/>
      <c r="AS1" s="48"/>
    </row>
    <row r="2" spans="1:5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80"/>
      <c r="AP2" s="180"/>
      <c r="AQ2" s="180"/>
      <c r="AR2" s="49"/>
      <c r="AS2" s="49"/>
    </row>
    <row r="3" spans="1:52" s="11" customFormat="1" ht="51" customHeight="1">
      <c r="A3" s="327" t="s">
        <v>46</v>
      </c>
      <c r="B3" s="328" t="s">
        <v>47</v>
      </c>
      <c r="C3" s="329" t="s">
        <v>76</v>
      </c>
      <c r="D3" s="327" t="s">
        <v>0</v>
      </c>
      <c r="E3" s="327"/>
      <c r="F3" s="327" t="s">
        <v>4</v>
      </c>
      <c r="G3" s="327"/>
      <c r="H3" s="327"/>
      <c r="I3" s="327"/>
      <c r="J3" s="327"/>
      <c r="K3" s="332" t="s">
        <v>3</v>
      </c>
      <c r="L3" s="333" t="s">
        <v>8</v>
      </c>
      <c r="M3" s="333"/>
      <c r="N3" s="334" t="s">
        <v>71</v>
      </c>
      <c r="O3" s="334"/>
      <c r="P3" s="335" t="s">
        <v>60</v>
      </c>
      <c r="Q3" s="336"/>
      <c r="R3" s="336"/>
      <c r="S3" s="336"/>
      <c r="T3" s="336"/>
      <c r="U3" s="337"/>
      <c r="V3" s="335" t="s">
        <v>57</v>
      </c>
      <c r="W3" s="336"/>
      <c r="X3" s="337"/>
      <c r="Y3" s="335" t="s">
        <v>58</v>
      </c>
      <c r="Z3" s="336"/>
      <c r="AA3" s="337"/>
      <c r="AB3" s="348" t="s">
        <v>56</v>
      </c>
      <c r="AC3" s="349"/>
      <c r="AD3" s="349"/>
      <c r="AE3" s="349"/>
      <c r="AF3" s="349"/>
      <c r="AG3" s="350"/>
      <c r="AH3" s="335" t="s">
        <v>59</v>
      </c>
      <c r="AI3" s="336"/>
      <c r="AJ3" s="337"/>
      <c r="AK3" s="335" t="s">
        <v>2</v>
      </c>
      <c r="AL3" s="336"/>
      <c r="AM3" s="336"/>
      <c r="AN3" s="337"/>
      <c r="AO3" s="351" t="s">
        <v>90</v>
      </c>
      <c r="AP3" s="352"/>
      <c r="AQ3" s="352"/>
      <c r="AR3" s="352"/>
      <c r="AS3" s="353"/>
      <c r="AT3" s="344" t="s">
        <v>89</v>
      </c>
      <c r="AU3" s="344"/>
      <c r="AV3" s="344"/>
      <c r="AW3" s="344"/>
      <c r="AX3" s="344"/>
      <c r="AY3" s="344"/>
      <c r="AZ3" s="344"/>
    </row>
    <row r="4" spans="1:52" s="11" customFormat="1" ht="23.25" customHeight="1">
      <c r="A4" s="327"/>
      <c r="B4" s="328"/>
      <c r="C4" s="330"/>
      <c r="D4" s="327" t="s">
        <v>10</v>
      </c>
      <c r="E4" s="327" t="s">
        <v>9</v>
      </c>
      <c r="F4" s="345" t="s">
        <v>5</v>
      </c>
      <c r="G4" s="345"/>
      <c r="H4" s="346" t="s">
        <v>2</v>
      </c>
      <c r="I4" s="346" t="s">
        <v>13</v>
      </c>
      <c r="J4" s="346" t="s">
        <v>14</v>
      </c>
      <c r="K4" s="332"/>
      <c r="L4" s="347" t="s">
        <v>7</v>
      </c>
      <c r="M4" s="340" t="s">
        <v>6</v>
      </c>
      <c r="N4" s="347" t="s">
        <v>1</v>
      </c>
      <c r="O4" s="340" t="s">
        <v>6</v>
      </c>
      <c r="P4" s="335" t="s">
        <v>34</v>
      </c>
      <c r="Q4" s="336"/>
      <c r="R4" s="337"/>
      <c r="S4" s="341" t="s">
        <v>35</v>
      </c>
      <c r="T4" s="342"/>
      <c r="U4" s="343"/>
      <c r="V4" s="335" t="s">
        <v>31</v>
      </c>
      <c r="W4" s="336"/>
      <c r="X4" s="337"/>
      <c r="Y4" s="335" t="s">
        <v>32</v>
      </c>
      <c r="Z4" s="336"/>
      <c r="AA4" s="337"/>
      <c r="AB4" s="354" t="s">
        <v>36</v>
      </c>
      <c r="AC4" s="355"/>
      <c r="AD4" s="356"/>
      <c r="AE4" s="335" t="s">
        <v>37</v>
      </c>
      <c r="AF4" s="336"/>
      <c r="AG4" s="337"/>
      <c r="AH4" s="335" t="s">
        <v>33</v>
      </c>
      <c r="AI4" s="336"/>
      <c r="AJ4" s="337"/>
      <c r="AK4" s="357" t="s">
        <v>84</v>
      </c>
      <c r="AL4" s="357" t="s">
        <v>85</v>
      </c>
      <c r="AM4" s="357" t="s">
        <v>86</v>
      </c>
      <c r="AN4" s="338" t="s">
        <v>87</v>
      </c>
      <c r="AO4" s="360" t="s">
        <v>91</v>
      </c>
      <c r="AP4" s="361"/>
      <c r="AQ4" s="362"/>
      <c r="AR4" s="363" t="s">
        <v>92</v>
      </c>
      <c r="AS4" s="364"/>
      <c r="AT4" s="359" t="s">
        <v>97</v>
      </c>
      <c r="AU4" s="359" t="s">
        <v>88</v>
      </c>
      <c r="AV4" s="359" t="s">
        <v>80</v>
      </c>
      <c r="AW4" s="359" t="s">
        <v>81</v>
      </c>
      <c r="AX4" s="359" t="s">
        <v>294</v>
      </c>
      <c r="AY4" s="359" t="s">
        <v>82</v>
      </c>
      <c r="AZ4" s="359" t="s">
        <v>83</v>
      </c>
    </row>
    <row r="5" spans="1:52" s="11" customFormat="1" ht="57" customHeight="1">
      <c r="A5" s="327"/>
      <c r="B5" s="328"/>
      <c r="C5" s="331"/>
      <c r="D5" s="327"/>
      <c r="E5" s="327"/>
      <c r="F5" s="200" t="s">
        <v>11</v>
      </c>
      <c r="G5" s="200" t="s">
        <v>12</v>
      </c>
      <c r="H5" s="346"/>
      <c r="I5" s="346"/>
      <c r="J5" s="346"/>
      <c r="K5" s="332"/>
      <c r="L5" s="347"/>
      <c r="M5" s="340"/>
      <c r="N5" s="347"/>
      <c r="O5" s="340"/>
      <c r="P5" s="41" t="s">
        <v>77</v>
      </c>
      <c r="Q5" s="41" t="s">
        <v>78</v>
      </c>
      <c r="R5" s="45" t="s">
        <v>79</v>
      </c>
      <c r="S5" s="41" t="s">
        <v>77</v>
      </c>
      <c r="T5" s="41" t="s">
        <v>78</v>
      </c>
      <c r="U5" s="45" t="s">
        <v>79</v>
      </c>
      <c r="V5" s="41" t="s">
        <v>77</v>
      </c>
      <c r="W5" s="41" t="s">
        <v>78</v>
      </c>
      <c r="X5" s="45" t="s">
        <v>79</v>
      </c>
      <c r="Y5" s="41" t="s">
        <v>77</v>
      </c>
      <c r="Z5" s="41" t="s">
        <v>78</v>
      </c>
      <c r="AA5" s="45" t="s">
        <v>79</v>
      </c>
      <c r="AB5" s="41" t="s">
        <v>77</v>
      </c>
      <c r="AC5" s="41" t="s">
        <v>78</v>
      </c>
      <c r="AD5" s="45" t="s">
        <v>79</v>
      </c>
      <c r="AE5" s="41" t="s">
        <v>77</v>
      </c>
      <c r="AF5" s="41" t="s">
        <v>78</v>
      </c>
      <c r="AG5" s="45" t="s">
        <v>79</v>
      </c>
      <c r="AH5" s="41" t="s">
        <v>77</v>
      </c>
      <c r="AI5" s="41" t="s">
        <v>78</v>
      </c>
      <c r="AJ5" s="45" t="s">
        <v>79</v>
      </c>
      <c r="AK5" s="358"/>
      <c r="AL5" s="358"/>
      <c r="AM5" s="358"/>
      <c r="AN5" s="339"/>
      <c r="AO5" s="187" t="s">
        <v>93</v>
      </c>
      <c r="AP5" s="187" t="s">
        <v>94</v>
      </c>
      <c r="AQ5" s="187" t="s">
        <v>98</v>
      </c>
      <c r="AR5" s="50" t="s">
        <v>95</v>
      </c>
      <c r="AS5" s="50" t="s">
        <v>96</v>
      </c>
      <c r="AT5" s="359"/>
      <c r="AU5" s="359"/>
      <c r="AV5" s="359"/>
      <c r="AW5" s="359"/>
      <c r="AX5" s="359"/>
      <c r="AY5" s="359"/>
      <c r="AZ5" s="359"/>
    </row>
    <row r="6" spans="1:52" s="11" customFormat="1" ht="21" customHeight="1">
      <c r="A6" s="405" t="s">
        <v>48</v>
      </c>
      <c r="B6" s="75" t="s">
        <v>25</v>
      </c>
      <c r="C6" s="76">
        <f>SUM(C7:C8)</f>
        <v>1361</v>
      </c>
      <c r="D6" s="90">
        <f>MIN(D7:D8)</f>
        <v>45672</v>
      </c>
      <c r="E6" s="90">
        <f>MAX(E7:E8)</f>
        <v>45688</v>
      </c>
      <c r="F6" s="76">
        <f>SUM(F7:F8)</f>
        <v>541</v>
      </c>
      <c r="G6" s="76">
        <f t="shared" ref="G6:AJ6" si="0">SUM(G7:G8)</f>
        <v>0</v>
      </c>
      <c r="H6" s="76">
        <f t="shared" si="0"/>
        <v>541</v>
      </c>
      <c r="I6" s="76">
        <f t="shared" si="0"/>
        <v>26</v>
      </c>
      <c r="J6" s="76">
        <f t="shared" si="0"/>
        <v>0</v>
      </c>
      <c r="K6" s="76">
        <f t="shared" si="0"/>
        <v>567</v>
      </c>
      <c r="L6" s="76">
        <f t="shared" si="0"/>
        <v>0</v>
      </c>
      <c r="M6" s="76">
        <f t="shared" si="0"/>
        <v>0</v>
      </c>
      <c r="N6" s="76">
        <f t="shared" si="0"/>
        <v>0</v>
      </c>
      <c r="O6" s="76">
        <f t="shared" si="0"/>
        <v>2</v>
      </c>
      <c r="P6" s="76">
        <f t="shared" si="0"/>
        <v>0</v>
      </c>
      <c r="Q6" s="76">
        <f t="shared" si="0"/>
        <v>0</v>
      </c>
      <c r="R6" s="76">
        <f t="shared" si="0"/>
        <v>0</v>
      </c>
      <c r="S6" s="76">
        <f t="shared" si="0"/>
        <v>0</v>
      </c>
      <c r="T6" s="76">
        <f t="shared" si="0"/>
        <v>0</v>
      </c>
      <c r="U6" s="76">
        <f t="shared" si="0"/>
        <v>0</v>
      </c>
      <c r="V6" s="76">
        <f t="shared" si="0"/>
        <v>63</v>
      </c>
      <c r="W6" s="76">
        <f t="shared" si="0"/>
        <v>98</v>
      </c>
      <c r="X6" s="76">
        <f t="shared" si="0"/>
        <v>0</v>
      </c>
      <c r="Y6" s="76">
        <f t="shared" si="0"/>
        <v>0</v>
      </c>
      <c r="Z6" s="76">
        <f t="shared" si="0"/>
        <v>11</v>
      </c>
      <c r="AA6" s="76">
        <f t="shared" si="0"/>
        <v>0</v>
      </c>
      <c r="AB6" s="76">
        <f t="shared" si="0"/>
        <v>160</v>
      </c>
      <c r="AC6" s="76">
        <f t="shared" si="0"/>
        <v>92</v>
      </c>
      <c r="AD6" s="76">
        <f t="shared" si="0"/>
        <v>5</v>
      </c>
      <c r="AE6" s="76">
        <f t="shared" si="0"/>
        <v>296</v>
      </c>
      <c r="AF6" s="76">
        <f t="shared" si="0"/>
        <v>264</v>
      </c>
      <c r="AG6" s="76">
        <f t="shared" si="0"/>
        <v>1</v>
      </c>
      <c r="AH6" s="76">
        <f t="shared" si="0"/>
        <v>0</v>
      </c>
      <c r="AI6" s="76">
        <f t="shared" si="0"/>
        <v>0</v>
      </c>
      <c r="AJ6" s="76">
        <f t="shared" si="0"/>
        <v>0</v>
      </c>
      <c r="AK6" s="79">
        <f>P6+S6+V6+Y6+AB6+AE6+AH6</f>
        <v>519</v>
      </c>
      <c r="AL6" s="79">
        <f>Q6+T6+W6+Z6+AC6+AF6+AI6</f>
        <v>465</v>
      </c>
      <c r="AM6" s="79">
        <f>AK6+AL6</f>
        <v>984</v>
      </c>
      <c r="AN6" s="79">
        <f>R6+U6+X6+AA6+AD6+AG6+AJ6</f>
        <v>6</v>
      </c>
      <c r="AO6" s="192">
        <f t="shared" ref="AO6" si="1">O6/H6*100</f>
        <v>0.36968576709796674</v>
      </c>
      <c r="AP6" s="192">
        <f t="shared" ref="AP6" si="2">AN6/H6*100</f>
        <v>1.1090573012939002</v>
      </c>
      <c r="AQ6" s="192">
        <f t="shared" ref="AQ6" si="3">AN6/AM6*100</f>
        <v>0.6097560975609756</v>
      </c>
      <c r="AR6" s="53">
        <f t="shared" ref="AR6" si="4">AK6/AM6*100</f>
        <v>52.743902439024396</v>
      </c>
      <c r="AS6" s="53">
        <f t="shared" ref="AS6" si="5">AL6/AM6*100</f>
        <v>47.256097560975604</v>
      </c>
      <c r="AT6" s="88">
        <f>R6/AN6*100</f>
        <v>0</v>
      </c>
      <c r="AU6" s="88">
        <f>U6/AN6*100</f>
        <v>0</v>
      </c>
      <c r="AV6" s="88">
        <f>X6/AN6*100</f>
        <v>0</v>
      </c>
      <c r="AW6" s="88">
        <f>AA6/AN6*100</f>
        <v>0</v>
      </c>
      <c r="AX6" s="88">
        <f>AD6/AN6*100</f>
        <v>83.333333333333343</v>
      </c>
      <c r="AY6" s="88">
        <f>AG6/AN6*100</f>
        <v>16.666666666666664</v>
      </c>
      <c r="AZ6" s="88">
        <f>AJ6/AN6*100</f>
        <v>0</v>
      </c>
    </row>
    <row r="7" spans="1:52" s="40" customFormat="1" ht="20.25" customHeight="1">
      <c r="A7" s="406"/>
      <c r="B7" s="42" t="s">
        <v>126</v>
      </c>
      <c r="C7" s="203">
        <v>554</v>
      </c>
      <c r="D7" s="103">
        <v>45673</v>
      </c>
      <c r="E7" s="103">
        <v>45687</v>
      </c>
      <c r="F7" s="203">
        <v>206</v>
      </c>
      <c r="G7" s="203">
        <v>0</v>
      </c>
      <c r="H7" s="38">
        <f>F7+G7</f>
        <v>206</v>
      </c>
      <c r="I7" s="38">
        <v>10</v>
      </c>
      <c r="J7" s="38">
        <v>0</v>
      </c>
      <c r="K7" s="38">
        <f>H7+I7+J7</f>
        <v>216</v>
      </c>
      <c r="L7" s="38">
        <v>0</v>
      </c>
      <c r="M7" s="140">
        <v>0</v>
      </c>
      <c r="N7" s="140">
        <v>0</v>
      </c>
      <c r="O7" s="140">
        <v>1</v>
      </c>
      <c r="P7" s="140">
        <v>0</v>
      </c>
      <c r="Q7" s="140">
        <v>0</v>
      </c>
      <c r="R7" s="140">
        <v>0</v>
      </c>
      <c r="S7" s="140">
        <v>0</v>
      </c>
      <c r="T7" s="140">
        <v>0</v>
      </c>
      <c r="U7" s="140">
        <v>0</v>
      </c>
      <c r="V7" s="140">
        <v>59</v>
      </c>
      <c r="W7" s="140">
        <v>38</v>
      </c>
      <c r="X7" s="140">
        <v>0</v>
      </c>
      <c r="Y7" s="140">
        <v>0</v>
      </c>
      <c r="Z7" s="140">
        <v>3</v>
      </c>
      <c r="AA7" s="140">
        <v>0</v>
      </c>
      <c r="AB7" s="140">
        <v>111</v>
      </c>
      <c r="AC7" s="140">
        <v>38</v>
      </c>
      <c r="AD7" s="140">
        <v>5</v>
      </c>
      <c r="AE7" s="140">
        <v>105</v>
      </c>
      <c r="AF7" s="140">
        <v>96</v>
      </c>
      <c r="AG7" s="140">
        <v>0</v>
      </c>
      <c r="AH7" s="140">
        <v>0</v>
      </c>
      <c r="AI7" s="140">
        <v>0</v>
      </c>
      <c r="AJ7" s="140">
        <v>0</v>
      </c>
      <c r="AK7" s="120">
        <f>P7+S7+V7+Y7+AB7+AE7+AH7</f>
        <v>275</v>
      </c>
      <c r="AL7" s="120">
        <f>Q7+T7+W7+Z7+AC7+AF7+AI7</f>
        <v>175</v>
      </c>
      <c r="AM7" s="120">
        <f>AK7+AL7</f>
        <v>450</v>
      </c>
      <c r="AN7" s="120">
        <f>R7+U7+X7+AA7+AD7+AG7+AJ7</f>
        <v>5</v>
      </c>
      <c r="AO7" s="193">
        <f t="shared" ref="AO7:AO17" si="6">O7/H7*100</f>
        <v>0.48543689320388345</v>
      </c>
      <c r="AP7" s="193">
        <f t="shared" ref="AP7:AP17" si="7">AN7/H7*100</f>
        <v>2.4271844660194173</v>
      </c>
      <c r="AQ7" s="193">
        <f>AN7/AM7*100</f>
        <v>1.1111111111111112</v>
      </c>
      <c r="AR7" s="121">
        <f>AK7/AM7*100</f>
        <v>61.111111111111114</v>
      </c>
      <c r="AS7" s="121">
        <f>AL7/AM7*100</f>
        <v>38.888888888888893</v>
      </c>
      <c r="AT7" s="119">
        <f t="shared" ref="AT7:AT17" si="8">R7/AN7*100</f>
        <v>0</v>
      </c>
      <c r="AU7" s="119">
        <f t="shared" ref="AU7:AU17" si="9">U7/AN7*100</f>
        <v>0</v>
      </c>
      <c r="AV7" s="119">
        <f t="shared" ref="AV7:AV17" si="10">X7/AN7*100</f>
        <v>0</v>
      </c>
      <c r="AW7" s="119">
        <f t="shared" ref="AW7:AW17" si="11">AA7/AN7*100</f>
        <v>0</v>
      </c>
      <c r="AX7" s="119">
        <f t="shared" ref="AX7:AX17" si="12">AD7/AN7*100</f>
        <v>100</v>
      </c>
      <c r="AY7" s="119">
        <f t="shared" ref="AY7:AY17" si="13">AG7/AN7*100</f>
        <v>0</v>
      </c>
      <c r="AZ7" s="119">
        <f t="shared" ref="AZ7:AZ17" si="14">AJ7/AN7*100</f>
        <v>0</v>
      </c>
    </row>
    <row r="8" spans="1:52" s="40" customFormat="1" ht="20.25" customHeight="1">
      <c r="A8" s="406"/>
      <c r="B8" s="42" t="s">
        <v>127</v>
      </c>
      <c r="C8" s="203">
        <v>807</v>
      </c>
      <c r="D8" s="103">
        <v>45672</v>
      </c>
      <c r="E8" s="103">
        <v>45688</v>
      </c>
      <c r="F8" s="203">
        <v>335</v>
      </c>
      <c r="G8" s="203">
        <v>0</v>
      </c>
      <c r="H8" s="38">
        <f t="shared" ref="H8:H9" si="15">F8+G8</f>
        <v>335</v>
      </c>
      <c r="I8" s="140">
        <v>16</v>
      </c>
      <c r="J8" s="140">
        <v>0</v>
      </c>
      <c r="K8" s="38">
        <f t="shared" ref="K8:K9" si="16">H8+I8+J8</f>
        <v>351</v>
      </c>
      <c r="L8" s="38">
        <v>0</v>
      </c>
      <c r="M8" s="140">
        <v>0</v>
      </c>
      <c r="N8" s="140">
        <v>0</v>
      </c>
      <c r="O8" s="140">
        <v>1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4</v>
      </c>
      <c r="W8" s="140">
        <v>60</v>
      </c>
      <c r="X8" s="140">
        <v>0</v>
      </c>
      <c r="Y8" s="140">
        <v>0</v>
      </c>
      <c r="Z8" s="140">
        <v>8</v>
      </c>
      <c r="AA8" s="140">
        <v>0</v>
      </c>
      <c r="AB8" s="140">
        <v>49</v>
      </c>
      <c r="AC8" s="140">
        <v>54</v>
      </c>
      <c r="AD8" s="140">
        <v>0</v>
      </c>
      <c r="AE8" s="140">
        <v>191</v>
      </c>
      <c r="AF8" s="140">
        <v>168</v>
      </c>
      <c r="AG8" s="140">
        <v>1</v>
      </c>
      <c r="AH8" s="140">
        <v>0</v>
      </c>
      <c r="AI8" s="140">
        <v>0</v>
      </c>
      <c r="AJ8" s="140">
        <v>0</v>
      </c>
      <c r="AK8" s="38">
        <f t="shared" ref="AK8" si="17">P8+S8+V8+Y8+AB8+AE8+AH8</f>
        <v>244</v>
      </c>
      <c r="AL8" s="38">
        <f t="shared" ref="AL8" si="18">Q8+T8+W8+Z8+AC8+AF8+AI8</f>
        <v>290</v>
      </c>
      <c r="AM8" s="38">
        <f t="shared" ref="AM8" si="19">AK8+AL8</f>
        <v>534</v>
      </c>
      <c r="AN8" s="38">
        <f t="shared" ref="AN8" si="20">R8+U8+X8+AA8+AD8+AG8+AJ8</f>
        <v>1</v>
      </c>
      <c r="AO8" s="189">
        <f t="shared" ref="AO8" si="21">O8/H8*100</f>
        <v>0.29850746268656719</v>
      </c>
      <c r="AP8" s="189">
        <f t="shared" ref="AP8" si="22">AN8/H8*100</f>
        <v>0.29850746268656719</v>
      </c>
      <c r="AQ8" s="189">
        <f t="shared" ref="AQ8" si="23">AN8/AM8*100</f>
        <v>0.18726591760299627</v>
      </c>
      <c r="AR8" s="81">
        <f t="shared" ref="AR8" si="24">AK8/AM8*100</f>
        <v>45.692883895131089</v>
      </c>
      <c r="AS8" s="81">
        <f t="shared" ref="AS8" si="25">AL8/AM8*100</f>
        <v>54.307116104868911</v>
      </c>
      <c r="AT8" s="108">
        <f t="shared" si="8"/>
        <v>0</v>
      </c>
      <c r="AU8" s="108">
        <f t="shared" si="9"/>
        <v>0</v>
      </c>
      <c r="AV8" s="108">
        <f t="shared" si="10"/>
        <v>0</v>
      </c>
      <c r="AW8" s="108">
        <f t="shared" si="11"/>
        <v>0</v>
      </c>
      <c r="AX8" s="108">
        <f t="shared" si="12"/>
        <v>0</v>
      </c>
      <c r="AY8" s="108">
        <f t="shared" si="13"/>
        <v>100</v>
      </c>
      <c r="AZ8" s="108">
        <f t="shared" si="14"/>
        <v>0</v>
      </c>
    </row>
    <row r="9" spans="1:52" s="63" customFormat="1" ht="20.25" customHeight="1">
      <c r="A9" s="407"/>
      <c r="B9" s="42" t="s">
        <v>128</v>
      </c>
      <c r="C9" s="203">
        <v>81</v>
      </c>
      <c r="D9" s="103">
        <v>45686</v>
      </c>
      <c r="E9" s="103">
        <v>45687</v>
      </c>
      <c r="F9" s="203">
        <v>52</v>
      </c>
      <c r="G9" s="203">
        <v>0</v>
      </c>
      <c r="H9" s="38">
        <f t="shared" si="15"/>
        <v>52</v>
      </c>
      <c r="I9" s="140">
        <v>0</v>
      </c>
      <c r="J9" s="140">
        <v>0</v>
      </c>
      <c r="K9" s="38">
        <f t="shared" si="16"/>
        <v>52</v>
      </c>
      <c r="L9" s="38">
        <v>0</v>
      </c>
      <c r="M9" s="140">
        <v>0</v>
      </c>
      <c r="N9" s="140">
        <v>0</v>
      </c>
      <c r="O9" s="140">
        <v>1</v>
      </c>
      <c r="P9" s="140">
        <v>0</v>
      </c>
      <c r="Q9" s="140">
        <v>0</v>
      </c>
      <c r="R9" s="140">
        <v>0</v>
      </c>
      <c r="S9" s="140">
        <v>0</v>
      </c>
      <c r="T9" s="140">
        <v>0</v>
      </c>
      <c r="U9" s="140">
        <v>0</v>
      </c>
      <c r="V9" s="140">
        <v>0</v>
      </c>
      <c r="W9" s="140">
        <v>26</v>
      </c>
      <c r="X9" s="140">
        <v>1</v>
      </c>
      <c r="Y9" s="140">
        <v>0</v>
      </c>
      <c r="Z9" s="140">
        <v>0</v>
      </c>
      <c r="AA9" s="140">
        <v>0</v>
      </c>
      <c r="AB9" s="140">
        <v>0</v>
      </c>
      <c r="AC9" s="140">
        <v>0</v>
      </c>
      <c r="AD9" s="140">
        <v>0</v>
      </c>
      <c r="AE9" s="140">
        <v>30</v>
      </c>
      <c r="AF9" s="140">
        <v>26</v>
      </c>
      <c r="AG9" s="140">
        <v>0</v>
      </c>
      <c r="AH9" s="140">
        <v>0</v>
      </c>
      <c r="AI9" s="140">
        <v>0</v>
      </c>
      <c r="AJ9" s="140">
        <v>0</v>
      </c>
      <c r="AK9" s="38">
        <f t="shared" ref="AK9:AL17" si="26">P9+S9+V9+Y9+AB9+AE9+AH9</f>
        <v>30</v>
      </c>
      <c r="AL9" s="38">
        <f t="shared" si="26"/>
        <v>52</v>
      </c>
      <c r="AM9" s="38">
        <f t="shared" ref="AM9:AM12" si="27">AK9+AL9</f>
        <v>82</v>
      </c>
      <c r="AN9" s="38">
        <f t="shared" ref="AN9:AN12" si="28">R9+U9+X9+AA9+AD9+AG9+AJ9</f>
        <v>1</v>
      </c>
      <c r="AO9" s="189">
        <f t="shared" si="6"/>
        <v>1.9230769230769231</v>
      </c>
      <c r="AP9" s="189">
        <f t="shared" si="7"/>
        <v>1.9230769230769231</v>
      </c>
      <c r="AQ9" s="189">
        <f t="shared" ref="AQ9:AQ17" si="29">AN9/AM9*100</f>
        <v>1.2195121951219512</v>
      </c>
      <c r="AR9" s="81">
        <f t="shared" ref="AR9:AR10" si="30">AK9/AM9*100</f>
        <v>36.585365853658537</v>
      </c>
      <c r="AS9" s="81">
        <f t="shared" ref="AS9:AS17" si="31">AL9/AM9*100</f>
        <v>63.414634146341463</v>
      </c>
      <c r="AT9" s="81">
        <f t="shared" si="8"/>
        <v>0</v>
      </c>
      <c r="AU9" s="81">
        <f t="shared" si="9"/>
        <v>0</v>
      </c>
      <c r="AV9" s="81">
        <f t="shared" si="10"/>
        <v>100</v>
      </c>
      <c r="AW9" s="81">
        <f t="shared" si="11"/>
        <v>0</v>
      </c>
      <c r="AX9" s="81">
        <f t="shared" si="12"/>
        <v>0</v>
      </c>
      <c r="AY9" s="81">
        <f t="shared" si="13"/>
        <v>0</v>
      </c>
      <c r="AZ9" s="81">
        <f t="shared" si="14"/>
        <v>0</v>
      </c>
    </row>
    <row r="10" spans="1:52" s="40" customFormat="1" ht="20.25" customHeight="1">
      <c r="A10" s="83" t="s">
        <v>62</v>
      </c>
      <c r="B10" s="83">
        <f>COUNTA(B7:B9)</f>
        <v>3</v>
      </c>
      <c r="C10" s="83">
        <f>C6+C9</f>
        <v>1442</v>
      </c>
      <c r="D10" s="84">
        <f>MIN(D4:D9)</f>
        <v>45672</v>
      </c>
      <c r="E10" s="84">
        <f>MAX(E4:E9)</f>
        <v>45688</v>
      </c>
      <c r="F10" s="83">
        <f>F6+F9</f>
        <v>593</v>
      </c>
      <c r="G10" s="83">
        <f t="shared" ref="G10:AJ10" si="32">G6+G9</f>
        <v>0</v>
      </c>
      <c r="H10" s="83">
        <f t="shared" si="32"/>
        <v>593</v>
      </c>
      <c r="I10" s="83">
        <f t="shared" si="32"/>
        <v>26</v>
      </c>
      <c r="J10" s="83">
        <f t="shared" si="32"/>
        <v>0</v>
      </c>
      <c r="K10" s="83">
        <f t="shared" si="32"/>
        <v>619</v>
      </c>
      <c r="L10" s="83">
        <f t="shared" si="32"/>
        <v>0</v>
      </c>
      <c r="M10" s="83">
        <f t="shared" si="32"/>
        <v>0</v>
      </c>
      <c r="N10" s="83">
        <f t="shared" si="32"/>
        <v>0</v>
      </c>
      <c r="O10" s="83">
        <f t="shared" si="32"/>
        <v>3</v>
      </c>
      <c r="P10" s="83">
        <f t="shared" si="32"/>
        <v>0</v>
      </c>
      <c r="Q10" s="83">
        <f t="shared" si="32"/>
        <v>0</v>
      </c>
      <c r="R10" s="83">
        <f t="shared" si="32"/>
        <v>0</v>
      </c>
      <c r="S10" s="83">
        <f t="shared" si="32"/>
        <v>0</v>
      </c>
      <c r="T10" s="83">
        <f t="shared" si="32"/>
        <v>0</v>
      </c>
      <c r="U10" s="83">
        <f t="shared" si="32"/>
        <v>0</v>
      </c>
      <c r="V10" s="83">
        <f t="shared" si="32"/>
        <v>63</v>
      </c>
      <c r="W10" s="83">
        <f t="shared" si="32"/>
        <v>124</v>
      </c>
      <c r="X10" s="83">
        <f t="shared" si="32"/>
        <v>1</v>
      </c>
      <c r="Y10" s="83">
        <f t="shared" si="32"/>
        <v>0</v>
      </c>
      <c r="Z10" s="83">
        <f t="shared" si="32"/>
        <v>11</v>
      </c>
      <c r="AA10" s="83">
        <f t="shared" si="32"/>
        <v>0</v>
      </c>
      <c r="AB10" s="83">
        <f t="shared" si="32"/>
        <v>160</v>
      </c>
      <c r="AC10" s="83">
        <f t="shared" si="32"/>
        <v>92</v>
      </c>
      <c r="AD10" s="83">
        <f t="shared" si="32"/>
        <v>5</v>
      </c>
      <c r="AE10" s="83">
        <f t="shared" si="32"/>
        <v>326</v>
      </c>
      <c r="AF10" s="83">
        <f t="shared" si="32"/>
        <v>290</v>
      </c>
      <c r="AG10" s="83">
        <f t="shared" si="32"/>
        <v>1</v>
      </c>
      <c r="AH10" s="83">
        <f t="shared" si="32"/>
        <v>0</v>
      </c>
      <c r="AI10" s="83">
        <f t="shared" si="32"/>
        <v>0</v>
      </c>
      <c r="AJ10" s="83">
        <f t="shared" si="32"/>
        <v>0</v>
      </c>
      <c r="AK10" s="83">
        <f t="shared" si="26"/>
        <v>549</v>
      </c>
      <c r="AL10" s="83">
        <f t="shared" si="26"/>
        <v>517</v>
      </c>
      <c r="AM10" s="83">
        <f t="shared" ref="AM10" si="33">AK10+AL10</f>
        <v>1066</v>
      </c>
      <c r="AN10" s="83">
        <f>R10+U10+X10+AA10+AD10+AG10+AJ10</f>
        <v>7</v>
      </c>
      <c r="AO10" s="190">
        <f t="shared" si="6"/>
        <v>0.50590219224283306</v>
      </c>
      <c r="AP10" s="190">
        <f t="shared" si="7"/>
        <v>1.1804384485666104</v>
      </c>
      <c r="AQ10" s="190">
        <f t="shared" si="29"/>
        <v>0.65666041275797382</v>
      </c>
      <c r="AR10" s="85">
        <f t="shared" si="30"/>
        <v>51.50093808630394</v>
      </c>
      <c r="AS10" s="85">
        <f t="shared" si="31"/>
        <v>48.49906191369606</v>
      </c>
      <c r="AT10" s="85">
        <f t="shared" si="8"/>
        <v>0</v>
      </c>
      <c r="AU10" s="85">
        <f t="shared" si="9"/>
        <v>0</v>
      </c>
      <c r="AV10" s="85">
        <f t="shared" si="10"/>
        <v>14.285714285714285</v>
      </c>
      <c r="AW10" s="85">
        <f t="shared" si="11"/>
        <v>0</v>
      </c>
      <c r="AX10" s="85">
        <f t="shared" si="12"/>
        <v>71.428571428571431</v>
      </c>
      <c r="AY10" s="85">
        <f t="shared" si="13"/>
        <v>14.285714285714285</v>
      </c>
      <c r="AZ10" s="85">
        <f t="shared" si="14"/>
        <v>0</v>
      </c>
    </row>
    <row r="11" spans="1:52" s="40" customFormat="1" ht="20.25" customHeight="1">
      <c r="A11" s="409" t="s">
        <v>48</v>
      </c>
      <c r="B11" s="77" t="s">
        <v>25</v>
      </c>
      <c r="C11" s="77">
        <f>SUM(C12:C13)</f>
        <v>1239</v>
      </c>
      <c r="D11" s="91">
        <f>MIN(D12:D13)</f>
        <v>45691</v>
      </c>
      <c r="E11" s="91">
        <f>MAX(E12:E13)</f>
        <v>45714</v>
      </c>
      <c r="F11" s="77">
        <f>SUM(F12:F13)</f>
        <v>538</v>
      </c>
      <c r="G11" s="77">
        <f t="shared" ref="G11:AJ11" si="34">SUM(G12:G13)</f>
        <v>0</v>
      </c>
      <c r="H11" s="77">
        <f t="shared" si="34"/>
        <v>538</v>
      </c>
      <c r="I11" s="77">
        <f t="shared" si="34"/>
        <v>29</v>
      </c>
      <c r="J11" s="77">
        <f t="shared" si="34"/>
        <v>0</v>
      </c>
      <c r="K11" s="77">
        <f t="shared" si="34"/>
        <v>567</v>
      </c>
      <c r="L11" s="77">
        <f t="shared" si="34"/>
        <v>0</v>
      </c>
      <c r="M11" s="77">
        <f t="shared" si="34"/>
        <v>0</v>
      </c>
      <c r="N11" s="77">
        <f t="shared" si="34"/>
        <v>538</v>
      </c>
      <c r="O11" s="77">
        <f t="shared" si="34"/>
        <v>6</v>
      </c>
      <c r="P11" s="77">
        <f t="shared" si="34"/>
        <v>0</v>
      </c>
      <c r="Q11" s="77">
        <f t="shared" si="34"/>
        <v>1</v>
      </c>
      <c r="R11" s="77">
        <f t="shared" si="34"/>
        <v>0</v>
      </c>
      <c r="S11" s="77">
        <f t="shared" si="34"/>
        <v>0</v>
      </c>
      <c r="T11" s="77">
        <f t="shared" si="34"/>
        <v>0</v>
      </c>
      <c r="U11" s="77">
        <f t="shared" si="34"/>
        <v>0</v>
      </c>
      <c r="V11" s="77">
        <f t="shared" si="34"/>
        <v>12</v>
      </c>
      <c r="W11" s="77">
        <f t="shared" si="34"/>
        <v>125</v>
      </c>
      <c r="X11" s="77">
        <f t="shared" si="34"/>
        <v>2</v>
      </c>
      <c r="Y11" s="77">
        <f t="shared" si="34"/>
        <v>2</v>
      </c>
      <c r="Z11" s="77">
        <f t="shared" si="34"/>
        <v>4</v>
      </c>
      <c r="AA11" s="77">
        <f t="shared" si="34"/>
        <v>0</v>
      </c>
      <c r="AB11" s="77">
        <f t="shared" si="34"/>
        <v>11</v>
      </c>
      <c r="AC11" s="77">
        <f t="shared" si="34"/>
        <v>57</v>
      </c>
      <c r="AD11" s="77">
        <f t="shared" si="34"/>
        <v>2</v>
      </c>
      <c r="AE11" s="77">
        <f t="shared" si="34"/>
        <v>291</v>
      </c>
      <c r="AF11" s="77">
        <f t="shared" si="34"/>
        <v>313</v>
      </c>
      <c r="AG11" s="77">
        <f t="shared" si="34"/>
        <v>2</v>
      </c>
      <c r="AH11" s="77">
        <f t="shared" si="34"/>
        <v>0</v>
      </c>
      <c r="AI11" s="77">
        <f t="shared" si="34"/>
        <v>0</v>
      </c>
      <c r="AJ11" s="77">
        <f t="shared" si="34"/>
        <v>0</v>
      </c>
      <c r="AK11" s="77">
        <f t="shared" ref="AK11" si="35">P11+S11+V11+Y11+AB11+AE11+AH11</f>
        <v>316</v>
      </c>
      <c r="AL11" s="77">
        <f t="shared" ref="AL11" si="36">Q11+T11+W11+Z11+AC11+AF11+AI11</f>
        <v>500</v>
      </c>
      <c r="AM11" s="77">
        <f t="shared" ref="AM11" si="37">AK11+AL11</f>
        <v>816</v>
      </c>
      <c r="AN11" s="77">
        <f>R11+U11+X11+AA11+AD11+AG11+AJ11</f>
        <v>6</v>
      </c>
      <c r="AO11" s="188">
        <f t="shared" ref="AO11" si="38">O11/H11*100</f>
        <v>1.1152416356877324</v>
      </c>
      <c r="AP11" s="188">
        <f t="shared" ref="AP11" si="39">AN11/H11*100</f>
        <v>1.1152416356877324</v>
      </c>
      <c r="AQ11" s="188">
        <f t="shared" ref="AQ11" si="40">AN11/AM11*100</f>
        <v>0.73529411764705876</v>
      </c>
      <c r="AR11" s="88">
        <f t="shared" ref="AR11" si="41">AK11/AM11*100</f>
        <v>38.725490196078432</v>
      </c>
      <c r="AS11" s="88">
        <f t="shared" ref="AS11" si="42">AL11/AM11*100</f>
        <v>61.274509803921575</v>
      </c>
      <c r="AT11" s="88">
        <f t="shared" ref="AT11" si="43">R11/AN11*100</f>
        <v>0</v>
      </c>
      <c r="AU11" s="88">
        <f t="shared" ref="AU11" si="44">U11/AN11*100</f>
        <v>0</v>
      </c>
      <c r="AV11" s="88">
        <f t="shared" ref="AV11" si="45">X11/AN11*100</f>
        <v>33.333333333333329</v>
      </c>
      <c r="AW11" s="88">
        <f t="shared" ref="AW11" si="46">AA11/AN11*100</f>
        <v>0</v>
      </c>
      <c r="AX11" s="88">
        <f t="shared" ref="AX11" si="47">AD11/AN11*100</f>
        <v>33.333333333333329</v>
      </c>
      <c r="AY11" s="88">
        <f t="shared" ref="AY11" si="48">AG11/AN11*100</f>
        <v>33.333333333333329</v>
      </c>
      <c r="AZ11" s="88">
        <f t="shared" ref="AZ11" si="49">AJ11/AN11*100</f>
        <v>0</v>
      </c>
    </row>
    <row r="12" spans="1:52" s="111" customFormat="1" ht="20.25" customHeight="1">
      <c r="A12" s="413"/>
      <c r="B12" s="142" t="s">
        <v>126</v>
      </c>
      <c r="C12" s="109">
        <v>428</v>
      </c>
      <c r="D12" s="176">
        <v>45691</v>
      </c>
      <c r="E12" s="176">
        <v>45698</v>
      </c>
      <c r="F12" s="109">
        <v>202</v>
      </c>
      <c r="G12" s="109">
        <v>0</v>
      </c>
      <c r="H12" s="38">
        <f t="shared" ref="H12:H13" si="50">F12+G12</f>
        <v>202</v>
      </c>
      <c r="I12" s="109">
        <v>14</v>
      </c>
      <c r="J12" s="109">
        <v>0</v>
      </c>
      <c r="K12" s="38">
        <f t="shared" ref="K12:K13" si="51">H12+I12+J12</f>
        <v>216</v>
      </c>
      <c r="L12" s="109">
        <v>0</v>
      </c>
      <c r="M12" s="109">
        <v>0</v>
      </c>
      <c r="N12" s="109">
        <v>202</v>
      </c>
      <c r="O12" s="109">
        <v>3</v>
      </c>
      <c r="P12" s="109">
        <v>0</v>
      </c>
      <c r="Q12" s="109">
        <v>0</v>
      </c>
      <c r="R12" s="109">
        <v>0</v>
      </c>
      <c r="S12" s="109">
        <v>0</v>
      </c>
      <c r="T12" s="109">
        <v>0</v>
      </c>
      <c r="U12" s="109">
        <v>0</v>
      </c>
      <c r="V12" s="109">
        <v>12</v>
      </c>
      <c r="W12" s="109">
        <v>37</v>
      </c>
      <c r="X12" s="109">
        <v>1</v>
      </c>
      <c r="Y12" s="109">
        <v>2</v>
      </c>
      <c r="Z12" s="109">
        <v>3</v>
      </c>
      <c r="AA12" s="109">
        <v>0</v>
      </c>
      <c r="AB12" s="109">
        <v>3</v>
      </c>
      <c r="AC12" s="109">
        <v>25</v>
      </c>
      <c r="AD12" s="109">
        <v>2</v>
      </c>
      <c r="AE12" s="109">
        <v>98</v>
      </c>
      <c r="AF12" s="109">
        <v>125</v>
      </c>
      <c r="AG12" s="109">
        <v>0</v>
      </c>
      <c r="AH12" s="109">
        <v>0</v>
      </c>
      <c r="AI12" s="109">
        <v>0</v>
      </c>
      <c r="AJ12" s="109">
        <v>0</v>
      </c>
      <c r="AK12" s="109">
        <f t="shared" si="26"/>
        <v>115</v>
      </c>
      <c r="AL12" s="109">
        <f t="shared" si="26"/>
        <v>190</v>
      </c>
      <c r="AM12" s="109">
        <f t="shared" si="27"/>
        <v>305</v>
      </c>
      <c r="AN12" s="109">
        <f t="shared" si="28"/>
        <v>3</v>
      </c>
      <c r="AO12" s="194">
        <f t="shared" si="6"/>
        <v>1.4851485148514851</v>
      </c>
      <c r="AP12" s="194">
        <f t="shared" si="7"/>
        <v>1.4851485148514851</v>
      </c>
      <c r="AQ12" s="194">
        <f t="shared" si="29"/>
        <v>0.98360655737704927</v>
      </c>
      <c r="AR12" s="110">
        <f>AK12/AM12*100</f>
        <v>37.704918032786885</v>
      </c>
      <c r="AS12" s="110">
        <f t="shared" si="31"/>
        <v>62.295081967213115</v>
      </c>
      <c r="AT12" s="110">
        <f t="shared" si="8"/>
        <v>0</v>
      </c>
      <c r="AU12" s="110">
        <f t="shared" si="9"/>
        <v>0</v>
      </c>
      <c r="AV12" s="110">
        <f t="shared" si="10"/>
        <v>33.333333333333329</v>
      </c>
      <c r="AW12" s="110">
        <f t="shared" si="11"/>
        <v>0</v>
      </c>
      <c r="AX12" s="110">
        <f t="shared" si="12"/>
        <v>66.666666666666657</v>
      </c>
      <c r="AY12" s="110">
        <f t="shared" si="13"/>
        <v>0</v>
      </c>
      <c r="AZ12" s="110">
        <f t="shared" si="14"/>
        <v>0</v>
      </c>
    </row>
    <row r="13" spans="1:52" s="111" customFormat="1" ht="20.25" customHeight="1">
      <c r="A13" s="410"/>
      <c r="B13" s="142" t="s">
        <v>127</v>
      </c>
      <c r="C13" s="109">
        <v>811</v>
      </c>
      <c r="D13" s="176">
        <v>45698</v>
      </c>
      <c r="E13" s="176">
        <v>45714</v>
      </c>
      <c r="F13" s="109">
        <v>336</v>
      </c>
      <c r="G13" s="109">
        <v>0</v>
      </c>
      <c r="H13" s="38">
        <f t="shared" si="50"/>
        <v>336</v>
      </c>
      <c r="I13" s="109">
        <v>15</v>
      </c>
      <c r="J13" s="109">
        <v>0</v>
      </c>
      <c r="K13" s="38">
        <f t="shared" si="51"/>
        <v>351</v>
      </c>
      <c r="L13" s="109">
        <v>0</v>
      </c>
      <c r="M13" s="109">
        <v>0</v>
      </c>
      <c r="N13" s="109">
        <v>336</v>
      </c>
      <c r="O13" s="109">
        <v>3</v>
      </c>
      <c r="P13" s="109">
        <v>0</v>
      </c>
      <c r="Q13" s="109">
        <v>1</v>
      </c>
      <c r="R13" s="109">
        <v>0</v>
      </c>
      <c r="S13" s="109">
        <v>0</v>
      </c>
      <c r="T13" s="109">
        <v>0</v>
      </c>
      <c r="U13" s="109">
        <v>0</v>
      </c>
      <c r="V13" s="109">
        <v>0</v>
      </c>
      <c r="W13" s="109">
        <v>88</v>
      </c>
      <c r="X13" s="109">
        <v>1</v>
      </c>
      <c r="Y13" s="109">
        <v>0</v>
      </c>
      <c r="Z13" s="109">
        <v>1</v>
      </c>
      <c r="AA13" s="109">
        <v>0</v>
      </c>
      <c r="AB13" s="109">
        <v>8</v>
      </c>
      <c r="AC13" s="109">
        <v>32</v>
      </c>
      <c r="AD13" s="109">
        <v>0</v>
      </c>
      <c r="AE13" s="109">
        <v>193</v>
      </c>
      <c r="AF13" s="109">
        <v>188</v>
      </c>
      <c r="AG13" s="109">
        <v>2</v>
      </c>
      <c r="AH13" s="109">
        <v>0</v>
      </c>
      <c r="AI13" s="109">
        <v>0</v>
      </c>
      <c r="AJ13" s="109">
        <v>0</v>
      </c>
      <c r="AK13" s="109">
        <f t="shared" ref="AK13" si="52">P13+S13+V13+Y13+AB13+AE13+AH13</f>
        <v>201</v>
      </c>
      <c r="AL13" s="109">
        <f t="shared" ref="AL13" si="53">Q13+T13+W13+Z13+AC13+AF13+AI13</f>
        <v>310</v>
      </c>
      <c r="AM13" s="109">
        <f t="shared" ref="AM13" si="54">AK13+AL13</f>
        <v>511</v>
      </c>
      <c r="AN13" s="109">
        <f t="shared" ref="AN13" si="55">R13+U13+X13+AA13+AD13+AG13+AJ13</f>
        <v>3</v>
      </c>
      <c r="AO13" s="194">
        <f t="shared" ref="AO13" si="56">O13/H13*100</f>
        <v>0.89285714285714279</v>
      </c>
      <c r="AP13" s="194">
        <f t="shared" ref="AP13" si="57">AN13/H13*100</f>
        <v>0.89285714285714279</v>
      </c>
      <c r="AQ13" s="194">
        <f t="shared" ref="AQ13" si="58">AN13/AM13*100</f>
        <v>0.58708414872798431</v>
      </c>
      <c r="AR13" s="110">
        <f>AK13/AM13*100</f>
        <v>39.334637964774949</v>
      </c>
      <c r="AS13" s="110">
        <f t="shared" ref="AS13" si="59">AL13/AM13*100</f>
        <v>60.665362035225044</v>
      </c>
      <c r="AT13" s="110">
        <f t="shared" ref="AT13" si="60">R13/AN13*100</f>
        <v>0</v>
      </c>
      <c r="AU13" s="110">
        <f t="shared" ref="AU13" si="61">U13/AN13*100</f>
        <v>0</v>
      </c>
      <c r="AV13" s="110">
        <f t="shared" ref="AV13" si="62">X13/AN13*100</f>
        <v>33.333333333333329</v>
      </c>
      <c r="AW13" s="110">
        <f t="shared" ref="AW13" si="63">AA13/AN13*100</f>
        <v>0</v>
      </c>
      <c r="AX13" s="110">
        <f t="shared" ref="AX13" si="64">AD13/AN13*100</f>
        <v>0</v>
      </c>
      <c r="AY13" s="110">
        <f t="shared" ref="AY13" si="65">AG13/AN13*100</f>
        <v>66.666666666666657</v>
      </c>
      <c r="AZ13" s="110">
        <f t="shared" ref="AZ13" si="66">AJ13/AN13*100</f>
        <v>0</v>
      </c>
    </row>
    <row r="14" spans="1:52" s="40" customFormat="1" ht="20.25" customHeight="1">
      <c r="A14" s="83" t="s">
        <v>99</v>
      </c>
      <c r="B14" s="83">
        <v>2</v>
      </c>
      <c r="C14" s="83">
        <f>C11</f>
        <v>1239</v>
      </c>
      <c r="D14" s="86">
        <f>D11</f>
        <v>45691</v>
      </c>
      <c r="E14" s="86">
        <f t="shared" ref="E14:AJ14" si="67">E11</f>
        <v>45714</v>
      </c>
      <c r="F14" s="83">
        <f>F11</f>
        <v>538</v>
      </c>
      <c r="G14" s="83">
        <f>G11</f>
        <v>0</v>
      </c>
      <c r="H14" s="83">
        <f>H11</f>
        <v>538</v>
      </c>
      <c r="I14" s="83">
        <f>I11</f>
        <v>29</v>
      </c>
      <c r="J14" s="83">
        <f t="shared" si="67"/>
        <v>0</v>
      </c>
      <c r="K14" s="83">
        <f t="shared" si="67"/>
        <v>567</v>
      </c>
      <c r="L14" s="83">
        <f t="shared" si="67"/>
        <v>0</v>
      </c>
      <c r="M14" s="83">
        <f t="shared" si="67"/>
        <v>0</v>
      </c>
      <c r="N14" s="83">
        <f t="shared" si="67"/>
        <v>538</v>
      </c>
      <c r="O14" s="83">
        <f t="shared" si="67"/>
        <v>6</v>
      </c>
      <c r="P14" s="83">
        <f t="shared" si="67"/>
        <v>0</v>
      </c>
      <c r="Q14" s="83">
        <f>Q11</f>
        <v>1</v>
      </c>
      <c r="R14" s="83">
        <f t="shared" si="67"/>
        <v>0</v>
      </c>
      <c r="S14" s="83">
        <f t="shared" si="67"/>
        <v>0</v>
      </c>
      <c r="T14" s="83">
        <f t="shared" si="67"/>
        <v>0</v>
      </c>
      <c r="U14" s="83">
        <f t="shared" si="67"/>
        <v>0</v>
      </c>
      <c r="V14" s="83">
        <f t="shared" si="67"/>
        <v>12</v>
      </c>
      <c r="W14" s="83">
        <f t="shared" si="67"/>
        <v>125</v>
      </c>
      <c r="X14" s="83">
        <f t="shared" si="67"/>
        <v>2</v>
      </c>
      <c r="Y14" s="83">
        <f t="shared" si="67"/>
        <v>2</v>
      </c>
      <c r="Z14" s="83">
        <f t="shared" si="67"/>
        <v>4</v>
      </c>
      <c r="AA14" s="83">
        <f t="shared" si="67"/>
        <v>0</v>
      </c>
      <c r="AB14" s="83">
        <f t="shared" si="67"/>
        <v>11</v>
      </c>
      <c r="AC14" s="83">
        <f t="shared" si="67"/>
        <v>57</v>
      </c>
      <c r="AD14" s="83">
        <f t="shared" si="67"/>
        <v>2</v>
      </c>
      <c r="AE14" s="83">
        <f t="shared" si="67"/>
        <v>291</v>
      </c>
      <c r="AF14" s="83">
        <f t="shared" si="67"/>
        <v>313</v>
      </c>
      <c r="AG14" s="83">
        <f t="shared" si="67"/>
        <v>2</v>
      </c>
      <c r="AH14" s="83">
        <f t="shared" si="67"/>
        <v>0</v>
      </c>
      <c r="AI14" s="83">
        <f t="shared" si="67"/>
        <v>0</v>
      </c>
      <c r="AJ14" s="83">
        <f t="shared" si="67"/>
        <v>0</v>
      </c>
      <c r="AK14" s="83">
        <f>P14+S14+V14+Y14+AB14+AE14+AH14</f>
        <v>316</v>
      </c>
      <c r="AL14" s="83">
        <f t="shared" si="26"/>
        <v>500</v>
      </c>
      <c r="AM14" s="83">
        <f>AK14+AL14</f>
        <v>816</v>
      </c>
      <c r="AN14" s="83">
        <f>R14+U14+X14+AA14+AD14+AG14+AJ14</f>
        <v>6</v>
      </c>
      <c r="AO14" s="190">
        <f t="shared" si="6"/>
        <v>1.1152416356877324</v>
      </c>
      <c r="AP14" s="190">
        <f t="shared" si="7"/>
        <v>1.1152416356877324</v>
      </c>
      <c r="AQ14" s="190">
        <f t="shared" si="29"/>
        <v>0.73529411764705876</v>
      </c>
      <c r="AR14" s="85">
        <f t="shared" ref="AR14:AR15" si="68">AK14/AM14*100</f>
        <v>38.725490196078432</v>
      </c>
      <c r="AS14" s="85">
        <f t="shared" si="31"/>
        <v>61.274509803921575</v>
      </c>
      <c r="AT14" s="85">
        <f t="shared" si="8"/>
        <v>0</v>
      </c>
      <c r="AU14" s="85">
        <f t="shared" si="9"/>
        <v>0</v>
      </c>
      <c r="AV14" s="85">
        <f t="shared" si="10"/>
        <v>33.333333333333329</v>
      </c>
      <c r="AW14" s="85">
        <f t="shared" si="11"/>
        <v>0</v>
      </c>
      <c r="AX14" s="85">
        <f t="shared" si="12"/>
        <v>33.333333333333329</v>
      </c>
      <c r="AY14" s="85">
        <f t="shared" si="13"/>
        <v>33.333333333333329</v>
      </c>
      <c r="AZ14" s="85">
        <f t="shared" si="14"/>
        <v>0</v>
      </c>
    </row>
    <row r="15" spans="1:52" s="40" customFormat="1" ht="20.25" customHeight="1">
      <c r="A15" s="411" t="s">
        <v>48</v>
      </c>
      <c r="B15" s="77" t="s">
        <v>25</v>
      </c>
      <c r="C15" s="77">
        <f>SUM(C16:C17)</f>
        <v>1426</v>
      </c>
      <c r="D15" s="91">
        <f>MIN(D16:D17)</f>
        <v>45722</v>
      </c>
      <c r="E15" s="91">
        <f>MAX(E16:E17)</f>
        <v>45744</v>
      </c>
      <c r="F15" s="77">
        <f>SUM(F16:F17)</f>
        <v>542</v>
      </c>
      <c r="G15" s="77">
        <f t="shared" ref="G15:AJ15" si="69">SUM(G16:G17)</f>
        <v>0</v>
      </c>
      <c r="H15" s="77">
        <f t="shared" si="69"/>
        <v>542</v>
      </c>
      <c r="I15" s="77">
        <f t="shared" si="69"/>
        <v>25</v>
      </c>
      <c r="J15" s="77">
        <f t="shared" si="69"/>
        <v>0</v>
      </c>
      <c r="K15" s="77">
        <f t="shared" si="69"/>
        <v>567</v>
      </c>
      <c r="L15" s="77">
        <f t="shared" si="69"/>
        <v>0</v>
      </c>
      <c r="M15" s="77">
        <f t="shared" si="69"/>
        <v>0</v>
      </c>
      <c r="N15" s="77">
        <f t="shared" si="69"/>
        <v>542</v>
      </c>
      <c r="O15" s="77">
        <f t="shared" si="69"/>
        <v>9</v>
      </c>
      <c r="P15" s="77">
        <f t="shared" si="69"/>
        <v>0</v>
      </c>
      <c r="Q15" s="77">
        <f>SUM(Q16:Q17)</f>
        <v>0</v>
      </c>
      <c r="R15" s="77">
        <f t="shared" si="69"/>
        <v>0</v>
      </c>
      <c r="S15" s="77">
        <f t="shared" si="69"/>
        <v>0</v>
      </c>
      <c r="T15" s="77">
        <f t="shared" si="69"/>
        <v>0</v>
      </c>
      <c r="U15" s="77">
        <f t="shared" si="69"/>
        <v>0</v>
      </c>
      <c r="V15" s="77">
        <f t="shared" si="69"/>
        <v>249</v>
      </c>
      <c r="W15" s="77">
        <f t="shared" si="69"/>
        <v>175</v>
      </c>
      <c r="X15" s="77">
        <f>SUM(X16:X17)</f>
        <v>1</v>
      </c>
      <c r="Y15" s="77">
        <f t="shared" si="69"/>
        <v>0</v>
      </c>
      <c r="Z15" s="77">
        <f t="shared" si="69"/>
        <v>2</v>
      </c>
      <c r="AA15" s="77">
        <f t="shared" si="69"/>
        <v>0</v>
      </c>
      <c r="AB15" s="77">
        <f t="shared" si="69"/>
        <v>285</v>
      </c>
      <c r="AC15" s="77">
        <f t="shared" si="69"/>
        <v>80</v>
      </c>
      <c r="AD15" s="77">
        <f t="shared" si="69"/>
        <v>2</v>
      </c>
      <c r="AE15" s="77">
        <f t="shared" si="69"/>
        <v>339</v>
      </c>
      <c r="AF15" s="77">
        <f t="shared" si="69"/>
        <v>443</v>
      </c>
      <c r="AG15" s="77">
        <f t="shared" si="69"/>
        <v>6</v>
      </c>
      <c r="AH15" s="77">
        <f t="shared" si="69"/>
        <v>0</v>
      </c>
      <c r="AI15" s="77">
        <f t="shared" si="69"/>
        <v>0</v>
      </c>
      <c r="AJ15" s="77">
        <f t="shared" si="69"/>
        <v>0</v>
      </c>
      <c r="AK15" s="77">
        <f t="shared" ref="AK15" si="70">P15+S15+V15+Y15+AB15+AE15+AH15</f>
        <v>873</v>
      </c>
      <c r="AL15" s="77">
        <f t="shared" si="26"/>
        <v>700</v>
      </c>
      <c r="AM15" s="77">
        <f t="shared" ref="AM15" si="71">AK15+AL15</f>
        <v>1573</v>
      </c>
      <c r="AN15" s="77">
        <f>R15+U15+X15+AA15+AD15+AG15+AJ15</f>
        <v>9</v>
      </c>
      <c r="AO15" s="188">
        <f t="shared" si="6"/>
        <v>1.6605166051660518</v>
      </c>
      <c r="AP15" s="188">
        <f t="shared" si="7"/>
        <v>1.6605166051660518</v>
      </c>
      <c r="AQ15" s="188">
        <f t="shared" si="29"/>
        <v>0.57215511760966309</v>
      </c>
      <c r="AR15" s="88">
        <f t="shared" si="68"/>
        <v>55.499046408137318</v>
      </c>
      <c r="AS15" s="88">
        <f t="shared" si="31"/>
        <v>44.500953591862682</v>
      </c>
      <c r="AT15" s="88">
        <f t="shared" si="8"/>
        <v>0</v>
      </c>
      <c r="AU15" s="88">
        <f t="shared" si="9"/>
        <v>0</v>
      </c>
      <c r="AV15" s="88">
        <f t="shared" si="10"/>
        <v>11.111111111111111</v>
      </c>
      <c r="AW15" s="88">
        <f t="shared" si="11"/>
        <v>0</v>
      </c>
      <c r="AX15" s="88">
        <f t="shared" si="12"/>
        <v>22.222222222222221</v>
      </c>
      <c r="AY15" s="88">
        <f t="shared" si="13"/>
        <v>66.666666666666657</v>
      </c>
      <c r="AZ15" s="88">
        <f t="shared" si="14"/>
        <v>0</v>
      </c>
    </row>
    <row r="16" spans="1:52" s="40" customFormat="1" ht="20.25" customHeight="1">
      <c r="A16" s="414"/>
      <c r="B16" s="195" t="s">
        <v>126</v>
      </c>
      <c r="C16" s="109">
        <v>502</v>
      </c>
      <c r="D16" s="176">
        <v>45722</v>
      </c>
      <c r="E16" s="176">
        <v>45734</v>
      </c>
      <c r="F16" s="109">
        <v>204</v>
      </c>
      <c r="G16" s="109">
        <v>0</v>
      </c>
      <c r="H16" s="196">
        <f t="shared" ref="H16:H33" si="72">F16+G16</f>
        <v>204</v>
      </c>
      <c r="I16" s="109">
        <v>12</v>
      </c>
      <c r="J16" s="109">
        <v>0</v>
      </c>
      <c r="K16" s="196">
        <f t="shared" ref="K16:K33" si="73">H16+I16+J16</f>
        <v>216</v>
      </c>
      <c r="L16" s="109">
        <v>0</v>
      </c>
      <c r="M16" s="109">
        <v>0</v>
      </c>
      <c r="N16" s="109">
        <v>204</v>
      </c>
      <c r="O16" s="109">
        <v>3</v>
      </c>
      <c r="P16" s="109">
        <v>0</v>
      </c>
      <c r="Q16" s="109">
        <v>0</v>
      </c>
      <c r="R16" s="109">
        <v>0</v>
      </c>
      <c r="S16" s="109">
        <v>0</v>
      </c>
      <c r="T16" s="109">
        <v>0</v>
      </c>
      <c r="U16" s="109">
        <v>0</v>
      </c>
      <c r="V16" s="109">
        <v>51</v>
      </c>
      <c r="W16" s="109">
        <v>88</v>
      </c>
      <c r="X16" s="109">
        <v>0</v>
      </c>
      <c r="Y16" s="109">
        <v>0</v>
      </c>
      <c r="Z16" s="109">
        <v>1</v>
      </c>
      <c r="AA16" s="109">
        <v>0</v>
      </c>
      <c r="AB16" s="109">
        <v>73</v>
      </c>
      <c r="AC16" s="109">
        <v>38</v>
      </c>
      <c r="AD16" s="109">
        <v>2</v>
      </c>
      <c r="AE16" s="109">
        <v>99</v>
      </c>
      <c r="AF16" s="109">
        <v>168</v>
      </c>
      <c r="AG16" s="109">
        <v>1</v>
      </c>
      <c r="AH16" s="109">
        <v>0</v>
      </c>
      <c r="AI16" s="109">
        <v>0</v>
      </c>
      <c r="AJ16" s="109">
        <v>0</v>
      </c>
      <c r="AK16" s="109">
        <f t="shared" ref="AK16:AK17" si="74">P16+S16+V16+Y16+AB16+AE16+AH16</f>
        <v>223</v>
      </c>
      <c r="AL16" s="109">
        <f t="shared" si="26"/>
        <v>295</v>
      </c>
      <c r="AM16" s="109">
        <f t="shared" ref="AM16:AM17" si="75">AK16+AL16</f>
        <v>518</v>
      </c>
      <c r="AN16" s="109">
        <f t="shared" ref="AN16:AN17" si="76">R16+U16+X16+AA16+AD16+AG16+AJ16</f>
        <v>3</v>
      </c>
      <c r="AO16" s="110">
        <f t="shared" si="6"/>
        <v>1.4705882352941175</v>
      </c>
      <c r="AP16" s="110">
        <f t="shared" si="7"/>
        <v>1.4705882352941175</v>
      </c>
      <c r="AQ16" s="110">
        <f t="shared" si="29"/>
        <v>0.5791505791505791</v>
      </c>
      <c r="AR16" s="110">
        <f>AK16/AM16*100</f>
        <v>43.050193050193045</v>
      </c>
      <c r="AS16" s="110">
        <f t="shared" si="31"/>
        <v>56.949806949806948</v>
      </c>
      <c r="AT16" s="110">
        <f t="shared" si="8"/>
        <v>0</v>
      </c>
      <c r="AU16" s="110">
        <f t="shared" si="9"/>
        <v>0</v>
      </c>
      <c r="AV16" s="110">
        <f t="shared" si="10"/>
        <v>0</v>
      </c>
      <c r="AW16" s="110">
        <f t="shared" si="11"/>
        <v>0</v>
      </c>
      <c r="AX16" s="110">
        <f t="shared" si="12"/>
        <v>66.666666666666657</v>
      </c>
      <c r="AY16" s="110">
        <f t="shared" si="13"/>
        <v>33.333333333333329</v>
      </c>
      <c r="AZ16" s="110">
        <f t="shared" si="14"/>
        <v>0</v>
      </c>
    </row>
    <row r="17" spans="1:52" s="40" customFormat="1" ht="20.25" customHeight="1">
      <c r="A17" s="412"/>
      <c r="B17" s="195" t="s">
        <v>127</v>
      </c>
      <c r="C17" s="109">
        <v>924</v>
      </c>
      <c r="D17" s="176">
        <v>45733</v>
      </c>
      <c r="E17" s="176">
        <v>45744</v>
      </c>
      <c r="F17" s="109">
        <v>338</v>
      </c>
      <c r="G17" s="109">
        <v>0</v>
      </c>
      <c r="H17" s="196">
        <f t="shared" si="72"/>
        <v>338</v>
      </c>
      <c r="I17" s="109">
        <v>13</v>
      </c>
      <c r="J17" s="109">
        <v>0</v>
      </c>
      <c r="K17" s="196">
        <f t="shared" si="73"/>
        <v>351</v>
      </c>
      <c r="L17" s="109">
        <v>0</v>
      </c>
      <c r="M17" s="109">
        <v>0</v>
      </c>
      <c r="N17" s="109">
        <v>338</v>
      </c>
      <c r="O17" s="109">
        <v>6</v>
      </c>
      <c r="P17" s="109">
        <v>0</v>
      </c>
      <c r="Q17" s="109">
        <v>0</v>
      </c>
      <c r="R17" s="109">
        <v>0</v>
      </c>
      <c r="S17" s="109">
        <v>0</v>
      </c>
      <c r="T17" s="109">
        <v>0</v>
      </c>
      <c r="U17" s="109">
        <v>0</v>
      </c>
      <c r="V17" s="109">
        <v>198</v>
      </c>
      <c r="W17" s="109">
        <v>87</v>
      </c>
      <c r="X17" s="109">
        <v>1</v>
      </c>
      <c r="Y17" s="109">
        <v>0</v>
      </c>
      <c r="Z17" s="109">
        <v>1</v>
      </c>
      <c r="AA17" s="109">
        <v>0</v>
      </c>
      <c r="AB17" s="109">
        <v>212</v>
      </c>
      <c r="AC17" s="109">
        <v>42</v>
      </c>
      <c r="AD17" s="109">
        <v>0</v>
      </c>
      <c r="AE17" s="109">
        <v>240</v>
      </c>
      <c r="AF17" s="109">
        <v>275</v>
      </c>
      <c r="AG17" s="109">
        <v>5</v>
      </c>
      <c r="AH17" s="109">
        <v>0</v>
      </c>
      <c r="AI17" s="109">
        <v>0</v>
      </c>
      <c r="AJ17" s="109">
        <v>0</v>
      </c>
      <c r="AK17" s="109">
        <f t="shared" si="74"/>
        <v>650</v>
      </c>
      <c r="AL17" s="109">
        <f t="shared" si="26"/>
        <v>405</v>
      </c>
      <c r="AM17" s="109">
        <f t="shared" si="75"/>
        <v>1055</v>
      </c>
      <c r="AN17" s="109">
        <f t="shared" si="76"/>
        <v>6</v>
      </c>
      <c r="AO17" s="110">
        <f t="shared" si="6"/>
        <v>1.7751479289940828</v>
      </c>
      <c r="AP17" s="110">
        <f t="shared" si="7"/>
        <v>1.7751479289940828</v>
      </c>
      <c r="AQ17" s="110">
        <f t="shared" si="29"/>
        <v>0.56872037914691942</v>
      </c>
      <c r="AR17" s="110">
        <f>AK17/AM17*100</f>
        <v>61.611374407582943</v>
      </c>
      <c r="AS17" s="110">
        <f t="shared" si="31"/>
        <v>38.388625592417064</v>
      </c>
      <c r="AT17" s="110">
        <f t="shared" si="8"/>
        <v>0</v>
      </c>
      <c r="AU17" s="110">
        <f t="shared" si="9"/>
        <v>0</v>
      </c>
      <c r="AV17" s="110">
        <f t="shared" si="10"/>
        <v>16.666666666666664</v>
      </c>
      <c r="AW17" s="110">
        <f t="shared" si="11"/>
        <v>0</v>
      </c>
      <c r="AX17" s="110">
        <f t="shared" si="12"/>
        <v>0</v>
      </c>
      <c r="AY17" s="110">
        <f t="shared" si="13"/>
        <v>83.333333333333343</v>
      </c>
      <c r="AZ17" s="110">
        <f t="shared" si="14"/>
        <v>0</v>
      </c>
    </row>
    <row r="18" spans="1:52" s="40" customFormat="1" ht="20.25" customHeight="1">
      <c r="A18" s="83" t="s">
        <v>103</v>
      </c>
      <c r="B18" s="83">
        <v>2</v>
      </c>
      <c r="C18" s="83">
        <f>C15</f>
        <v>1426</v>
      </c>
      <c r="D18" s="86">
        <v>45722</v>
      </c>
      <c r="E18" s="86">
        <v>45744</v>
      </c>
      <c r="F18" s="83">
        <f>F15</f>
        <v>542</v>
      </c>
      <c r="G18" s="83">
        <f t="shared" ref="G18:AJ18" si="77">G15</f>
        <v>0</v>
      </c>
      <c r="H18" s="83">
        <f t="shared" si="77"/>
        <v>542</v>
      </c>
      <c r="I18" s="83">
        <f t="shared" si="77"/>
        <v>25</v>
      </c>
      <c r="J18" s="83">
        <f t="shared" si="77"/>
        <v>0</v>
      </c>
      <c r="K18" s="83">
        <f t="shared" si="77"/>
        <v>567</v>
      </c>
      <c r="L18" s="83">
        <f t="shared" si="77"/>
        <v>0</v>
      </c>
      <c r="M18" s="83">
        <f t="shared" si="77"/>
        <v>0</v>
      </c>
      <c r="N18" s="83">
        <f t="shared" si="77"/>
        <v>542</v>
      </c>
      <c r="O18" s="83">
        <f t="shared" si="77"/>
        <v>9</v>
      </c>
      <c r="P18" s="83">
        <f t="shared" si="77"/>
        <v>0</v>
      </c>
      <c r="Q18" s="83">
        <f t="shared" si="77"/>
        <v>0</v>
      </c>
      <c r="R18" s="83">
        <f t="shared" si="77"/>
        <v>0</v>
      </c>
      <c r="S18" s="83">
        <f t="shared" si="77"/>
        <v>0</v>
      </c>
      <c r="T18" s="83">
        <f t="shared" si="77"/>
        <v>0</v>
      </c>
      <c r="U18" s="83">
        <f t="shared" si="77"/>
        <v>0</v>
      </c>
      <c r="V18" s="83">
        <f t="shared" si="77"/>
        <v>249</v>
      </c>
      <c r="W18" s="83">
        <f t="shared" si="77"/>
        <v>175</v>
      </c>
      <c r="X18" s="83">
        <f t="shared" si="77"/>
        <v>1</v>
      </c>
      <c r="Y18" s="83">
        <f t="shared" si="77"/>
        <v>0</v>
      </c>
      <c r="Z18" s="83">
        <f t="shared" si="77"/>
        <v>2</v>
      </c>
      <c r="AA18" s="83">
        <f t="shared" si="77"/>
        <v>0</v>
      </c>
      <c r="AB18" s="83">
        <f t="shared" si="77"/>
        <v>285</v>
      </c>
      <c r="AC18" s="83">
        <f t="shared" si="77"/>
        <v>80</v>
      </c>
      <c r="AD18" s="83">
        <f t="shared" si="77"/>
        <v>2</v>
      </c>
      <c r="AE18" s="83">
        <f t="shared" si="77"/>
        <v>339</v>
      </c>
      <c r="AF18" s="83">
        <f t="shared" si="77"/>
        <v>443</v>
      </c>
      <c r="AG18" s="83">
        <f t="shared" si="77"/>
        <v>6</v>
      </c>
      <c r="AH18" s="83">
        <f t="shared" si="77"/>
        <v>0</v>
      </c>
      <c r="AI18" s="83">
        <f t="shared" si="77"/>
        <v>0</v>
      </c>
      <c r="AJ18" s="83">
        <f t="shared" si="77"/>
        <v>0</v>
      </c>
      <c r="AK18" s="83">
        <f>P18+S18+V18+Y18+AB18+AE18+AH18</f>
        <v>873</v>
      </c>
      <c r="AL18" s="83">
        <f t="shared" ref="AL18:AL20" si="78">Q18+T18+W18+Z18+AC18+AF18+AI18</f>
        <v>700</v>
      </c>
      <c r="AM18" s="83">
        <f>AK18+AL18</f>
        <v>1573</v>
      </c>
      <c r="AN18" s="83">
        <f>R18+U18+X18+AA18+AD18+AG18+AJ18</f>
        <v>9</v>
      </c>
      <c r="AO18" s="190">
        <f t="shared" ref="AO18:AO20" si="79">O18/H18*100</f>
        <v>1.6605166051660518</v>
      </c>
      <c r="AP18" s="190">
        <f t="shared" ref="AP18:AP20" si="80">AN18/H18*100</f>
        <v>1.6605166051660518</v>
      </c>
      <c r="AQ18" s="190">
        <f t="shared" ref="AQ18:AQ20" si="81">AN18/AM18*100</f>
        <v>0.57215511760966309</v>
      </c>
      <c r="AR18" s="85">
        <f t="shared" ref="AR18:AR19" si="82">AK18/AM18*100</f>
        <v>55.499046408137318</v>
      </c>
      <c r="AS18" s="85">
        <f t="shared" ref="AS18:AS20" si="83">AL18/AM18*100</f>
        <v>44.500953591862682</v>
      </c>
      <c r="AT18" s="85">
        <f t="shared" ref="AT18:AT20" si="84">R18/AN18*100</f>
        <v>0</v>
      </c>
      <c r="AU18" s="85">
        <f t="shared" ref="AU18:AU20" si="85">U18/AN18*100</f>
        <v>0</v>
      </c>
      <c r="AV18" s="85">
        <f t="shared" ref="AV18:AV20" si="86">X18/AN18*100</f>
        <v>11.111111111111111</v>
      </c>
      <c r="AW18" s="85">
        <f t="shared" ref="AW18:AW20" si="87">AA18/AN18*100</f>
        <v>0</v>
      </c>
      <c r="AX18" s="85">
        <f t="shared" ref="AX18:AX20" si="88">AD18/AN18*100</f>
        <v>22.222222222222221</v>
      </c>
      <c r="AY18" s="85">
        <f t="shared" ref="AY18:AY20" si="89">AG18/AN18*100</f>
        <v>66.666666666666657</v>
      </c>
      <c r="AZ18" s="85">
        <f t="shared" ref="AZ18:AZ20" si="90">AJ18/AN18*100</f>
        <v>0</v>
      </c>
    </row>
    <row r="19" spans="1:52" s="218" customFormat="1" ht="20.25" customHeight="1">
      <c r="A19" s="409" t="s">
        <v>48</v>
      </c>
      <c r="B19" s="77" t="s">
        <v>25</v>
      </c>
      <c r="C19" s="77">
        <f>SUM(C20:C21)</f>
        <v>441</v>
      </c>
      <c r="D19" s="91">
        <f>MIN(D20:D21)</f>
        <v>45748</v>
      </c>
      <c r="E19" s="91">
        <f>MAX(E20:E21)</f>
        <v>45777</v>
      </c>
      <c r="F19" s="77">
        <f>SUM(F20:F21)</f>
        <v>530</v>
      </c>
      <c r="G19" s="77">
        <f t="shared" ref="G19:AJ19" si="91">SUM(G20:G21)</f>
        <v>0</v>
      </c>
      <c r="H19" s="77">
        <f t="shared" si="91"/>
        <v>530</v>
      </c>
      <c r="I19" s="77">
        <f t="shared" si="91"/>
        <v>37</v>
      </c>
      <c r="J19" s="77">
        <f t="shared" si="91"/>
        <v>0</v>
      </c>
      <c r="K19" s="77">
        <f t="shared" si="91"/>
        <v>567</v>
      </c>
      <c r="L19" s="77">
        <f t="shared" si="91"/>
        <v>0</v>
      </c>
      <c r="M19" s="77">
        <f t="shared" si="91"/>
        <v>0</v>
      </c>
      <c r="N19" s="77">
        <f t="shared" si="91"/>
        <v>530</v>
      </c>
      <c r="O19" s="77">
        <f t="shared" si="91"/>
        <v>8</v>
      </c>
      <c r="P19" s="77">
        <f t="shared" si="91"/>
        <v>0</v>
      </c>
      <c r="Q19" s="77">
        <f t="shared" si="91"/>
        <v>0</v>
      </c>
      <c r="R19" s="77">
        <f t="shared" si="91"/>
        <v>0</v>
      </c>
      <c r="S19" s="77">
        <f t="shared" si="91"/>
        <v>0</v>
      </c>
      <c r="T19" s="77">
        <f t="shared" si="91"/>
        <v>0</v>
      </c>
      <c r="U19" s="77">
        <f t="shared" si="91"/>
        <v>0</v>
      </c>
      <c r="V19" s="77">
        <f t="shared" si="91"/>
        <v>69</v>
      </c>
      <c r="W19" s="77">
        <f t="shared" si="91"/>
        <v>100</v>
      </c>
      <c r="X19" s="77">
        <f t="shared" si="91"/>
        <v>5</v>
      </c>
      <c r="Y19" s="77">
        <f t="shared" si="91"/>
        <v>10</v>
      </c>
      <c r="Z19" s="77">
        <f t="shared" si="91"/>
        <v>10</v>
      </c>
      <c r="AA19" s="77">
        <f t="shared" si="91"/>
        <v>0</v>
      </c>
      <c r="AB19" s="77">
        <f t="shared" si="91"/>
        <v>81</v>
      </c>
      <c r="AC19" s="77">
        <f t="shared" si="91"/>
        <v>106</v>
      </c>
      <c r="AD19" s="77">
        <f t="shared" si="91"/>
        <v>1</v>
      </c>
      <c r="AE19" s="77">
        <f t="shared" si="91"/>
        <v>239</v>
      </c>
      <c r="AF19" s="77">
        <f t="shared" si="91"/>
        <v>335</v>
      </c>
      <c r="AG19" s="77">
        <f t="shared" si="91"/>
        <v>3</v>
      </c>
      <c r="AH19" s="77">
        <f t="shared" si="91"/>
        <v>0</v>
      </c>
      <c r="AI19" s="77">
        <f t="shared" si="91"/>
        <v>0</v>
      </c>
      <c r="AJ19" s="77">
        <f t="shared" si="91"/>
        <v>0</v>
      </c>
      <c r="AK19" s="77">
        <f t="shared" ref="AK19" si="92">P19+S19+V19+Y19+AB19+AE19+AH19</f>
        <v>399</v>
      </c>
      <c r="AL19" s="77">
        <f t="shared" si="78"/>
        <v>551</v>
      </c>
      <c r="AM19" s="77">
        <f t="shared" ref="AM19" si="93">AK19+AL19</f>
        <v>950</v>
      </c>
      <c r="AN19" s="77">
        <f>R19+U19+X19+AA19+AD19+AG19+AJ19</f>
        <v>9</v>
      </c>
      <c r="AO19" s="188">
        <f t="shared" si="79"/>
        <v>1.5094339622641511</v>
      </c>
      <c r="AP19" s="188">
        <f t="shared" si="80"/>
        <v>1.6981132075471699</v>
      </c>
      <c r="AQ19" s="188">
        <f t="shared" si="81"/>
        <v>0.94736842105263164</v>
      </c>
      <c r="AR19" s="88">
        <f t="shared" si="82"/>
        <v>42</v>
      </c>
      <c r="AS19" s="88">
        <f t="shared" si="83"/>
        <v>57.999999999999993</v>
      </c>
      <c r="AT19" s="88">
        <f t="shared" si="84"/>
        <v>0</v>
      </c>
      <c r="AU19" s="88">
        <f t="shared" si="85"/>
        <v>0</v>
      </c>
      <c r="AV19" s="88">
        <f t="shared" si="86"/>
        <v>55.555555555555557</v>
      </c>
      <c r="AW19" s="88">
        <f t="shared" si="87"/>
        <v>0</v>
      </c>
      <c r="AX19" s="88">
        <f t="shared" si="88"/>
        <v>11.111111111111111</v>
      </c>
      <c r="AY19" s="88">
        <f t="shared" si="89"/>
        <v>33.333333333333329</v>
      </c>
      <c r="AZ19" s="88">
        <f t="shared" si="90"/>
        <v>0</v>
      </c>
    </row>
    <row r="20" spans="1:52" s="63" customFormat="1" ht="20.25" customHeight="1">
      <c r="A20" s="413"/>
      <c r="B20" s="202" t="s">
        <v>126</v>
      </c>
      <c r="C20" s="120">
        <v>405</v>
      </c>
      <c r="D20" s="239">
        <v>45748</v>
      </c>
      <c r="E20" s="239">
        <v>45754</v>
      </c>
      <c r="F20" s="120">
        <v>202</v>
      </c>
      <c r="G20" s="120">
        <v>0</v>
      </c>
      <c r="H20" s="247">
        <f t="shared" si="72"/>
        <v>202</v>
      </c>
      <c r="I20" s="120">
        <v>14</v>
      </c>
      <c r="J20" s="120">
        <v>0</v>
      </c>
      <c r="K20" s="247">
        <f t="shared" si="73"/>
        <v>216</v>
      </c>
      <c r="L20" s="120">
        <v>0</v>
      </c>
      <c r="M20" s="120">
        <v>0</v>
      </c>
      <c r="N20" s="120">
        <v>202</v>
      </c>
      <c r="O20" s="120">
        <v>2</v>
      </c>
      <c r="P20" s="120">
        <v>0</v>
      </c>
      <c r="Q20" s="120">
        <v>0</v>
      </c>
      <c r="R20" s="120">
        <v>0</v>
      </c>
      <c r="S20" s="120">
        <v>0</v>
      </c>
      <c r="T20" s="120">
        <v>0</v>
      </c>
      <c r="U20" s="120">
        <v>0</v>
      </c>
      <c r="V20" s="120">
        <v>37</v>
      </c>
      <c r="W20" s="120">
        <v>63</v>
      </c>
      <c r="X20" s="120">
        <v>3</v>
      </c>
      <c r="Y20" s="120">
        <v>0</v>
      </c>
      <c r="Z20" s="120">
        <v>8</v>
      </c>
      <c r="AA20" s="120">
        <v>0</v>
      </c>
      <c r="AB20" s="120">
        <v>38</v>
      </c>
      <c r="AC20" s="120">
        <v>35</v>
      </c>
      <c r="AD20" s="120">
        <v>0</v>
      </c>
      <c r="AE20" s="120">
        <v>122</v>
      </c>
      <c r="AF20" s="120">
        <v>126</v>
      </c>
      <c r="AG20" s="120">
        <v>0</v>
      </c>
      <c r="AH20" s="120">
        <v>0</v>
      </c>
      <c r="AI20" s="120">
        <v>0</v>
      </c>
      <c r="AJ20" s="120">
        <v>0</v>
      </c>
      <c r="AK20" s="109">
        <f t="shared" ref="AK20" si="94">P20+S20+V20+Y20+AB20+AE20+AH20</f>
        <v>197</v>
      </c>
      <c r="AL20" s="109">
        <f t="shared" si="78"/>
        <v>232</v>
      </c>
      <c r="AM20" s="109">
        <f t="shared" ref="AM20" si="95">AK20+AL20</f>
        <v>429</v>
      </c>
      <c r="AN20" s="109">
        <f t="shared" ref="AN20" si="96">R20+U20+X20+AA20+AD20+AG20+AJ20</f>
        <v>3</v>
      </c>
      <c r="AO20" s="110">
        <f t="shared" si="79"/>
        <v>0.99009900990099009</v>
      </c>
      <c r="AP20" s="110">
        <f t="shared" si="80"/>
        <v>1.4851485148514851</v>
      </c>
      <c r="AQ20" s="110">
        <f t="shared" si="81"/>
        <v>0.69930069930069927</v>
      </c>
      <c r="AR20" s="110">
        <f>AK20/AM20*100</f>
        <v>45.920745920745922</v>
      </c>
      <c r="AS20" s="110">
        <f t="shared" si="83"/>
        <v>54.079254079254078</v>
      </c>
      <c r="AT20" s="110">
        <f t="shared" si="84"/>
        <v>0</v>
      </c>
      <c r="AU20" s="110">
        <f t="shared" si="85"/>
        <v>0</v>
      </c>
      <c r="AV20" s="110">
        <f t="shared" si="86"/>
        <v>100</v>
      </c>
      <c r="AW20" s="110">
        <f t="shared" si="87"/>
        <v>0</v>
      </c>
      <c r="AX20" s="110">
        <f t="shared" si="88"/>
        <v>0</v>
      </c>
      <c r="AY20" s="110">
        <f t="shared" si="89"/>
        <v>0</v>
      </c>
      <c r="AZ20" s="110">
        <f t="shared" si="90"/>
        <v>0</v>
      </c>
    </row>
    <row r="21" spans="1:52" s="63" customFormat="1" ht="20.25" customHeight="1">
      <c r="A21" s="413"/>
      <c r="B21" s="202" t="s">
        <v>127</v>
      </c>
      <c r="C21" s="120">
        <v>36</v>
      </c>
      <c r="D21" s="239">
        <v>45754</v>
      </c>
      <c r="E21" s="239">
        <v>45777</v>
      </c>
      <c r="F21" s="120">
        <v>328</v>
      </c>
      <c r="G21" s="120">
        <v>0</v>
      </c>
      <c r="H21" s="247">
        <f t="shared" si="72"/>
        <v>328</v>
      </c>
      <c r="I21" s="120">
        <v>23</v>
      </c>
      <c r="J21" s="120">
        <v>0</v>
      </c>
      <c r="K21" s="247">
        <f t="shared" si="73"/>
        <v>351</v>
      </c>
      <c r="L21" s="120">
        <v>0</v>
      </c>
      <c r="M21" s="120">
        <v>0</v>
      </c>
      <c r="N21" s="120">
        <v>328</v>
      </c>
      <c r="O21" s="120">
        <v>6</v>
      </c>
      <c r="P21" s="120">
        <v>0</v>
      </c>
      <c r="Q21" s="120">
        <v>0</v>
      </c>
      <c r="R21" s="120">
        <v>0</v>
      </c>
      <c r="S21" s="120">
        <v>0</v>
      </c>
      <c r="T21" s="120">
        <v>0</v>
      </c>
      <c r="U21" s="120">
        <v>0</v>
      </c>
      <c r="V21" s="120">
        <v>32</v>
      </c>
      <c r="W21" s="120">
        <v>37</v>
      </c>
      <c r="X21" s="120">
        <v>2</v>
      </c>
      <c r="Y21" s="120">
        <v>10</v>
      </c>
      <c r="Z21" s="120">
        <v>2</v>
      </c>
      <c r="AA21" s="120">
        <v>0</v>
      </c>
      <c r="AB21" s="120">
        <v>43</v>
      </c>
      <c r="AC21" s="120">
        <v>71</v>
      </c>
      <c r="AD21" s="120">
        <v>1</v>
      </c>
      <c r="AE21" s="120">
        <v>117</v>
      </c>
      <c r="AF21" s="120">
        <v>209</v>
      </c>
      <c r="AG21" s="120">
        <v>3</v>
      </c>
      <c r="AH21" s="120">
        <v>0</v>
      </c>
      <c r="AI21" s="120">
        <v>0</v>
      </c>
      <c r="AJ21" s="120">
        <v>0</v>
      </c>
      <c r="AK21" s="109">
        <f t="shared" ref="AK21:AK22" si="97">P21+S21+V21+Y21+AB21+AE21+AH21</f>
        <v>202</v>
      </c>
      <c r="AL21" s="109">
        <f t="shared" ref="AL21:AL22" si="98">Q21+T21+W21+Z21+AC21+AF21+AI21</f>
        <v>319</v>
      </c>
      <c r="AM21" s="109">
        <f t="shared" ref="AM21:AM22" si="99">AK21+AL21</f>
        <v>521</v>
      </c>
      <c r="AN21" s="109">
        <f t="shared" ref="AN21:AN22" si="100">R21+U21+X21+AA21+AD21+AG21+AJ21</f>
        <v>6</v>
      </c>
      <c r="AO21" s="110">
        <f t="shared" ref="AO21:AO22" si="101">O21/H21*100</f>
        <v>1.8292682926829267</v>
      </c>
      <c r="AP21" s="110">
        <f t="shared" ref="AP21:AP22" si="102">AN21/H21*100</f>
        <v>1.8292682926829267</v>
      </c>
      <c r="AQ21" s="110">
        <f t="shared" ref="AQ21:AQ22" si="103">AN21/AM21*100</f>
        <v>1.1516314779270633</v>
      </c>
      <c r="AR21" s="110">
        <f t="shared" ref="AR21:AR22" si="104">AK21/AM21*100</f>
        <v>38.771593090211134</v>
      </c>
      <c r="AS21" s="110">
        <f t="shared" ref="AS21:AS22" si="105">AL21/AM21*100</f>
        <v>61.228406909788866</v>
      </c>
      <c r="AT21" s="110">
        <f t="shared" ref="AT21:AT22" si="106">R21/AN21*100</f>
        <v>0</v>
      </c>
      <c r="AU21" s="110">
        <f t="shared" ref="AU21:AU22" si="107">U21/AN21*100</f>
        <v>0</v>
      </c>
      <c r="AV21" s="110">
        <f t="shared" ref="AV21:AV22" si="108">X21/AN21*100</f>
        <v>33.333333333333329</v>
      </c>
      <c r="AW21" s="110">
        <f t="shared" ref="AW21:AW22" si="109">AA21/AN21*100</f>
        <v>0</v>
      </c>
      <c r="AX21" s="110">
        <f t="shared" ref="AX21:AX22" si="110">AD21/AN21*100</f>
        <v>16.666666666666664</v>
      </c>
      <c r="AY21" s="110">
        <f t="shared" ref="AY21:AY22" si="111">AG21/AN21*100</f>
        <v>50</v>
      </c>
      <c r="AZ21" s="110">
        <f t="shared" ref="AZ21:AZ22" si="112">AJ21/AN21*100</f>
        <v>0</v>
      </c>
    </row>
    <row r="22" spans="1:52" s="63" customFormat="1" ht="20.25" customHeight="1">
      <c r="A22" s="410"/>
      <c r="B22" s="202" t="s">
        <v>128</v>
      </c>
      <c r="C22" s="120">
        <v>111</v>
      </c>
      <c r="D22" s="239">
        <v>45769</v>
      </c>
      <c r="E22" s="239">
        <v>45770</v>
      </c>
      <c r="F22" s="120">
        <v>56</v>
      </c>
      <c r="G22" s="120">
        <v>0</v>
      </c>
      <c r="H22" s="247">
        <f t="shared" si="72"/>
        <v>56</v>
      </c>
      <c r="I22" s="120">
        <v>1</v>
      </c>
      <c r="J22" s="120">
        <v>0</v>
      </c>
      <c r="K22" s="247">
        <f t="shared" si="73"/>
        <v>57</v>
      </c>
      <c r="L22" s="120">
        <v>0</v>
      </c>
      <c r="M22" s="120">
        <v>0</v>
      </c>
      <c r="N22" s="120">
        <v>56</v>
      </c>
      <c r="O22" s="120">
        <v>0</v>
      </c>
      <c r="P22" s="120">
        <v>0</v>
      </c>
      <c r="Q22" s="120">
        <v>0</v>
      </c>
      <c r="R22" s="120">
        <v>0</v>
      </c>
      <c r="S22" s="120">
        <v>0</v>
      </c>
      <c r="T22" s="120">
        <v>0</v>
      </c>
      <c r="U22" s="120">
        <v>0</v>
      </c>
      <c r="V22" s="120">
        <v>11</v>
      </c>
      <c r="W22" s="120">
        <v>6</v>
      </c>
      <c r="X22" s="120">
        <v>0</v>
      </c>
      <c r="Y22" s="120">
        <v>0</v>
      </c>
      <c r="Z22" s="120">
        <v>0</v>
      </c>
      <c r="AA22" s="120">
        <v>0</v>
      </c>
      <c r="AB22" s="120">
        <v>15</v>
      </c>
      <c r="AC22" s="120">
        <v>6</v>
      </c>
      <c r="AD22" s="120">
        <v>0</v>
      </c>
      <c r="AE22" s="120">
        <v>58</v>
      </c>
      <c r="AF22" s="120">
        <v>33</v>
      </c>
      <c r="AG22" s="120">
        <v>0</v>
      </c>
      <c r="AH22" s="120">
        <v>0</v>
      </c>
      <c r="AI22" s="120">
        <v>0</v>
      </c>
      <c r="AJ22" s="120">
        <v>0</v>
      </c>
      <c r="AK22" s="109">
        <f t="shared" si="97"/>
        <v>84</v>
      </c>
      <c r="AL22" s="109">
        <f t="shared" si="98"/>
        <v>45</v>
      </c>
      <c r="AM22" s="109">
        <f t="shared" si="99"/>
        <v>129</v>
      </c>
      <c r="AN22" s="109">
        <f t="shared" si="100"/>
        <v>0</v>
      </c>
      <c r="AO22" s="110">
        <f t="shared" si="101"/>
        <v>0</v>
      </c>
      <c r="AP22" s="110">
        <f t="shared" si="102"/>
        <v>0</v>
      </c>
      <c r="AQ22" s="110">
        <f t="shared" si="103"/>
        <v>0</v>
      </c>
      <c r="AR22" s="110">
        <f t="shared" si="104"/>
        <v>65.116279069767444</v>
      </c>
      <c r="AS22" s="110">
        <f t="shared" si="105"/>
        <v>34.883720930232556</v>
      </c>
      <c r="AT22" s="110" t="e">
        <f t="shared" si="106"/>
        <v>#DIV/0!</v>
      </c>
      <c r="AU22" s="110" t="e">
        <f t="shared" si="107"/>
        <v>#DIV/0!</v>
      </c>
      <c r="AV22" s="110" t="e">
        <f t="shared" si="108"/>
        <v>#DIV/0!</v>
      </c>
      <c r="AW22" s="110" t="e">
        <f t="shared" si="109"/>
        <v>#DIV/0!</v>
      </c>
      <c r="AX22" s="110" t="e">
        <f t="shared" si="110"/>
        <v>#DIV/0!</v>
      </c>
      <c r="AY22" s="110" t="e">
        <f t="shared" si="111"/>
        <v>#DIV/0!</v>
      </c>
      <c r="AZ22" s="110" t="e">
        <f t="shared" si="112"/>
        <v>#DIV/0!</v>
      </c>
    </row>
    <row r="23" spans="1:52" s="40" customFormat="1" ht="20.25" customHeight="1">
      <c r="A23" s="83" t="s">
        <v>254</v>
      </c>
      <c r="B23" s="83">
        <v>3</v>
      </c>
      <c r="C23" s="83">
        <f>C19+C22</f>
        <v>552</v>
      </c>
      <c r="D23" s="86">
        <f>MIN(D19:D22)</f>
        <v>45748</v>
      </c>
      <c r="E23" s="86">
        <f>MAX(E19:E22)</f>
        <v>45777</v>
      </c>
      <c r="F23" s="83">
        <f>F19+F22</f>
        <v>586</v>
      </c>
      <c r="G23" s="83">
        <f t="shared" ref="G23:AJ23" si="113">G19+G22</f>
        <v>0</v>
      </c>
      <c r="H23" s="83">
        <f t="shared" si="113"/>
        <v>586</v>
      </c>
      <c r="I23" s="83">
        <f t="shared" si="113"/>
        <v>38</v>
      </c>
      <c r="J23" s="83">
        <f t="shared" si="113"/>
        <v>0</v>
      </c>
      <c r="K23" s="83">
        <f t="shared" si="113"/>
        <v>624</v>
      </c>
      <c r="L23" s="83">
        <f t="shared" si="113"/>
        <v>0</v>
      </c>
      <c r="M23" s="83">
        <f t="shared" si="113"/>
        <v>0</v>
      </c>
      <c r="N23" s="83">
        <f t="shared" si="113"/>
        <v>586</v>
      </c>
      <c r="O23" s="83">
        <f t="shared" si="113"/>
        <v>8</v>
      </c>
      <c r="P23" s="83">
        <f t="shared" si="113"/>
        <v>0</v>
      </c>
      <c r="Q23" s="83">
        <f t="shared" si="113"/>
        <v>0</v>
      </c>
      <c r="R23" s="83">
        <f t="shared" si="113"/>
        <v>0</v>
      </c>
      <c r="S23" s="83">
        <f t="shared" si="113"/>
        <v>0</v>
      </c>
      <c r="T23" s="83">
        <f t="shared" si="113"/>
        <v>0</v>
      </c>
      <c r="U23" s="83">
        <f t="shared" si="113"/>
        <v>0</v>
      </c>
      <c r="V23" s="83">
        <f t="shared" si="113"/>
        <v>80</v>
      </c>
      <c r="W23" s="83">
        <f t="shared" si="113"/>
        <v>106</v>
      </c>
      <c r="X23" s="83">
        <f t="shared" si="113"/>
        <v>5</v>
      </c>
      <c r="Y23" s="83">
        <f t="shared" si="113"/>
        <v>10</v>
      </c>
      <c r="Z23" s="83">
        <f t="shared" si="113"/>
        <v>10</v>
      </c>
      <c r="AA23" s="83">
        <f t="shared" si="113"/>
        <v>0</v>
      </c>
      <c r="AB23" s="83">
        <f t="shared" si="113"/>
        <v>96</v>
      </c>
      <c r="AC23" s="83">
        <f t="shared" si="113"/>
        <v>112</v>
      </c>
      <c r="AD23" s="83">
        <f t="shared" si="113"/>
        <v>1</v>
      </c>
      <c r="AE23" s="83">
        <f t="shared" si="113"/>
        <v>297</v>
      </c>
      <c r="AF23" s="83">
        <f t="shared" si="113"/>
        <v>368</v>
      </c>
      <c r="AG23" s="83">
        <f t="shared" si="113"/>
        <v>3</v>
      </c>
      <c r="AH23" s="83">
        <f t="shared" si="113"/>
        <v>0</v>
      </c>
      <c r="AI23" s="83">
        <f t="shared" si="113"/>
        <v>0</v>
      </c>
      <c r="AJ23" s="83">
        <f t="shared" si="113"/>
        <v>0</v>
      </c>
      <c r="AK23" s="83">
        <f>P23+S23+V23+Y23+AB23+AE23+AH23</f>
        <v>483</v>
      </c>
      <c r="AL23" s="83">
        <f t="shared" ref="AL23:AL25" si="114">Q23+T23+W23+Z23+AC23+AF23+AI23</f>
        <v>596</v>
      </c>
      <c r="AM23" s="83">
        <f>AK23+AL23</f>
        <v>1079</v>
      </c>
      <c r="AN23" s="83">
        <f>R23+U23+X23+AA23+AD23+AG23+AJ23</f>
        <v>9</v>
      </c>
      <c r="AO23" s="190">
        <f t="shared" ref="AO23:AO25" si="115">O23/H23*100</f>
        <v>1.3651877133105803</v>
      </c>
      <c r="AP23" s="190">
        <f t="shared" ref="AP23:AP25" si="116">AN23/H23*100</f>
        <v>1.5358361774744027</v>
      </c>
      <c r="AQ23" s="190">
        <f t="shared" ref="AQ23:AQ25" si="117">AN23/AM23*100</f>
        <v>0.83410565338276188</v>
      </c>
      <c r="AR23" s="85">
        <f t="shared" ref="AR23:AR25" si="118">AK23/AM23*100</f>
        <v>44.76367006487488</v>
      </c>
      <c r="AS23" s="85">
        <f t="shared" ref="AS23:AS25" si="119">AL23/AM23*100</f>
        <v>55.23632993512512</v>
      </c>
      <c r="AT23" s="85">
        <f t="shared" ref="AT23:AT25" si="120">R23/AN23*100</f>
        <v>0</v>
      </c>
      <c r="AU23" s="85">
        <f t="shared" ref="AU23:AU25" si="121">U23/AN23*100</f>
        <v>0</v>
      </c>
      <c r="AV23" s="85">
        <f t="shared" ref="AV23:AV25" si="122">X23/AN23*100</f>
        <v>55.555555555555557</v>
      </c>
      <c r="AW23" s="85">
        <f t="shared" ref="AW23:AW25" si="123">AA23/AN23*100</f>
        <v>0</v>
      </c>
      <c r="AX23" s="85">
        <f t="shared" ref="AX23:AX25" si="124">AD23/AN23*100</f>
        <v>11.111111111111111</v>
      </c>
      <c r="AY23" s="85">
        <f t="shared" ref="AY23:AY25" si="125">AG23/AN23*100</f>
        <v>33.333333333333329</v>
      </c>
      <c r="AZ23" s="85">
        <f t="shared" ref="AZ23:AZ25" si="126">AJ23/AN23*100</f>
        <v>0</v>
      </c>
    </row>
    <row r="24" spans="1:52" s="40" customFormat="1" ht="20.25" customHeight="1">
      <c r="A24" s="408" t="s">
        <v>48</v>
      </c>
      <c r="B24" s="77" t="s">
        <v>25</v>
      </c>
      <c r="C24" s="77">
        <f>SUM(C25:C26)</f>
        <v>1245</v>
      </c>
      <c r="D24" s="91">
        <f>MIN(D25:D26)</f>
        <v>45782</v>
      </c>
      <c r="E24" s="91">
        <f>MAX(E25:E26)</f>
        <v>45808</v>
      </c>
      <c r="F24" s="77">
        <f>SUM(F25:F26)</f>
        <v>545</v>
      </c>
      <c r="G24" s="77">
        <f t="shared" ref="G24:AJ24" si="127">SUM(G25:G26)</f>
        <v>0</v>
      </c>
      <c r="H24" s="77">
        <f t="shared" si="127"/>
        <v>545</v>
      </c>
      <c r="I24" s="77">
        <f t="shared" si="127"/>
        <v>22</v>
      </c>
      <c r="J24" s="77">
        <f t="shared" si="127"/>
        <v>0</v>
      </c>
      <c r="K24" s="77">
        <f t="shared" si="127"/>
        <v>567</v>
      </c>
      <c r="L24" s="77">
        <f t="shared" si="127"/>
        <v>0</v>
      </c>
      <c r="M24" s="77">
        <f t="shared" si="127"/>
        <v>0</v>
      </c>
      <c r="N24" s="77">
        <f t="shared" si="127"/>
        <v>567</v>
      </c>
      <c r="O24" s="77">
        <f t="shared" si="127"/>
        <v>0</v>
      </c>
      <c r="P24" s="77">
        <f t="shared" si="127"/>
        <v>0</v>
      </c>
      <c r="Q24" s="77">
        <f t="shared" si="127"/>
        <v>0</v>
      </c>
      <c r="R24" s="77">
        <f t="shared" si="127"/>
        <v>0</v>
      </c>
      <c r="S24" s="77">
        <f t="shared" si="127"/>
        <v>0</v>
      </c>
      <c r="T24" s="77">
        <f t="shared" si="127"/>
        <v>1</v>
      </c>
      <c r="U24" s="77">
        <f t="shared" si="127"/>
        <v>0</v>
      </c>
      <c r="V24" s="77">
        <f t="shared" si="127"/>
        <v>134</v>
      </c>
      <c r="W24" s="77">
        <f t="shared" si="127"/>
        <v>83</v>
      </c>
      <c r="X24" s="77">
        <f t="shared" si="127"/>
        <v>0</v>
      </c>
      <c r="Y24" s="77">
        <f t="shared" si="127"/>
        <v>1</v>
      </c>
      <c r="Z24" s="77">
        <f t="shared" si="127"/>
        <v>28</v>
      </c>
      <c r="AA24" s="77">
        <f t="shared" si="127"/>
        <v>0</v>
      </c>
      <c r="AB24" s="77">
        <f t="shared" si="127"/>
        <v>158</v>
      </c>
      <c r="AC24" s="77">
        <f t="shared" si="127"/>
        <v>59</v>
      </c>
      <c r="AD24" s="77">
        <f t="shared" si="127"/>
        <v>0</v>
      </c>
      <c r="AE24" s="77">
        <f t="shared" si="127"/>
        <v>317</v>
      </c>
      <c r="AF24" s="77">
        <f t="shared" si="127"/>
        <v>218</v>
      </c>
      <c r="AG24" s="77">
        <f t="shared" si="127"/>
        <v>0</v>
      </c>
      <c r="AH24" s="77">
        <f t="shared" si="127"/>
        <v>0</v>
      </c>
      <c r="AI24" s="77">
        <f t="shared" si="127"/>
        <v>0</v>
      </c>
      <c r="AJ24" s="77">
        <f t="shared" si="127"/>
        <v>0</v>
      </c>
      <c r="AK24" s="77">
        <f>P24+S24+V24+Y24+AB24+AE24+AH24</f>
        <v>610</v>
      </c>
      <c r="AL24" s="77">
        <f t="shared" si="114"/>
        <v>389</v>
      </c>
      <c r="AM24" s="77">
        <f t="shared" ref="AM24" si="128">AK24+AL24</f>
        <v>999</v>
      </c>
      <c r="AN24" s="77">
        <f>R24+U24+X24+AA24+AD24+AG24+AJ24</f>
        <v>0</v>
      </c>
      <c r="AO24" s="188">
        <f t="shared" si="115"/>
        <v>0</v>
      </c>
      <c r="AP24" s="188">
        <f t="shared" si="116"/>
        <v>0</v>
      </c>
      <c r="AQ24" s="188">
        <f t="shared" si="117"/>
        <v>0</v>
      </c>
      <c r="AR24" s="88">
        <f t="shared" si="118"/>
        <v>61.061061061061061</v>
      </c>
      <c r="AS24" s="88">
        <f t="shared" si="119"/>
        <v>38.938938938938939</v>
      </c>
      <c r="AT24" s="88" t="e">
        <f t="shared" si="120"/>
        <v>#DIV/0!</v>
      </c>
      <c r="AU24" s="88" t="e">
        <f t="shared" si="121"/>
        <v>#DIV/0!</v>
      </c>
      <c r="AV24" s="88" t="e">
        <f t="shared" si="122"/>
        <v>#DIV/0!</v>
      </c>
      <c r="AW24" s="88" t="e">
        <f t="shared" si="123"/>
        <v>#DIV/0!</v>
      </c>
      <c r="AX24" s="88" t="e">
        <f t="shared" si="124"/>
        <v>#DIV/0!</v>
      </c>
      <c r="AY24" s="88" t="e">
        <f t="shared" si="125"/>
        <v>#DIV/0!</v>
      </c>
      <c r="AZ24" s="88" t="e">
        <f t="shared" si="126"/>
        <v>#DIV/0!</v>
      </c>
    </row>
    <row r="25" spans="1:52" s="63" customFormat="1" ht="20.25" customHeight="1">
      <c r="A25" s="408"/>
      <c r="B25" s="202" t="s">
        <v>126</v>
      </c>
      <c r="C25" s="261">
        <v>434</v>
      </c>
      <c r="D25" s="239">
        <v>45782</v>
      </c>
      <c r="E25" s="239">
        <v>45796</v>
      </c>
      <c r="F25" s="261">
        <v>205</v>
      </c>
      <c r="G25" s="261">
        <v>0</v>
      </c>
      <c r="H25" s="262">
        <f t="shared" si="72"/>
        <v>205</v>
      </c>
      <c r="I25" s="261">
        <v>11</v>
      </c>
      <c r="J25" s="261">
        <v>0</v>
      </c>
      <c r="K25" s="262">
        <f t="shared" si="73"/>
        <v>216</v>
      </c>
      <c r="L25" s="261">
        <v>0</v>
      </c>
      <c r="M25" s="261">
        <v>0</v>
      </c>
      <c r="N25" s="261">
        <v>216</v>
      </c>
      <c r="O25" s="261">
        <v>0</v>
      </c>
      <c r="P25" s="261">
        <v>0</v>
      </c>
      <c r="Q25" s="261">
        <v>0</v>
      </c>
      <c r="R25" s="261">
        <v>0</v>
      </c>
      <c r="S25" s="261">
        <v>0</v>
      </c>
      <c r="T25" s="261">
        <v>0</v>
      </c>
      <c r="U25" s="261">
        <v>0</v>
      </c>
      <c r="V25" s="261">
        <v>24</v>
      </c>
      <c r="W25" s="261">
        <v>71</v>
      </c>
      <c r="X25" s="261">
        <v>0</v>
      </c>
      <c r="Y25" s="261">
        <v>0</v>
      </c>
      <c r="Z25" s="261">
        <v>16</v>
      </c>
      <c r="AA25" s="261">
        <v>0</v>
      </c>
      <c r="AB25" s="261">
        <v>15</v>
      </c>
      <c r="AC25" s="261">
        <v>18</v>
      </c>
      <c r="AD25" s="261">
        <v>0</v>
      </c>
      <c r="AE25" s="261">
        <v>77</v>
      </c>
      <c r="AF25" s="261">
        <v>124</v>
      </c>
      <c r="AG25" s="261">
        <v>0</v>
      </c>
      <c r="AH25" s="261">
        <v>0</v>
      </c>
      <c r="AI25" s="261">
        <v>0</v>
      </c>
      <c r="AJ25" s="261">
        <v>0</v>
      </c>
      <c r="AK25" s="109">
        <f t="shared" ref="AK25" si="129">P25+S25+V25+Y25+AB25+AE25+AH25</f>
        <v>116</v>
      </c>
      <c r="AL25" s="109">
        <f t="shared" si="114"/>
        <v>229</v>
      </c>
      <c r="AM25" s="109">
        <f t="shared" ref="AM25" si="130">AK25+AL25</f>
        <v>345</v>
      </c>
      <c r="AN25" s="109">
        <f t="shared" ref="AN25" si="131">R25+U25+X25+AA25+AD25+AG25+AJ25</f>
        <v>0</v>
      </c>
      <c r="AO25" s="110">
        <f t="shared" si="115"/>
        <v>0</v>
      </c>
      <c r="AP25" s="110">
        <f t="shared" si="116"/>
        <v>0</v>
      </c>
      <c r="AQ25" s="110">
        <f t="shared" si="117"/>
        <v>0</v>
      </c>
      <c r="AR25" s="110">
        <f t="shared" si="118"/>
        <v>33.623188405797102</v>
      </c>
      <c r="AS25" s="110">
        <f t="shared" si="119"/>
        <v>66.376811594202906</v>
      </c>
      <c r="AT25" s="110" t="e">
        <f t="shared" si="120"/>
        <v>#DIV/0!</v>
      </c>
      <c r="AU25" s="110" t="e">
        <f t="shared" si="121"/>
        <v>#DIV/0!</v>
      </c>
      <c r="AV25" s="110" t="e">
        <f t="shared" si="122"/>
        <v>#DIV/0!</v>
      </c>
      <c r="AW25" s="110" t="e">
        <f t="shared" si="123"/>
        <v>#DIV/0!</v>
      </c>
      <c r="AX25" s="110" t="e">
        <f t="shared" si="124"/>
        <v>#DIV/0!</v>
      </c>
      <c r="AY25" s="110" t="e">
        <f t="shared" si="125"/>
        <v>#DIV/0!</v>
      </c>
      <c r="AZ25" s="110" t="e">
        <f t="shared" si="126"/>
        <v>#DIV/0!</v>
      </c>
    </row>
    <row r="26" spans="1:52" s="63" customFormat="1" ht="20.25" customHeight="1">
      <c r="A26" s="408"/>
      <c r="B26" s="202" t="s">
        <v>127</v>
      </c>
      <c r="C26" s="261">
        <v>811</v>
      </c>
      <c r="D26" s="239">
        <v>45796</v>
      </c>
      <c r="E26" s="239">
        <v>45808</v>
      </c>
      <c r="F26" s="261">
        <v>340</v>
      </c>
      <c r="G26" s="261">
        <v>0</v>
      </c>
      <c r="H26" s="261">
        <f t="shared" si="72"/>
        <v>340</v>
      </c>
      <c r="I26" s="261">
        <v>11</v>
      </c>
      <c r="J26" s="261">
        <v>0</v>
      </c>
      <c r="K26" s="261">
        <f t="shared" si="73"/>
        <v>351</v>
      </c>
      <c r="L26" s="261">
        <v>0</v>
      </c>
      <c r="M26" s="261">
        <v>0</v>
      </c>
      <c r="N26" s="261">
        <v>351</v>
      </c>
      <c r="O26" s="261">
        <v>0</v>
      </c>
      <c r="P26" s="261">
        <v>0</v>
      </c>
      <c r="Q26" s="261">
        <v>0</v>
      </c>
      <c r="R26" s="261">
        <v>0</v>
      </c>
      <c r="S26" s="261">
        <v>0</v>
      </c>
      <c r="T26" s="261">
        <v>1</v>
      </c>
      <c r="U26" s="261">
        <v>0</v>
      </c>
      <c r="V26" s="261">
        <v>110</v>
      </c>
      <c r="W26" s="261">
        <v>12</v>
      </c>
      <c r="X26" s="261">
        <v>0</v>
      </c>
      <c r="Y26" s="261">
        <v>1</v>
      </c>
      <c r="Z26" s="261">
        <v>12</v>
      </c>
      <c r="AA26" s="261">
        <v>0</v>
      </c>
      <c r="AB26" s="261">
        <v>143</v>
      </c>
      <c r="AC26" s="261">
        <v>41</v>
      </c>
      <c r="AD26" s="261">
        <v>0</v>
      </c>
      <c r="AE26" s="261">
        <v>240</v>
      </c>
      <c r="AF26" s="261">
        <v>94</v>
      </c>
      <c r="AG26" s="261">
        <v>0</v>
      </c>
      <c r="AH26" s="261">
        <v>0</v>
      </c>
      <c r="AI26" s="261">
        <v>0</v>
      </c>
      <c r="AJ26" s="261">
        <v>0</v>
      </c>
      <c r="AK26" s="109">
        <f t="shared" ref="AK26" si="132">P26+S26+V26+Y26+AB26+AE26+AH26</f>
        <v>494</v>
      </c>
      <c r="AL26" s="109">
        <f t="shared" ref="AL26:AL32" si="133">Q26+T26+W26+Z26+AC26+AF26+AI26</f>
        <v>160</v>
      </c>
      <c r="AM26" s="109">
        <f t="shared" ref="AM26" si="134">AK26+AL26</f>
        <v>654</v>
      </c>
      <c r="AN26" s="109">
        <f t="shared" ref="AN26" si="135">R26+U26+X26+AA26+AD26+AG26+AJ26</f>
        <v>0</v>
      </c>
      <c r="AO26" s="110">
        <f t="shared" ref="AO26:AO32" si="136">O26/H26*100</f>
        <v>0</v>
      </c>
      <c r="AP26" s="110">
        <f t="shared" ref="AP26:AP32" si="137">AN26/H26*100</f>
        <v>0</v>
      </c>
      <c r="AQ26" s="110">
        <f t="shared" ref="AQ26:AQ32" si="138">AN26/AM26*100</f>
        <v>0</v>
      </c>
      <c r="AR26" s="110">
        <f t="shared" ref="AR26:AR32" si="139">AK26/AM26*100</f>
        <v>75.535168195718654</v>
      </c>
      <c r="AS26" s="110">
        <f t="shared" ref="AS26:AS32" si="140">AL26/AM26*100</f>
        <v>24.464831804281346</v>
      </c>
      <c r="AT26" s="110" t="e">
        <f t="shared" ref="AT26:AT32" si="141">R26/AN26*100</f>
        <v>#DIV/0!</v>
      </c>
      <c r="AU26" s="110" t="e">
        <f t="shared" ref="AU26:AU32" si="142">U26/AN26*100</f>
        <v>#DIV/0!</v>
      </c>
      <c r="AV26" s="110" t="e">
        <f t="shared" ref="AV26:AV32" si="143">X26/AN26*100</f>
        <v>#DIV/0!</v>
      </c>
      <c r="AW26" s="110" t="e">
        <f t="shared" ref="AW26:AW32" si="144">AA26/AN26*100</f>
        <v>#DIV/0!</v>
      </c>
      <c r="AX26" s="110" t="e">
        <f t="shared" ref="AX26:AX32" si="145">AD26/AN26*100</f>
        <v>#DIV/0!</v>
      </c>
      <c r="AY26" s="110" t="e">
        <f t="shared" ref="AY26:AY32" si="146">AG26/AN26*100</f>
        <v>#DIV/0!</v>
      </c>
      <c r="AZ26" s="110" t="e">
        <f t="shared" ref="AZ26:AZ32" si="147">AJ26/AN26*100</f>
        <v>#DIV/0!</v>
      </c>
    </row>
    <row r="27" spans="1:52" s="3" customFormat="1" ht="20.25" customHeight="1">
      <c r="A27" s="269" t="s">
        <v>275</v>
      </c>
      <c r="B27" s="83">
        <f>COUNTA(B25:B26)</f>
        <v>2</v>
      </c>
      <c r="C27" s="83">
        <f>C24</f>
        <v>1245</v>
      </c>
      <c r="D27" s="86">
        <f>MIN(D25:D26)</f>
        <v>45782</v>
      </c>
      <c r="E27" s="86">
        <f>MAX(E25:E26)</f>
        <v>45808</v>
      </c>
      <c r="F27" s="83">
        <f>F24</f>
        <v>545</v>
      </c>
      <c r="G27" s="83">
        <f>G24</f>
        <v>0</v>
      </c>
      <c r="H27" s="83">
        <f>H24</f>
        <v>545</v>
      </c>
      <c r="I27" s="83">
        <f>I24</f>
        <v>22</v>
      </c>
      <c r="J27" s="83">
        <f>J24</f>
        <v>0</v>
      </c>
      <c r="K27" s="83">
        <f>K24</f>
        <v>567</v>
      </c>
      <c r="L27" s="83">
        <f>L24</f>
        <v>0</v>
      </c>
      <c r="M27" s="83">
        <f>M24</f>
        <v>0</v>
      </c>
      <c r="N27" s="83">
        <f>N24</f>
        <v>567</v>
      </c>
      <c r="O27" s="83">
        <f>O24</f>
        <v>0</v>
      </c>
      <c r="P27" s="83">
        <f>P24</f>
        <v>0</v>
      </c>
      <c r="Q27" s="83">
        <f>Q24</f>
        <v>0</v>
      </c>
      <c r="R27" s="83">
        <f>R24</f>
        <v>0</v>
      </c>
      <c r="S27" s="83">
        <f>S24</f>
        <v>0</v>
      </c>
      <c r="T27" s="83">
        <f>T24</f>
        <v>1</v>
      </c>
      <c r="U27" s="83">
        <f>U24</f>
        <v>0</v>
      </c>
      <c r="V27" s="83">
        <f>V24</f>
        <v>134</v>
      </c>
      <c r="W27" s="83">
        <f>W24</f>
        <v>83</v>
      </c>
      <c r="X27" s="83">
        <f>X24</f>
        <v>0</v>
      </c>
      <c r="Y27" s="83">
        <f>Y24</f>
        <v>1</v>
      </c>
      <c r="Z27" s="83">
        <f>Z24</f>
        <v>28</v>
      </c>
      <c r="AA27" s="83">
        <f>AA24</f>
        <v>0</v>
      </c>
      <c r="AB27" s="83">
        <f>AB24</f>
        <v>158</v>
      </c>
      <c r="AC27" s="83">
        <f>AC24</f>
        <v>59</v>
      </c>
      <c r="AD27" s="83">
        <f>AD24</f>
        <v>0</v>
      </c>
      <c r="AE27" s="83">
        <f>AE24</f>
        <v>317</v>
      </c>
      <c r="AF27" s="83">
        <f>AF24</f>
        <v>218</v>
      </c>
      <c r="AG27" s="83">
        <f>AG24</f>
        <v>0</v>
      </c>
      <c r="AH27" s="83">
        <f>AH24</f>
        <v>0</v>
      </c>
      <c r="AI27" s="83">
        <f>AI24</f>
        <v>0</v>
      </c>
      <c r="AJ27" s="83">
        <f>AJ24</f>
        <v>0</v>
      </c>
      <c r="AK27" s="83">
        <f>P27+S27+V27+Y27+AB27+AE27+AH27</f>
        <v>610</v>
      </c>
      <c r="AL27" s="83">
        <f t="shared" si="133"/>
        <v>389</v>
      </c>
      <c r="AM27" s="83">
        <f>AK27+AL27</f>
        <v>999</v>
      </c>
      <c r="AN27" s="83">
        <f>R27+U27+X27+AA27+AD27+AG27+AJ27</f>
        <v>0</v>
      </c>
      <c r="AO27" s="190">
        <f t="shared" si="136"/>
        <v>0</v>
      </c>
      <c r="AP27" s="190">
        <f t="shared" si="137"/>
        <v>0</v>
      </c>
      <c r="AQ27" s="190">
        <f t="shared" si="138"/>
        <v>0</v>
      </c>
      <c r="AR27" s="85">
        <f t="shared" si="139"/>
        <v>61.061061061061061</v>
      </c>
      <c r="AS27" s="85">
        <f t="shared" si="140"/>
        <v>38.938938938938939</v>
      </c>
      <c r="AT27" s="85" t="e">
        <f t="shared" si="141"/>
        <v>#DIV/0!</v>
      </c>
      <c r="AU27" s="85" t="e">
        <f t="shared" si="142"/>
        <v>#DIV/0!</v>
      </c>
      <c r="AV27" s="85" t="e">
        <f t="shared" si="143"/>
        <v>#DIV/0!</v>
      </c>
      <c r="AW27" s="85" t="e">
        <f t="shared" si="144"/>
        <v>#DIV/0!</v>
      </c>
      <c r="AX27" s="85" t="e">
        <f t="shared" si="145"/>
        <v>#DIV/0!</v>
      </c>
      <c r="AY27" s="85" t="e">
        <f t="shared" si="146"/>
        <v>#DIV/0!</v>
      </c>
      <c r="AZ27" s="85" t="e">
        <f t="shared" si="147"/>
        <v>#DIV/0!</v>
      </c>
    </row>
    <row r="28" spans="1:52" s="3" customFormat="1" ht="20.25" customHeight="1">
      <c r="A28" s="445" t="s">
        <v>42</v>
      </c>
      <c r="B28" s="83"/>
      <c r="C28" s="83"/>
      <c r="D28" s="86"/>
      <c r="E28" s="86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190"/>
      <c r="AP28" s="190"/>
      <c r="AQ28" s="190"/>
      <c r="AR28" s="85"/>
      <c r="AS28" s="85"/>
      <c r="AT28" s="85"/>
      <c r="AU28" s="85"/>
      <c r="AV28" s="85"/>
      <c r="AW28" s="85"/>
      <c r="AX28" s="85"/>
      <c r="AY28" s="85"/>
      <c r="AZ28" s="85"/>
    </row>
    <row r="29" spans="1:52" s="3" customFormat="1" ht="20.25" customHeight="1">
      <c r="A29" s="445" t="s">
        <v>43</v>
      </c>
      <c r="B29" s="83"/>
      <c r="C29" s="83"/>
      <c r="D29" s="86"/>
      <c r="E29" s="86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190"/>
      <c r="AP29" s="190"/>
      <c r="AQ29" s="190"/>
      <c r="AR29" s="85"/>
      <c r="AS29" s="85"/>
      <c r="AT29" s="85"/>
      <c r="AU29" s="85"/>
      <c r="AV29" s="85"/>
      <c r="AW29" s="85"/>
      <c r="AX29" s="85"/>
      <c r="AY29" s="85"/>
      <c r="AZ29" s="85"/>
    </row>
    <row r="30" spans="1:52" s="3" customFormat="1" ht="20.25" customHeight="1">
      <c r="A30" s="445" t="s">
        <v>53</v>
      </c>
      <c r="B30" s="83"/>
      <c r="C30" s="83"/>
      <c r="D30" s="86"/>
      <c r="E30" s="86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190"/>
      <c r="AP30" s="190"/>
      <c r="AQ30" s="190"/>
      <c r="AR30" s="85"/>
      <c r="AS30" s="85"/>
      <c r="AT30" s="85"/>
      <c r="AU30" s="85"/>
      <c r="AV30" s="85"/>
      <c r="AW30" s="85"/>
      <c r="AX30" s="85"/>
      <c r="AY30" s="85"/>
      <c r="AZ30" s="85"/>
    </row>
    <row r="31" spans="1:52" s="3" customFormat="1" ht="20.25" customHeight="1">
      <c r="A31" s="445" t="s">
        <v>54</v>
      </c>
      <c r="B31" s="83"/>
      <c r="C31" s="83"/>
      <c r="D31" s="86"/>
      <c r="E31" s="86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190"/>
      <c r="AP31" s="190"/>
      <c r="AQ31" s="190"/>
      <c r="AR31" s="85"/>
      <c r="AS31" s="85"/>
      <c r="AT31" s="85"/>
      <c r="AU31" s="85"/>
      <c r="AV31" s="85"/>
      <c r="AW31" s="85"/>
      <c r="AX31" s="85"/>
      <c r="AY31" s="85"/>
      <c r="AZ31" s="85"/>
    </row>
    <row r="32" spans="1:52" s="3" customFormat="1" ht="20.25" customHeight="1">
      <c r="A32" s="409" t="s">
        <v>48</v>
      </c>
      <c r="B32" s="77" t="s">
        <v>25</v>
      </c>
      <c r="C32" s="77">
        <f>SUM(C33:C34)</f>
        <v>1612</v>
      </c>
      <c r="D32" s="91">
        <f>MIN(D33:D34)</f>
        <v>45945</v>
      </c>
      <c r="E32" s="91">
        <f>MAX(E33:E34)</f>
        <v>45959</v>
      </c>
      <c r="F32" s="77">
        <f>SUM(F33:F34)</f>
        <v>676</v>
      </c>
      <c r="G32" s="77">
        <f t="shared" ref="G32:AJ32" si="148">SUM(G33:G34)</f>
        <v>0</v>
      </c>
      <c r="H32" s="77">
        <f t="shared" si="148"/>
        <v>676</v>
      </c>
      <c r="I32" s="77">
        <f t="shared" si="148"/>
        <v>26</v>
      </c>
      <c r="J32" s="77">
        <f t="shared" si="148"/>
        <v>0</v>
      </c>
      <c r="K32" s="77">
        <f t="shared" si="148"/>
        <v>702</v>
      </c>
      <c r="L32" s="77">
        <f t="shared" si="148"/>
        <v>0</v>
      </c>
      <c r="M32" s="77">
        <f t="shared" si="148"/>
        <v>0</v>
      </c>
      <c r="N32" s="77">
        <f t="shared" si="148"/>
        <v>676</v>
      </c>
      <c r="O32" s="77">
        <f t="shared" si="148"/>
        <v>0</v>
      </c>
      <c r="P32" s="77">
        <f t="shared" si="148"/>
        <v>0</v>
      </c>
      <c r="Q32" s="77">
        <f t="shared" si="148"/>
        <v>2</v>
      </c>
      <c r="R32" s="77">
        <f t="shared" si="148"/>
        <v>0</v>
      </c>
      <c r="S32" s="77">
        <f t="shared" si="148"/>
        <v>0</v>
      </c>
      <c r="T32" s="77">
        <f t="shared" si="148"/>
        <v>0</v>
      </c>
      <c r="U32" s="77">
        <f t="shared" si="148"/>
        <v>0</v>
      </c>
      <c r="V32" s="77">
        <f t="shared" si="148"/>
        <v>48</v>
      </c>
      <c r="W32" s="77">
        <f t="shared" si="148"/>
        <v>20</v>
      </c>
      <c r="X32" s="77">
        <f t="shared" si="148"/>
        <v>0</v>
      </c>
      <c r="Y32" s="77">
        <f t="shared" si="148"/>
        <v>12</v>
      </c>
      <c r="Z32" s="77">
        <f t="shared" si="148"/>
        <v>40</v>
      </c>
      <c r="AA32" s="77">
        <f t="shared" si="148"/>
        <v>0</v>
      </c>
      <c r="AB32" s="77">
        <f t="shared" si="148"/>
        <v>124</v>
      </c>
      <c r="AC32" s="77">
        <f t="shared" si="148"/>
        <v>72</v>
      </c>
      <c r="AD32" s="77">
        <f t="shared" si="148"/>
        <v>0</v>
      </c>
      <c r="AE32" s="77">
        <f t="shared" si="148"/>
        <v>282</v>
      </c>
      <c r="AF32" s="77">
        <f t="shared" si="148"/>
        <v>98</v>
      </c>
      <c r="AG32" s="77">
        <f t="shared" si="148"/>
        <v>0</v>
      </c>
      <c r="AH32" s="77">
        <f t="shared" si="148"/>
        <v>0</v>
      </c>
      <c r="AI32" s="77">
        <f t="shared" si="148"/>
        <v>0</v>
      </c>
      <c r="AJ32" s="77">
        <f t="shared" si="148"/>
        <v>0</v>
      </c>
      <c r="AK32" s="77">
        <f>P32+S32+V32+Y32+AB32+AE32+AH32</f>
        <v>466</v>
      </c>
      <c r="AL32" s="77">
        <f t="shared" si="133"/>
        <v>232</v>
      </c>
      <c r="AM32" s="77">
        <f t="shared" ref="AM32" si="149">AK32+AL32</f>
        <v>698</v>
      </c>
      <c r="AN32" s="77">
        <f>R32+U32+X32+AA32+AD32+AG32+AJ32</f>
        <v>0</v>
      </c>
      <c r="AO32" s="188">
        <f t="shared" si="136"/>
        <v>0</v>
      </c>
      <c r="AP32" s="188">
        <f t="shared" si="137"/>
        <v>0</v>
      </c>
      <c r="AQ32" s="188">
        <f t="shared" si="138"/>
        <v>0</v>
      </c>
      <c r="AR32" s="88">
        <f t="shared" si="139"/>
        <v>66.762177650429805</v>
      </c>
      <c r="AS32" s="88">
        <f t="shared" si="140"/>
        <v>33.237822349570202</v>
      </c>
      <c r="AT32" s="88" t="e">
        <f t="shared" si="141"/>
        <v>#DIV/0!</v>
      </c>
      <c r="AU32" s="88" t="e">
        <f t="shared" si="142"/>
        <v>#DIV/0!</v>
      </c>
      <c r="AV32" s="88" t="e">
        <f t="shared" si="143"/>
        <v>#DIV/0!</v>
      </c>
      <c r="AW32" s="88" t="e">
        <f t="shared" si="144"/>
        <v>#DIV/0!</v>
      </c>
      <c r="AX32" s="88" t="e">
        <f t="shared" si="145"/>
        <v>#DIV/0!</v>
      </c>
      <c r="AY32" s="88" t="e">
        <f t="shared" si="146"/>
        <v>#DIV/0!</v>
      </c>
      <c r="AZ32" s="88" t="e">
        <f t="shared" si="147"/>
        <v>#DIV/0!</v>
      </c>
    </row>
    <row r="33" spans="1:52" s="238" customFormat="1" ht="20.25" customHeight="1">
      <c r="A33" s="410"/>
      <c r="B33" s="202" t="s">
        <v>127</v>
      </c>
      <c r="C33" s="261">
        <v>806</v>
      </c>
      <c r="D33" s="239">
        <v>45945</v>
      </c>
      <c r="E33" s="239">
        <v>45959</v>
      </c>
      <c r="F33" s="261">
        <v>338</v>
      </c>
      <c r="G33" s="261">
        <v>0</v>
      </c>
      <c r="H33" s="261">
        <f t="shared" si="72"/>
        <v>338</v>
      </c>
      <c r="I33" s="261">
        <v>13</v>
      </c>
      <c r="J33" s="261">
        <v>0</v>
      </c>
      <c r="K33" s="261">
        <f t="shared" si="73"/>
        <v>351</v>
      </c>
      <c r="L33" s="261">
        <v>0</v>
      </c>
      <c r="M33" s="261">
        <v>0</v>
      </c>
      <c r="N33" s="261">
        <v>338</v>
      </c>
      <c r="O33" s="261">
        <v>0</v>
      </c>
      <c r="P33" s="261">
        <v>0</v>
      </c>
      <c r="Q33" s="261">
        <v>1</v>
      </c>
      <c r="R33" s="261">
        <v>0</v>
      </c>
      <c r="S33" s="261">
        <v>0</v>
      </c>
      <c r="T33" s="261">
        <v>0</v>
      </c>
      <c r="U33" s="261">
        <v>0</v>
      </c>
      <c r="V33" s="261">
        <v>24</v>
      </c>
      <c r="W33" s="261">
        <v>10</v>
      </c>
      <c r="X33" s="261">
        <v>0</v>
      </c>
      <c r="Y33" s="261">
        <v>6</v>
      </c>
      <c r="Z33" s="261">
        <v>20</v>
      </c>
      <c r="AA33" s="261">
        <v>0</v>
      </c>
      <c r="AB33" s="261">
        <v>62</v>
      </c>
      <c r="AC33" s="261">
        <v>36</v>
      </c>
      <c r="AD33" s="261">
        <v>0</v>
      </c>
      <c r="AE33" s="261">
        <v>141</v>
      </c>
      <c r="AF33" s="261">
        <v>49</v>
      </c>
      <c r="AG33" s="261">
        <v>0</v>
      </c>
      <c r="AH33" s="261">
        <v>0</v>
      </c>
      <c r="AI33" s="261">
        <v>0</v>
      </c>
      <c r="AJ33" s="261">
        <v>0</v>
      </c>
      <c r="AK33" s="109">
        <f t="shared" ref="AK33" si="150">P33+S33+V33+Y33+AB33+AE33+AH33</f>
        <v>233</v>
      </c>
      <c r="AL33" s="109">
        <f t="shared" ref="AL33" si="151">Q33+T33+W33+Z33+AC33+AF33+AI33</f>
        <v>116</v>
      </c>
      <c r="AM33" s="109">
        <f t="shared" ref="AM33" si="152">AK33+AL33</f>
        <v>349</v>
      </c>
      <c r="AN33" s="109">
        <f t="shared" ref="AN33" si="153">R33+U33+X33+AA33+AD33+AG33+AJ33</f>
        <v>0</v>
      </c>
      <c r="AO33" s="110">
        <f t="shared" ref="AO33" si="154">O33/H33*100</f>
        <v>0</v>
      </c>
      <c r="AP33" s="110">
        <f t="shared" ref="AP33" si="155">AN33/H33*100</f>
        <v>0</v>
      </c>
      <c r="AQ33" s="110">
        <f t="shared" ref="AQ33" si="156">AN33/AM33*100</f>
        <v>0</v>
      </c>
      <c r="AR33" s="110">
        <f t="shared" ref="AR33" si="157">AK33/AM33*100</f>
        <v>66.762177650429805</v>
      </c>
      <c r="AS33" s="110">
        <f t="shared" ref="AS33" si="158">AL33/AM33*100</f>
        <v>33.237822349570202</v>
      </c>
      <c r="AT33" s="110" t="e">
        <f t="shared" ref="AT33" si="159">R33/AN33*100</f>
        <v>#DIV/0!</v>
      </c>
      <c r="AU33" s="110" t="e">
        <f t="shared" ref="AU33" si="160">U33/AN33*100</f>
        <v>#DIV/0!</v>
      </c>
      <c r="AV33" s="110" t="e">
        <f t="shared" ref="AV33" si="161">X33/AN33*100</f>
        <v>#DIV/0!</v>
      </c>
      <c r="AW33" s="110" t="e">
        <f t="shared" ref="AW33" si="162">AA33/AN33*100</f>
        <v>#DIV/0!</v>
      </c>
      <c r="AX33" s="110" t="e">
        <f t="shared" ref="AX33" si="163">AD33/AN33*100</f>
        <v>#DIV/0!</v>
      </c>
      <c r="AY33" s="110" t="e">
        <f t="shared" ref="AY33" si="164">AG33/AN33*100</f>
        <v>#DIV/0!</v>
      </c>
      <c r="AZ33" s="110" t="e">
        <f t="shared" ref="AZ33" si="165">AJ33/AN33*100</f>
        <v>#DIV/0!</v>
      </c>
    </row>
    <row r="34" spans="1:52" s="3" customFormat="1" ht="20.25" customHeight="1">
      <c r="A34" s="269" t="s">
        <v>291</v>
      </c>
      <c r="B34" s="83">
        <f>COUNTA(B33)</f>
        <v>1</v>
      </c>
      <c r="C34" s="83">
        <f>C33</f>
        <v>806</v>
      </c>
      <c r="D34" s="86">
        <f>D33</f>
        <v>45945</v>
      </c>
      <c r="E34" s="86">
        <f>MAX(E33)</f>
        <v>45959</v>
      </c>
      <c r="F34" s="83">
        <f>F33</f>
        <v>338</v>
      </c>
      <c r="G34" s="83">
        <f t="shared" ref="G34:AJ34" si="166">G33</f>
        <v>0</v>
      </c>
      <c r="H34" s="83">
        <f t="shared" si="166"/>
        <v>338</v>
      </c>
      <c r="I34" s="83">
        <f t="shared" si="166"/>
        <v>13</v>
      </c>
      <c r="J34" s="83">
        <f t="shared" si="166"/>
        <v>0</v>
      </c>
      <c r="K34" s="83">
        <f t="shared" si="166"/>
        <v>351</v>
      </c>
      <c r="L34" s="83">
        <f t="shared" si="166"/>
        <v>0</v>
      </c>
      <c r="M34" s="83">
        <f t="shared" si="166"/>
        <v>0</v>
      </c>
      <c r="N34" s="83">
        <f t="shared" si="166"/>
        <v>338</v>
      </c>
      <c r="O34" s="83">
        <f t="shared" si="166"/>
        <v>0</v>
      </c>
      <c r="P34" s="83">
        <f t="shared" si="166"/>
        <v>0</v>
      </c>
      <c r="Q34" s="83">
        <f t="shared" si="166"/>
        <v>1</v>
      </c>
      <c r="R34" s="83">
        <f t="shared" si="166"/>
        <v>0</v>
      </c>
      <c r="S34" s="83">
        <f t="shared" si="166"/>
        <v>0</v>
      </c>
      <c r="T34" s="83">
        <f t="shared" si="166"/>
        <v>0</v>
      </c>
      <c r="U34" s="83">
        <f t="shared" si="166"/>
        <v>0</v>
      </c>
      <c r="V34" s="83">
        <f t="shared" si="166"/>
        <v>24</v>
      </c>
      <c r="W34" s="83">
        <f t="shared" si="166"/>
        <v>10</v>
      </c>
      <c r="X34" s="83">
        <f t="shared" si="166"/>
        <v>0</v>
      </c>
      <c r="Y34" s="83">
        <f t="shared" si="166"/>
        <v>6</v>
      </c>
      <c r="Z34" s="83">
        <f t="shared" si="166"/>
        <v>20</v>
      </c>
      <c r="AA34" s="83">
        <f t="shared" si="166"/>
        <v>0</v>
      </c>
      <c r="AB34" s="83">
        <f t="shared" si="166"/>
        <v>62</v>
      </c>
      <c r="AC34" s="83">
        <f t="shared" si="166"/>
        <v>36</v>
      </c>
      <c r="AD34" s="83">
        <f t="shared" si="166"/>
        <v>0</v>
      </c>
      <c r="AE34" s="83">
        <f t="shared" si="166"/>
        <v>141</v>
      </c>
      <c r="AF34" s="83">
        <f t="shared" si="166"/>
        <v>49</v>
      </c>
      <c r="AG34" s="83">
        <f t="shared" si="166"/>
        <v>0</v>
      </c>
      <c r="AH34" s="83">
        <f t="shared" si="166"/>
        <v>0</v>
      </c>
      <c r="AI34" s="83">
        <f t="shared" si="166"/>
        <v>0</v>
      </c>
      <c r="AJ34" s="83">
        <f t="shared" si="166"/>
        <v>0</v>
      </c>
      <c r="AK34" s="83">
        <f>P34+S34+V34+Y34+AB34+AE34+AH34</f>
        <v>233</v>
      </c>
      <c r="AL34" s="83">
        <f t="shared" ref="AL34" si="167">Q34+T34+W34+Z34+AC34+AF34+AI34</f>
        <v>116</v>
      </c>
      <c r="AM34" s="83">
        <f>AK34+AL34</f>
        <v>349</v>
      </c>
      <c r="AN34" s="83">
        <f>R34+U34+X34+AA34+AD34+AG34+AJ34</f>
        <v>0</v>
      </c>
      <c r="AO34" s="190">
        <f t="shared" ref="AO34" si="168">O34/H34*100</f>
        <v>0</v>
      </c>
      <c r="AP34" s="190">
        <f t="shared" ref="AP34" si="169">AN34/H34*100</f>
        <v>0</v>
      </c>
      <c r="AQ34" s="190">
        <f t="shared" ref="AQ34" si="170">AN34/AM34*100</f>
        <v>0</v>
      </c>
      <c r="AR34" s="85">
        <f t="shared" ref="AR34" si="171">AK34/AM34*100</f>
        <v>66.762177650429805</v>
      </c>
      <c r="AS34" s="85">
        <f t="shared" ref="AS34" si="172">AL34/AM34*100</f>
        <v>33.237822349570202</v>
      </c>
      <c r="AT34" s="85" t="e">
        <f t="shared" ref="AT34" si="173">R34/AN34*100</f>
        <v>#DIV/0!</v>
      </c>
      <c r="AU34" s="85" t="e">
        <f t="shared" ref="AU34" si="174">U34/AN34*100</f>
        <v>#DIV/0!</v>
      </c>
      <c r="AV34" s="85" t="e">
        <f t="shared" ref="AV34" si="175">X34/AN34*100</f>
        <v>#DIV/0!</v>
      </c>
      <c r="AW34" s="85" t="e">
        <f t="shared" ref="AW34" si="176">AA34/AN34*100</f>
        <v>#DIV/0!</v>
      </c>
      <c r="AX34" s="85" t="e">
        <f t="shared" ref="AX34" si="177">AD34/AN34*100</f>
        <v>#DIV/0!</v>
      </c>
      <c r="AY34" s="85" t="e">
        <f t="shared" ref="AY34" si="178">AG34/AN34*100</f>
        <v>#DIV/0!</v>
      </c>
      <c r="AZ34" s="85" t="e">
        <f t="shared" ref="AZ34" si="179">AJ34/AN34*100</f>
        <v>#DIV/0!</v>
      </c>
    </row>
    <row r="35" spans="1:52" s="3" customFormat="1" ht="20.25" customHeight="1">
      <c r="A35" s="411" t="s">
        <v>48</v>
      </c>
      <c r="B35" s="77" t="s">
        <v>25</v>
      </c>
      <c r="C35" s="77">
        <f>C36</f>
        <v>91</v>
      </c>
      <c r="D35" s="91">
        <f>D36</f>
        <v>45988</v>
      </c>
      <c r="E35" s="91">
        <f>E36</f>
        <v>45988</v>
      </c>
      <c r="F35" s="77">
        <f>F36</f>
        <v>52</v>
      </c>
      <c r="G35" s="77">
        <f t="shared" ref="G35:AJ35" si="180">G36</f>
        <v>0</v>
      </c>
      <c r="H35" s="77">
        <f t="shared" si="180"/>
        <v>52</v>
      </c>
      <c r="I35" s="77">
        <f t="shared" si="180"/>
        <v>1</v>
      </c>
      <c r="J35" s="77">
        <f t="shared" si="180"/>
        <v>0</v>
      </c>
      <c r="K35" s="77">
        <f t="shared" si="180"/>
        <v>53</v>
      </c>
      <c r="L35" s="77">
        <f t="shared" si="180"/>
        <v>0</v>
      </c>
      <c r="M35" s="77">
        <f t="shared" si="180"/>
        <v>0</v>
      </c>
      <c r="N35" s="77">
        <f t="shared" si="180"/>
        <v>52</v>
      </c>
      <c r="O35" s="77">
        <f t="shared" si="180"/>
        <v>0</v>
      </c>
      <c r="P35" s="77">
        <f t="shared" si="180"/>
        <v>0</v>
      </c>
      <c r="Q35" s="77">
        <f t="shared" si="180"/>
        <v>0</v>
      </c>
      <c r="R35" s="77">
        <f t="shared" si="180"/>
        <v>0</v>
      </c>
      <c r="S35" s="77">
        <f t="shared" si="180"/>
        <v>7</v>
      </c>
      <c r="T35" s="77">
        <f t="shared" si="180"/>
        <v>0</v>
      </c>
      <c r="U35" s="77">
        <f t="shared" si="180"/>
        <v>0</v>
      </c>
      <c r="V35" s="77">
        <f t="shared" si="180"/>
        <v>9</v>
      </c>
      <c r="W35" s="77">
        <f t="shared" si="180"/>
        <v>5</v>
      </c>
      <c r="X35" s="77">
        <f t="shared" si="180"/>
        <v>0</v>
      </c>
      <c r="Y35" s="77">
        <f t="shared" si="180"/>
        <v>0</v>
      </c>
      <c r="Z35" s="77">
        <f t="shared" si="180"/>
        <v>0</v>
      </c>
      <c r="AA35" s="77">
        <f t="shared" si="180"/>
        <v>0</v>
      </c>
      <c r="AB35" s="77">
        <f t="shared" si="180"/>
        <v>1</v>
      </c>
      <c r="AC35" s="77">
        <f t="shared" si="180"/>
        <v>0</v>
      </c>
      <c r="AD35" s="77">
        <f t="shared" si="180"/>
        <v>0</v>
      </c>
      <c r="AE35" s="77">
        <f t="shared" si="180"/>
        <v>15</v>
      </c>
      <c r="AF35" s="77">
        <f t="shared" si="180"/>
        <v>4</v>
      </c>
      <c r="AG35" s="77">
        <f t="shared" si="180"/>
        <v>0</v>
      </c>
      <c r="AH35" s="77">
        <f t="shared" si="180"/>
        <v>0</v>
      </c>
      <c r="AI35" s="77">
        <f t="shared" si="180"/>
        <v>0</v>
      </c>
      <c r="AJ35" s="77">
        <f t="shared" si="180"/>
        <v>0</v>
      </c>
      <c r="AK35" s="77">
        <f>P35+S35+V35+Y35+AB35+AE35+AH35</f>
        <v>32</v>
      </c>
      <c r="AL35" s="77">
        <f t="shared" ref="AL35:AL37" si="181">Q35+T35+W35+Z35+AC35+AF35+AI35</f>
        <v>9</v>
      </c>
      <c r="AM35" s="77">
        <f t="shared" ref="AM35:AM37" si="182">AK35+AL35</f>
        <v>41</v>
      </c>
      <c r="AN35" s="77">
        <f>R35+U35+X35+AA35+AD35+AG35+AJ35</f>
        <v>0</v>
      </c>
      <c r="AO35" s="188">
        <f t="shared" ref="AO35:AO37" si="183">O35/H35*100</f>
        <v>0</v>
      </c>
      <c r="AP35" s="188">
        <f t="shared" ref="AP35:AP37" si="184">AN35/H35*100</f>
        <v>0</v>
      </c>
      <c r="AQ35" s="188">
        <f t="shared" ref="AQ35:AQ37" si="185">AN35/AM35*100</f>
        <v>0</v>
      </c>
      <c r="AR35" s="88">
        <f t="shared" ref="AR35:AR37" si="186">AK35/AM35*100</f>
        <v>78.048780487804876</v>
      </c>
      <c r="AS35" s="88">
        <f t="shared" ref="AS35:AS37" si="187">AL35/AM35*100</f>
        <v>21.951219512195124</v>
      </c>
      <c r="AT35" s="88" t="e">
        <f t="shared" ref="AT35:AT37" si="188">R35/AN35*100</f>
        <v>#DIV/0!</v>
      </c>
      <c r="AU35" s="88" t="e">
        <f t="shared" ref="AU35:AU37" si="189">U35/AN35*100</f>
        <v>#DIV/0!</v>
      </c>
      <c r="AV35" s="88" t="e">
        <f t="shared" ref="AV35:AV37" si="190">X35/AN35*100</f>
        <v>#DIV/0!</v>
      </c>
      <c r="AW35" s="88" t="e">
        <f t="shared" ref="AW35:AW37" si="191">AA35/AN35*100</f>
        <v>#DIV/0!</v>
      </c>
      <c r="AX35" s="88" t="e">
        <f t="shared" ref="AX35:AX37" si="192">AD35/AN35*100</f>
        <v>#DIV/0!</v>
      </c>
      <c r="AY35" s="88" t="e">
        <f t="shared" ref="AY35:AY37" si="193">AG35/AN35*100</f>
        <v>#DIV/0!</v>
      </c>
      <c r="AZ35" s="88" t="e">
        <f t="shared" ref="AZ35:AZ37" si="194">AJ35/AN35*100</f>
        <v>#DIV/0!</v>
      </c>
    </row>
    <row r="36" spans="1:52" s="209" customFormat="1" ht="20.25" customHeight="1">
      <c r="A36" s="412"/>
      <c r="B36" s="296" t="s">
        <v>131</v>
      </c>
      <c r="C36" s="261">
        <v>91</v>
      </c>
      <c r="D36" s="239">
        <v>45988</v>
      </c>
      <c r="E36" s="239">
        <v>45988</v>
      </c>
      <c r="F36" s="261">
        <v>52</v>
      </c>
      <c r="G36" s="261">
        <v>0</v>
      </c>
      <c r="H36" s="261">
        <f t="shared" ref="H36" si="195">F36+G36</f>
        <v>52</v>
      </c>
      <c r="I36" s="261">
        <v>1</v>
      </c>
      <c r="J36" s="261">
        <v>0</v>
      </c>
      <c r="K36" s="261">
        <f t="shared" ref="K36" si="196">H36+I36+J36</f>
        <v>53</v>
      </c>
      <c r="L36" s="261">
        <v>0</v>
      </c>
      <c r="M36" s="261">
        <v>0</v>
      </c>
      <c r="N36" s="261">
        <v>52</v>
      </c>
      <c r="O36" s="261">
        <v>0</v>
      </c>
      <c r="P36" s="261">
        <v>0</v>
      </c>
      <c r="Q36" s="261">
        <v>0</v>
      </c>
      <c r="R36" s="261">
        <v>0</v>
      </c>
      <c r="S36" s="261">
        <v>7</v>
      </c>
      <c r="T36" s="261">
        <v>0</v>
      </c>
      <c r="U36" s="261">
        <v>0</v>
      </c>
      <c r="V36" s="261">
        <v>9</v>
      </c>
      <c r="W36" s="261">
        <v>5</v>
      </c>
      <c r="X36" s="261">
        <v>0</v>
      </c>
      <c r="Y36" s="261">
        <v>0</v>
      </c>
      <c r="Z36" s="261">
        <v>0</v>
      </c>
      <c r="AA36" s="261">
        <v>0</v>
      </c>
      <c r="AB36" s="261">
        <v>1</v>
      </c>
      <c r="AC36" s="261">
        <v>0</v>
      </c>
      <c r="AD36" s="261">
        <v>0</v>
      </c>
      <c r="AE36" s="261">
        <v>15</v>
      </c>
      <c r="AF36" s="261">
        <v>4</v>
      </c>
      <c r="AG36" s="261">
        <v>0</v>
      </c>
      <c r="AH36" s="261">
        <v>0</v>
      </c>
      <c r="AI36" s="261">
        <v>0</v>
      </c>
      <c r="AJ36" s="261">
        <v>0</v>
      </c>
      <c r="AK36" s="109">
        <f t="shared" ref="AK36" si="197">P36+S36+V36+Y36+AB36+AE36+AH36</f>
        <v>32</v>
      </c>
      <c r="AL36" s="109">
        <f t="shared" si="181"/>
        <v>9</v>
      </c>
      <c r="AM36" s="109">
        <f t="shared" si="182"/>
        <v>41</v>
      </c>
      <c r="AN36" s="109">
        <f t="shared" ref="AN36" si="198">R36+U36+X36+AA36+AD36+AG36+AJ36</f>
        <v>0</v>
      </c>
      <c r="AO36" s="110">
        <f t="shared" si="183"/>
        <v>0</v>
      </c>
      <c r="AP36" s="110">
        <f t="shared" si="184"/>
        <v>0</v>
      </c>
      <c r="AQ36" s="110">
        <f t="shared" si="185"/>
        <v>0</v>
      </c>
      <c r="AR36" s="110">
        <f t="shared" si="186"/>
        <v>78.048780487804876</v>
      </c>
      <c r="AS36" s="110">
        <f t="shared" si="187"/>
        <v>21.951219512195124</v>
      </c>
      <c r="AT36" s="110" t="e">
        <f t="shared" si="188"/>
        <v>#DIV/0!</v>
      </c>
      <c r="AU36" s="110" t="e">
        <f t="shared" si="189"/>
        <v>#DIV/0!</v>
      </c>
      <c r="AV36" s="110" t="e">
        <f t="shared" si="190"/>
        <v>#DIV/0!</v>
      </c>
      <c r="AW36" s="110" t="e">
        <f t="shared" si="191"/>
        <v>#DIV/0!</v>
      </c>
      <c r="AX36" s="110" t="e">
        <f t="shared" si="192"/>
        <v>#DIV/0!</v>
      </c>
      <c r="AY36" s="110" t="e">
        <f t="shared" si="193"/>
        <v>#DIV/0!</v>
      </c>
      <c r="AZ36" s="110" t="e">
        <f t="shared" si="194"/>
        <v>#DIV/0!</v>
      </c>
    </row>
    <row r="37" spans="1:52" s="209" customFormat="1" ht="20.25" customHeight="1">
      <c r="A37" s="297" t="s">
        <v>301</v>
      </c>
      <c r="B37" s="296" t="s">
        <v>300</v>
      </c>
      <c r="C37" s="261">
        <v>116</v>
      </c>
      <c r="D37" s="239">
        <v>45979</v>
      </c>
      <c r="E37" s="239">
        <v>45981</v>
      </c>
      <c r="F37" s="261">
        <v>102</v>
      </c>
      <c r="G37" s="261">
        <v>0</v>
      </c>
      <c r="H37" s="261">
        <f t="shared" ref="H37" si="199">F37+G37</f>
        <v>102</v>
      </c>
      <c r="I37" s="261">
        <v>13</v>
      </c>
      <c r="J37" s="261">
        <v>0</v>
      </c>
      <c r="K37" s="261">
        <f t="shared" ref="K37" si="200">H37+I37+J37</f>
        <v>115</v>
      </c>
      <c r="L37" s="261">
        <v>0</v>
      </c>
      <c r="M37" s="261">
        <v>0</v>
      </c>
      <c r="N37" s="261">
        <v>102</v>
      </c>
      <c r="O37" s="261">
        <v>2</v>
      </c>
      <c r="P37" s="261">
        <v>0</v>
      </c>
      <c r="Q37" s="261">
        <v>0</v>
      </c>
      <c r="R37" s="261">
        <v>0</v>
      </c>
      <c r="S37" s="261">
        <v>0</v>
      </c>
      <c r="T37" s="261">
        <v>0</v>
      </c>
      <c r="U37" s="261">
        <v>0</v>
      </c>
      <c r="V37" s="261">
        <v>59</v>
      </c>
      <c r="W37" s="261">
        <v>46</v>
      </c>
      <c r="X37" s="261">
        <v>1</v>
      </c>
      <c r="Y37" s="261">
        <v>0</v>
      </c>
      <c r="Z37" s="261">
        <v>0</v>
      </c>
      <c r="AA37" s="261">
        <v>0</v>
      </c>
      <c r="AB37" s="261">
        <v>15</v>
      </c>
      <c r="AC37" s="261">
        <v>43</v>
      </c>
      <c r="AD37" s="261">
        <v>1</v>
      </c>
      <c r="AE37" s="261">
        <v>35</v>
      </c>
      <c r="AF37" s="261">
        <v>28</v>
      </c>
      <c r="AG37" s="261">
        <v>0</v>
      </c>
      <c r="AH37" s="261">
        <v>0</v>
      </c>
      <c r="AI37" s="261">
        <v>0</v>
      </c>
      <c r="AJ37" s="261">
        <v>0</v>
      </c>
      <c r="AK37" s="109">
        <f t="shared" ref="AK37" si="201">P37+S37+V37+Y37+AB37+AE37+AH37</f>
        <v>109</v>
      </c>
      <c r="AL37" s="109">
        <f t="shared" si="181"/>
        <v>117</v>
      </c>
      <c r="AM37" s="109">
        <f t="shared" si="182"/>
        <v>226</v>
      </c>
      <c r="AN37" s="109">
        <f t="shared" ref="AN37" si="202">R37+U37+X37+AA37+AD37+AG37+AJ37</f>
        <v>2</v>
      </c>
      <c r="AO37" s="110">
        <f t="shared" si="183"/>
        <v>1.9607843137254901</v>
      </c>
      <c r="AP37" s="110">
        <f t="shared" si="184"/>
        <v>1.9607843137254901</v>
      </c>
      <c r="AQ37" s="110">
        <f t="shared" si="185"/>
        <v>0.88495575221238942</v>
      </c>
      <c r="AR37" s="110">
        <f t="shared" si="186"/>
        <v>48.230088495575217</v>
      </c>
      <c r="AS37" s="110">
        <f t="shared" si="187"/>
        <v>51.769911504424783</v>
      </c>
      <c r="AT37" s="110">
        <f t="shared" si="188"/>
        <v>0</v>
      </c>
      <c r="AU37" s="110">
        <f t="shared" si="189"/>
        <v>0</v>
      </c>
      <c r="AV37" s="110">
        <f t="shared" si="190"/>
        <v>50</v>
      </c>
      <c r="AW37" s="110">
        <f t="shared" si="191"/>
        <v>0</v>
      </c>
      <c r="AX37" s="110">
        <f t="shared" si="192"/>
        <v>50</v>
      </c>
      <c r="AY37" s="110">
        <f t="shared" si="193"/>
        <v>0</v>
      </c>
      <c r="AZ37" s="110">
        <f t="shared" si="194"/>
        <v>0</v>
      </c>
    </row>
    <row r="38" spans="1:52" s="209" customFormat="1" ht="20.25" customHeight="1">
      <c r="A38" s="297" t="s">
        <v>302</v>
      </c>
      <c r="B38" s="296" t="s">
        <v>298</v>
      </c>
      <c r="C38" s="261">
        <v>408</v>
      </c>
      <c r="D38" s="239">
        <v>45973</v>
      </c>
      <c r="E38" s="239">
        <v>45978</v>
      </c>
      <c r="F38" s="261">
        <v>177</v>
      </c>
      <c r="G38" s="261">
        <v>0</v>
      </c>
      <c r="H38" s="261">
        <f t="shared" ref="H38:H39" si="203">F38+G38</f>
        <v>177</v>
      </c>
      <c r="I38" s="261">
        <v>11</v>
      </c>
      <c r="J38" s="261">
        <v>0</v>
      </c>
      <c r="K38" s="261">
        <f t="shared" ref="K38" si="204">H38+I38+J38</f>
        <v>188</v>
      </c>
      <c r="L38" s="261">
        <v>0</v>
      </c>
      <c r="M38" s="261">
        <v>0</v>
      </c>
      <c r="N38" s="261">
        <v>177</v>
      </c>
      <c r="O38" s="261">
        <v>4</v>
      </c>
      <c r="P38" s="261">
        <v>0</v>
      </c>
      <c r="Q38" s="261">
        <v>0</v>
      </c>
      <c r="R38" s="261">
        <v>0</v>
      </c>
      <c r="S38" s="261">
        <v>0</v>
      </c>
      <c r="T38" s="261">
        <v>10</v>
      </c>
      <c r="U38" s="261">
        <v>3</v>
      </c>
      <c r="V38" s="261">
        <v>85</v>
      </c>
      <c r="W38" s="261">
        <v>111</v>
      </c>
      <c r="X38" s="261">
        <v>1</v>
      </c>
      <c r="Y38" s="261">
        <v>0</v>
      </c>
      <c r="Z38" s="261">
        <v>0</v>
      </c>
      <c r="AA38" s="261">
        <v>0</v>
      </c>
      <c r="AB38" s="261">
        <v>11</v>
      </c>
      <c r="AC38" s="261">
        <v>12</v>
      </c>
      <c r="AD38" s="261">
        <v>0</v>
      </c>
      <c r="AE38" s="261">
        <v>102</v>
      </c>
      <c r="AF38" s="261">
        <v>79</v>
      </c>
      <c r="AG38" s="261">
        <v>0</v>
      </c>
      <c r="AH38" s="261">
        <v>0</v>
      </c>
      <c r="AI38" s="261">
        <v>0</v>
      </c>
      <c r="AJ38" s="261">
        <v>0</v>
      </c>
      <c r="AK38" s="109">
        <f t="shared" ref="AK38" si="205">P38+S38+V38+Y38+AB38+AE38+AH38</f>
        <v>198</v>
      </c>
      <c r="AL38" s="109">
        <f t="shared" ref="AL38" si="206">Q38+T38+W38+Z38+AC38+AF38+AI38</f>
        <v>212</v>
      </c>
      <c r="AM38" s="109">
        <f t="shared" ref="AM38" si="207">AK38+AL38</f>
        <v>410</v>
      </c>
      <c r="AN38" s="109">
        <f t="shared" ref="AN38" si="208">R38+U38+X38+AA38+AD38+AG38+AJ38</f>
        <v>4</v>
      </c>
      <c r="AO38" s="110">
        <f t="shared" ref="AO38" si="209">O38/H38*100</f>
        <v>2.2598870056497176</v>
      </c>
      <c r="AP38" s="110">
        <f t="shared" ref="AP38" si="210">AN38/H38*100</f>
        <v>2.2598870056497176</v>
      </c>
      <c r="AQ38" s="110">
        <f t="shared" ref="AQ38" si="211">AN38/AM38*100</f>
        <v>0.97560975609756095</v>
      </c>
      <c r="AR38" s="110">
        <f t="shared" ref="AR38" si="212">AK38/AM38*100</f>
        <v>48.292682926829265</v>
      </c>
      <c r="AS38" s="110">
        <f t="shared" ref="AS38" si="213">AL38/AM38*100</f>
        <v>51.707317073170735</v>
      </c>
      <c r="AT38" s="110">
        <f t="shared" ref="AT38" si="214">R38/AN38*100</f>
        <v>0</v>
      </c>
      <c r="AU38" s="110">
        <f t="shared" ref="AU38" si="215">U38/AN38*100</f>
        <v>75</v>
      </c>
      <c r="AV38" s="110">
        <f t="shared" ref="AV38" si="216">X38/AN38*100</f>
        <v>25</v>
      </c>
      <c r="AW38" s="110">
        <f t="shared" ref="AW38" si="217">AA38/AN38*100</f>
        <v>0</v>
      </c>
      <c r="AX38" s="110">
        <f t="shared" ref="AX38" si="218">AD38/AN38*100</f>
        <v>0</v>
      </c>
      <c r="AY38" s="110">
        <f t="shared" ref="AY38" si="219">AG38/AN38*100</f>
        <v>0</v>
      </c>
      <c r="AZ38" s="110">
        <f t="shared" ref="AZ38" si="220">AJ38/AN38*100</f>
        <v>0</v>
      </c>
    </row>
    <row r="39" spans="1:52" s="209" customFormat="1" ht="20.25" customHeight="1">
      <c r="A39" s="297" t="s">
        <v>303</v>
      </c>
      <c r="B39" s="296" t="s">
        <v>299</v>
      </c>
      <c r="C39" s="261">
        <v>74</v>
      </c>
      <c r="D39" s="239">
        <v>45983</v>
      </c>
      <c r="E39" s="239">
        <v>45983</v>
      </c>
      <c r="F39" s="261">
        <v>24</v>
      </c>
      <c r="G39" s="261">
        <v>0</v>
      </c>
      <c r="H39" s="261">
        <f t="shared" si="203"/>
        <v>24</v>
      </c>
      <c r="I39" s="261">
        <v>0</v>
      </c>
      <c r="J39" s="261">
        <v>0</v>
      </c>
      <c r="K39" s="261">
        <f t="shared" ref="K39" si="221">H39+I39+J39</f>
        <v>24</v>
      </c>
      <c r="L39" s="261">
        <v>0</v>
      </c>
      <c r="M39" s="261">
        <v>0</v>
      </c>
      <c r="N39" s="261">
        <v>24</v>
      </c>
      <c r="O39" s="261">
        <v>0</v>
      </c>
      <c r="P39" s="261">
        <v>0</v>
      </c>
      <c r="Q39" s="261">
        <v>0</v>
      </c>
      <c r="R39" s="261">
        <v>0</v>
      </c>
      <c r="S39" s="261">
        <v>0</v>
      </c>
      <c r="T39" s="261">
        <v>0</v>
      </c>
      <c r="U39" s="261">
        <v>0</v>
      </c>
      <c r="V39" s="261">
        <v>5</v>
      </c>
      <c r="W39" s="261">
        <v>8</v>
      </c>
      <c r="X39" s="261">
        <v>0</v>
      </c>
      <c r="Y39" s="261">
        <v>0</v>
      </c>
      <c r="Z39" s="261">
        <v>0</v>
      </c>
      <c r="AA39" s="261">
        <v>0</v>
      </c>
      <c r="AB39" s="261">
        <v>6</v>
      </c>
      <c r="AC39" s="261">
        <v>11</v>
      </c>
      <c r="AD39" s="261">
        <v>0</v>
      </c>
      <c r="AE39" s="261">
        <v>0</v>
      </c>
      <c r="AF39" s="261">
        <v>3</v>
      </c>
      <c r="AG39" s="261">
        <v>0</v>
      </c>
      <c r="AH39" s="261">
        <v>0</v>
      </c>
      <c r="AI39" s="261">
        <v>0</v>
      </c>
      <c r="AJ39" s="261">
        <v>0</v>
      </c>
      <c r="AK39" s="109">
        <f t="shared" ref="AK39" si="222">P39+S39+V39+Y39+AB39+AE39+AH39</f>
        <v>11</v>
      </c>
      <c r="AL39" s="109">
        <f t="shared" ref="AL39" si="223">Q39+T39+W39+Z39+AC39+AF39+AI39</f>
        <v>22</v>
      </c>
      <c r="AM39" s="109">
        <f t="shared" ref="AM39" si="224">AK39+AL39</f>
        <v>33</v>
      </c>
      <c r="AN39" s="109">
        <f t="shared" ref="AN39" si="225">R39+U39+X39+AA39+AD39+AG39+AJ39</f>
        <v>0</v>
      </c>
      <c r="AO39" s="110">
        <f t="shared" ref="AO39" si="226">O39/H39*100</f>
        <v>0</v>
      </c>
      <c r="AP39" s="110">
        <f t="shared" ref="AP39" si="227">AN39/H39*100</f>
        <v>0</v>
      </c>
      <c r="AQ39" s="110">
        <f t="shared" ref="AQ39" si="228">AN39/AM39*100</f>
        <v>0</v>
      </c>
      <c r="AR39" s="110">
        <f t="shared" ref="AR39" si="229">AK39/AM39*100</f>
        <v>33.333333333333329</v>
      </c>
      <c r="AS39" s="110">
        <f t="shared" ref="AS39" si="230">AL39/AM39*100</f>
        <v>66.666666666666657</v>
      </c>
      <c r="AT39" s="110" t="e">
        <f t="shared" ref="AT39" si="231">R39/AN39*100</f>
        <v>#DIV/0!</v>
      </c>
      <c r="AU39" s="110" t="e">
        <f t="shared" ref="AU39" si="232">U39/AN39*100</f>
        <v>#DIV/0!</v>
      </c>
      <c r="AV39" s="110" t="e">
        <f t="shared" ref="AV39" si="233">X39/AN39*100</f>
        <v>#DIV/0!</v>
      </c>
      <c r="AW39" s="110" t="e">
        <f t="shared" ref="AW39" si="234">AA39/AN39*100</f>
        <v>#DIV/0!</v>
      </c>
      <c r="AX39" s="110" t="e">
        <f t="shared" ref="AX39" si="235">AD39/AN39*100</f>
        <v>#DIV/0!</v>
      </c>
      <c r="AY39" s="110" t="e">
        <f t="shared" ref="AY39" si="236">AG39/AN39*100</f>
        <v>#DIV/0!</v>
      </c>
      <c r="AZ39" s="110" t="e">
        <f t="shared" ref="AZ39" si="237">AJ39/AN39*100</f>
        <v>#DIV/0!</v>
      </c>
    </row>
    <row r="40" spans="1:52" s="3" customFormat="1" ht="20.25" customHeight="1">
      <c r="A40" s="269" t="s">
        <v>295</v>
      </c>
      <c r="B40" s="83">
        <f>COUNTA(B36:B39)</f>
        <v>4</v>
      </c>
      <c r="C40" s="83">
        <f>SUM(C36:C39)</f>
        <v>689</v>
      </c>
      <c r="D40" s="86">
        <f>MIN(D36:D39)</f>
        <v>45973</v>
      </c>
      <c r="E40" s="86">
        <f>MAX(E36:E39)</f>
        <v>45988</v>
      </c>
      <c r="F40" s="83">
        <f>SUM(F36:F39)</f>
        <v>355</v>
      </c>
      <c r="G40" s="83">
        <f t="shared" ref="G40:AJ40" si="238">SUM(G36:G39)</f>
        <v>0</v>
      </c>
      <c r="H40" s="83">
        <f t="shared" si="238"/>
        <v>355</v>
      </c>
      <c r="I40" s="83">
        <f t="shared" si="238"/>
        <v>25</v>
      </c>
      <c r="J40" s="83">
        <f t="shared" si="238"/>
        <v>0</v>
      </c>
      <c r="K40" s="83">
        <f t="shared" si="238"/>
        <v>380</v>
      </c>
      <c r="L40" s="83">
        <f t="shared" si="238"/>
        <v>0</v>
      </c>
      <c r="M40" s="83">
        <f t="shared" si="238"/>
        <v>0</v>
      </c>
      <c r="N40" s="83">
        <f t="shared" si="238"/>
        <v>355</v>
      </c>
      <c r="O40" s="83">
        <f t="shared" si="238"/>
        <v>6</v>
      </c>
      <c r="P40" s="83">
        <f t="shared" si="238"/>
        <v>0</v>
      </c>
      <c r="Q40" s="83">
        <f t="shared" si="238"/>
        <v>0</v>
      </c>
      <c r="R40" s="83">
        <f t="shared" si="238"/>
        <v>0</v>
      </c>
      <c r="S40" s="83">
        <f t="shared" si="238"/>
        <v>7</v>
      </c>
      <c r="T40" s="83">
        <f t="shared" si="238"/>
        <v>10</v>
      </c>
      <c r="U40" s="83">
        <f t="shared" si="238"/>
        <v>3</v>
      </c>
      <c r="V40" s="83">
        <f t="shared" si="238"/>
        <v>158</v>
      </c>
      <c r="W40" s="83">
        <f t="shared" si="238"/>
        <v>170</v>
      </c>
      <c r="X40" s="83">
        <f t="shared" si="238"/>
        <v>2</v>
      </c>
      <c r="Y40" s="83">
        <f t="shared" si="238"/>
        <v>0</v>
      </c>
      <c r="Z40" s="83">
        <f t="shared" si="238"/>
        <v>0</v>
      </c>
      <c r="AA40" s="83">
        <f t="shared" si="238"/>
        <v>0</v>
      </c>
      <c r="AB40" s="83">
        <f>SUM(AB36:AB39)</f>
        <v>33</v>
      </c>
      <c r="AC40" s="83">
        <f t="shared" si="238"/>
        <v>66</v>
      </c>
      <c r="AD40" s="83">
        <f t="shared" si="238"/>
        <v>1</v>
      </c>
      <c r="AE40" s="83">
        <f t="shared" si="238"/>
        <v>152</v>
      </c>
      <c r="AF40" s="83">
        <f t="shared" si="238"/>
        <v>114</v>
      </c>
      <c r="AG40" s="83">
        <f t="shared" si="238"/>
        <v>0</v>
      </c>
      <c r="AH40" s="83">
        <f t="shared" si="238"/>
        <v>0</v>
      </c>
      <c r="AI40" s="83">
        <f t="shared" si="238"/>
        <v>0</v>
      </c>
      <c r="AJ40" s="83">
        <f t="shared" si="238"/>
        <v>0</v>
      </c>
      <c r="AK40" s="83">
        <f>P40+S40+V40+Y40+AB40+AE40+AH40</f>
        <v>350</v>
      </c>
      <c r="AL40" s="83">
        <f t="shared" ref="AL40:AL42" si="239">Q40+T40+W40+Z40+AC40+AF40+AI40</f>
        <v>360</v>
      </c>
      <c r="AM40" s="83">
        <f>AK40+AL40</f>
        <v>710</v>
      </c>
      <c r="AN40" s="83">
        <f>R40+U40+X40+AA40+AD40+AG40+AJ40</f>
        <v>6</v>
      </c>
      <c r="AO40" s="190">
        <f t="shared" ref="AO40:AO42" si="240">O40/H40*100</f>
        <v>1.6901408450704223</v>
      </c>
      <c r="AP40" s="190">
        <f t="shared" ref="AP40:AP42" si="241">AN40/H40*100</f>
        <v>1.6901408450704223</v>
      </c>
      <c r="AQ40" s="190">
        <f t="shared" ref="AQ40:AQ42" si="242">AN40/AM40*100</f>
        <v>0.84507042253521114</v>
      </c>
      <c r="AR40" s="85">
        <f t="shared" ref="AR40:AR42" si="243">AK40/AM40*100</f>
        <v>49.295774647887328</v>
      </c>
      <c r="AS40" s="85">
        <f t="shared" ref="AS40:AS42" si="244">AL40/AM40*100</f>
        <v>50.704225352112672</v>
      </c>
      <c r="AT40" s="85">
        <f t="shared" ref="AT40:AT42" si="245">R40/AN40*100</f>
        <v>0</v>
      </c>
      <c r="AU40" s="85">
        <f t="shared" ref="AU40:AU42" si="246">U40/AN40*100</f>
        <v>50</v>
      </c>
      <c r="AV40" s="85">
        <f t="shared" ref="AV40:AV42" si="247">X40/AN40*100</f>
        <v>33.333333333333329</v>
      </c>
      <c r="AW40" s="85">
        <f t="shared" ref="AW40:AW42" si="248">AA40/AN40*100</f>
        <v>0</v>
      </c>
      <c r="AX40" s="85">
        <f t="shared" ref="AX40:AX42" si="249">AD40/AN40*100</f>
        <v>16.666666666666664</v>
      </c>
      <c r="AY40" s="85">
        <f t="shared" ref="AY40:AY42" si="250">AG40/AN40*100</f>
        <v>0</v>
      </c>
      <c r="AZ40" s="85">
        <f t="shared" ref="AZ40:AZ42" si="251">AJ40/AN40*100</f>
        <v>0</v>
      </c>
    </row>
    <row r="41" spans="1:52" s="3" customFormat="1" ht="20.25" customHeight="1">
      <c r="A41" s="408" t="s">
        <v>48</v>
      </c>
      <c r="B41" s="77" t="s">
        <v>25</v>
      </c>
      <c r="C41" s="77">
        <f>SUM(C42:C43)</f>
        <v>578</v>
      </c>
      <c r="D41" s="91">
        <f>D42</f>
        <v>45993</v>
      </c>
      <c r="E41" s="91">
        <f>E42</f>
        <v>46008</v>
      </c>
      <c r="F41" s="77">
        <f>SUM(F42:F43)</f>
        <v>244</v>
      </c>
      <c r="G41" s="77">
        <f t="shared" ref="G41:AJ41" si="252">SUM(G42:G43)</f>
        <v>0</v>
      </c>
      <c r="H41" s="77">
        <f t="shared" si="252"/>
        <v>244</v>
      </c>
      <c r="I41" s="77">
        <f t="shared" si="252"/>
        <v>19</v>
      </c>
      <c r="J41" s="77">
        <f t="shared" si="252"/>
        <v>4</v>
      </c>
      <c r="K41" s="77">
        <f t="shared" si="252"/>
        <v>267</v>
      </c>
      <c r="L41" s="77">
        <f t="shared" si="252"/>
        <v>0</v>
      </c>
      <c r="M41" s="77">
        <f t="shared" si="252"/>
        <v>0</v>
      </c>
      <c r="N41" s="77">
        <f t="shared" si="252"/>
        <v>244</v>
      </c>
      <c r="O41" s="77">
        <f t="shared" si="252"/>
        <v>0</v>
      </c>
      <c r="P41" s="77">
        <f t="shared" si="252"/>
        <v>0</v>
      </c>
      <c r="Q41" s="77">
        <f t="shared" si="252"/>
        <v>0</v>
      </c>
      <c r="R41" s="77">
        <f t="shared" si="252"/>
        <v>0</v>
      </c>
      <c r="S41" s="77">
        <f t="shared" si="252"/>
        <v>0</v>
      </c>
      <c r="T41" s="77">
        <f t="shared" si="252"/>
        <v>8</v>
      </c>
      <c r="U41" s="77">
        <f t="shared" si="252"/>
        <v>0</v>
      </c>
      <c r="V41" s="77">
        <f t="shared" si="252"/>
        <v>38</v>
      </c>
      <c r="W41" s="77">
        <f t="shared" si="252"/>
        <v>122</v>
      </c>
      <c r="X41" s="77">
        <f t="shared" si="252"/>
        <v>0</v>
      </c>
      <c r="Y41" s="77">
        <f t="shared" si="252"/>
        <v>13</v>
      </c>
      <c r="Z41" s="77">
        <f t="shared" si="252"/>
        <v>29</v>
      </c>
      <c r="AA41" s="77">
        <f t="shared" si="252"/>
        <v>0</v>
      </c>
      <c r="AB41" s="77">
        <f t="shared" si="252"/>
        <v>15</v>
      </c>
      <c r="AC41" s="77">
        <f t="shared" si="252"/>
        <v>32</v>
      </c>
      <c r="AD41" s="77">
        <f t="shared" si="252"/>
        <v>0</v>
      </c>
      <c r="AE41" s="77">
        <f t="shared" si="252"/>
        <v>82</v>
      </c>
      <c r="AF41" s="77">
        <f t="shared" si="252"/>
        <v>79</v>
      </c>
      <c r="AG41" s="77">
        <f t="shared" si="252"/>
        <v>0</v>
      </c>
      <c r="AH41" s="77">
        <f t="shared" si="252"/>
        <v>0</v>
      </c>
      <c r="AI41" s="77">
        <f t="shared" si="252"/>
        <v>0</v>
      </c>
      <c r="AJ41" s="77">
        <f t="shared" si="252"/>
        <v>0</v>
      </c>
      <c r="AK41" s="77">
        <f>P41+S41+V41+Y41+AB41+AE41+AH41</f>
        <v>148</v>
      </c>
      <c r="AL41" s="77">
        <f t="shared" si="239"/>
        <v>270</v>
      </c>
      <c r="AM41" s="77">
        <f t="shared" ref="AM41:AM42" si="253">AK41+AL41</f>
        <v>418</v>
      </c>
      <c r="AN41" s="77">
        <f>R41+U41+X41+AA41+AD41+AG41+AJ41</f>
        <v>0</v>
      </c>
      <c r="AO41" s="188">
        <f t="shared" si="240"/>
        <v>0</v>
      </c>
      <c r="AP41" s="188">
        <f t="shared" si="241"/>
        <v>0</v>
      </c>
      <c r="AQ41" s="188">
        <f t="shared" si="242"/>
        <v>0</v>
      </c>
      <c r="AR41" s="88">
        <f t="shared" si="243"/>
        <v>35.406698564593306</v>
      </c>
      <c r="AS41" s="88">
        <f t="shared" si="244"/>
        <v>64.593301435406701</v>
      </c>
      <c r="AT41" s="88" t="e">
        <f t="shared" si="245"/>
        <v>#DIV/0!</v>
      </c>
      <c r="AU41" s="88" t="e">
        <f t="shared" si="246"/>
        <v>#DIV/0!</v>
      </c>
      <c r="AV41" s="88" t="e">
        <f t="shared" si="247"/>
        <v>#DIV/0!</v>
      </c>
      <c r="AW41" s="88" t="e">
        <f t="shared" si="248"/>
        <v>#DIV/0!</v>
      </c>
      <c r="AX41" s="88" t="e">
        <f t="shared" si="249"/>
        <v>#DIV/0!</v>
      </c>
      <c r="AY41" s="88" t="e">
        <f t="shared" si="250"/>
        <v>#DIV/0!</v>
      </c>
      <c r="AZ41" s="88" t="e">
        <f t="shared" si="251"/>
        <v>#DIV/0!</v>
      </c>
    </row>
    <row r="42" spans="1:52" s="3" customFormat="1" ht="20.25" customHeight="1">
      <c r="A42" s="408"/>
      <c r="B42" s="202" t="s">
        <v>126</v>
      </c>
      <c r="C42" s="301">
        <v>479</v>
      </c>
      <c r="D42" s="303">
        <v>45993</v>
      </c>
      <c r="E42" s="303">
        <v>46008</v>
      </c>
      <c r="F42" s="301">
        <v>198</v>
      </c>
      <c r="G42" s="301">
        <v>0</v>
      </c>
      <c r="H42" s="304">
        <f t="shared" ref="H42:H43" si="254">F42+G42</f>
        <v>198</v>
      </c>
      <c r="I42" s="301">
        <v>18</v>
      </c>
      <c r="J42" s="301">
        <v>0</v>
      </c>
      <c r="K42" s="304">
        <f t="shared" ref="K42:K43" si="255">H42+I42+J42</f>
        <v>216</v>
      </c>
      <c r="L42" s="301">
        <v>0</v>
      </c>
      <c r="M42" s="301">
        <v>0</v>
      </c>
      <c r="N42" s="301">
        <v>198</v>
      </c>
      <c r="O42" s="301">
        <v>0</v>
      </c>
      <c r="P42" s="301">
        <v>0</v>
      </c>
      <c r="Q42" s="301">
        <v>0</v>
      </c>
      <c r="R42" s="301">
        <v>0</v>
      </c>
      <c r="S42" s="301">
        <v>0</v>
      </c>
      <c r="T42" s="301">
        <v>8</v>
      </c>
      <c r="U42" s="301">
        <v>0</v>
      </c>
      <c r="V42" s="301">
        <v>38</v>
      </c>
      <c r="W42" s="301">
        <v>92</v>
      </c>
      <c r="X42" s="301">
        <v>0</v>
      </c>
      <c r="Y42" s="301">
        <v>2</v>
      </c>
      <c r="Z42" s="301">
        <v>17</v>
      </c>
      <c r="AA42" s="301">
        <v>0</v>
      </c>
      <c r="AB42" s="301">
        <v>11</v>
      </c>
      <c r="AC42" s="301">
        <v>19</v>
      </c>
      <c r="AD42" s="301">
        <v>0</v>
      </c>
      <c r="AE42" s="301">
        <v>59</v>
      </c>
      <c r="AF42" s="301">
        <v>57</v>
      </c>
      <c r="AG42" s="301">
        <v>0</v>
      </c>
      <c r="AH42" s="301">
        <v>0</v>
      </c>
      <c r="AI42" s="301">
        <v>0</v>
      </c>
      <c r="AJ42" s="301">
        <v>0</v>
      </c>
      <c r="AK42" s="109">
        <f t="shared" ref="AK42" si="256">P42+S42+V42+Y42+AB42+AE42+AH42</f>
        <v>110</v>
      </c>
      <c r="AL42" s="109">
        <f t="shared" si="239"/>
        <v>193</v>
      </c>
      <c r="AM42" s="109">
        <f t="shared" si="253"/>
        <v>303</v>
      </c>
      <c r="AN42" s="109">
        <f t="shared" ref="AN42" si="257">R42+U42+X42+AA42+AD42+AG42+AJ42</f>
        <v>0</v>
      </c>
      <c r="AO42" s="110">
        <f t="shared" si="240"/>
        <v>0</v>
      </c>
      <c r="AP42" s="110">
        <f t="shared" si="241"/>
        <v>0</v>
      </c>
      <c r="AQ42" s="110">
        <f t="shared" si="242"/>
        <v>0</v>
      </c>
      <c r="AR42" s="110">
        <f t="shared" si="243"/>
        <v>36.303630363036305</v>
      </c>
      <c r="AS42" s="110">
        <f t="shared" si="244"/>
        <v>63.696369636963702</v>
      </c>
      <c r="AT42" s="110" t="e">
        <f t="shared" si="245"/>
        <v>#DIV/0!</v>
      </c>
      <c r="AU42" s="110" t="e">
        <f t="shared" si="246"/>
        <v>#DIV/0!</v>
      </c>
      <c r="AV42" s="110" t="e">
        <f t="shared" si="247"/>
        <v>#DIV/0!</v>
      </c>
      <c r="AW42" s="110" t="e">
        <f t="shared" si="248"/>
        <v>#DIV/0!</v>
      </c>
      <c r="AX42" s="110" t="e">
        <f t="shared" si="249"/>
        <v>#DIV/0!</v>
      </c>
      <c r="AY42" s="110" t="e">
        <f t="shared" si="250"/>
        <v>#DIV/0!</v>
      </c>
      <c r="AZ42" s="110" t="e">
        <f t="shared" si="251"/>
        <v>#DIV/0!</v>
      </c>
    </row>
    <row r="43" spans="1:52" s="3" customFormat="1" ht="20.25" customHeight="1">
      <c r="A43" s="408"/>
      <c r="B43" s="302" t="s">
        <v>131</v>
      </c>
      <c r="C43" s="301">
        <v>99</v>
      </c>
      <c r="D43" s="303">
        <v>46013</v>
      </c>
      <c r="E43" s="303">
        <v>46015</v>
      </c>
      <c r="F43" s="301">
        <v>46</v>
      </c>
      <c r="G43" s="301">
        <v>0</v>
      </c>
      <c r="H43" s="304">
        <f t="shared" si="254"/>
        <v>46</v>
      </c>
      <c r="I43" s="301">
        <v>1</v>
      </c>
      <c r="J43" s="301">
        <v>4</v>
      </c>
      <c r="K43" s="304">
        <f t="shared" si="255"/>
        <v>51</v>
      </c>
      <c r="L43" s="301">
        <v>0</v>
      </c>
      <c r="M43" s="301">
        <v>0</v>
      </c>
      <c r="N43" s="301">
        <v>46</v>
      </c>
      <c r="O43" s="301">
        <v>0</v>
      </c>
      <c r="P43" s="301">
        <v>0</v>
      </c>
      <c r="Q43" s="301">
        <v>0</v>
      </c>
      <c r="R43" s="301">
        <v>0</v>
      </c>
      <c r="S43" s="301">
        <v>0</v>
      </c>
      <c r="T43" s="301">
        <v>0</v>
      </c>
      <c r="U43" s="301">
        <v>0</v>
      </c>
      <c r="V43" s="301">
        <v>0</v>
      </c>
      <c r="W43" s="301">
        <v>30</v>
      </c>
      <c r="X43" s="301">
        <v>0</v>
      </c>
      <c r="Y43" s="301">
        <v>11</v>
      </c>
      <c r="Z43" s="301">
        <v>12</v>
      </c>
      <c r="AA43" s="301">
        <v>0</v>
      </c>
      <c r="AB43" s="301">
        <v>4</v>
      </c>
      <c r="AC43" s="301">
        <v>13</v>
      </c>
      <c r="AD43" s="301">
        <v>0</v>
      </c>
      <c r="AE43" s="301">
        <v>23</v>
      </c>
      <c r="AF43" s="301">
        <v>22</v>
      </c>
      <c r="AG43" s="301">
        <v>0</v>
      </c>
      <c r="AH43" s="301">
        <v>0</v>
      </c>
      <c r="AI43" s="301">
        <v>0</v>
      </c>
      <c r="AJ43" s="301">
        <v>0</v>
      </c>
      <c r="AK43" s="109">
        <f t="shared" ref="AK43" si="258">P43+S43+V43+Y43+AB43+AE43+AH43</f>
        <v>38</v>
      </c>
      <c r="AL43" s="109">
        <f t="shared" ref="AL43:AL44" si="259">Q43+T43+W43+Z43+AC43+AF43+AI43</f>
        <v>77</v>
      </c>
      <c r="AM43" s="109">
        <f t="shared" ref="AM43" si="260">AK43+AL43</f>
        <v>115</v>
      </c>
      <c r="AN43" s="109">
        <f t="shared" ref="AN43" si="261">R43+U43+X43+AA43+AD43+AG43+AJ43</f>
        <v>0</v>
      </c>
      <c r="AO43" s="110">
        <f t="shared" ref="AO43:AO44" si="262">O43/H43*100</f>
        <v>0</v>
      </c>
      <c r="AP43" s="110">
        <f t="shared" ref="AP43:AP44" si="263">AN43/H43*100</f>
        <v>0</v>
      </c>
      <c r="AQ43" s="110">
        <f t="shared" ref="AQ43:AQ44" si="264">AN43/AM43*100</f>
        <v>0</v>
      </c>
      <c r="AR43" s="110">
        <f t="shared" ref="AR43:AR44" si="265">AK43/AM43*100</f>
        <v>33.043478260869563</v>
      </c>
      <c r="AS43" s="110">
        <f t="shared" ref="AS43:AS44" si="266">AL43/AM43*100</f>
        <v>66.956521739130437</v>
      </c>
      <c r="AT43" s="110" t="e">
        <f t="shared" ref="AT43:AT44" si="267">R43/AN43*100</f>
        <v>#DIV/0!</v>
      </c>
      <c r="AU43" s="110" t="e">
        <f t="shared" ref="AU43:AU44" si="268">U43/AN43*100</f>
        <v>#DIV/0!</v>
      </c>
      <c r="AV43" s="110" t="e">
        <f t="shared" ref="AV43:AV44" si="269">X43/AN43*100</f>
        <v>#DIV/0!</v>
      </c>
      <c r="AW43" s="110" t="e">
        <f t="shared" ref="AW43:AW44" si="270">AA43/AN43*100</f>
        <v>#DIV/0!</v>
      </c>
      <c r="AX43" s="110" t="e">
        <f t="shared" ref="AX43:AX44" si="271">AD43/AN43*100</f>
        <v>#DIV/0!</v>
      </c>
      <c r="AY43" s="110" t="e">
        <f t="shared" ref="AY43:AY44" si="272">AG43/AN43*100</f>
        <v>#DIV/0!</v>
      </c>
      <c r="AZ43" s="110" t="e">
        <f t="shared" ref="AZ43:AZ44" si="273">AJ43/AN43*100</f>
        <v>#DIV/0!</v>
      </c>
    </row>
    <row r="44" spans="1:52" s="3" customFormat="1" ht="20.25" customHeight="1">
      <c r="A44" s="269" t="s">
        <v>305</v>
      </c>
      <c r="B44" s="83">
        <f>COUNTA(B40:B43)</f>
        <v>4</v>
      </c>
      <c r="C44" s="83">
        <f>SUM(C42:C43)</f>
        <v>578</v>
      </c>
      <c r="D44" s="86">
        <f>MIN(D41:D43)</f>
        <v>45993</v>
      </c>
      <c r="E44" s="86">
        <f>MAX(E40:E43)</f>
        <v>46015</v>
      </c>
      <c r="F44" s="83">
        <f>SUM(F42:F43)</f>
        <v>244</v>
      </c>
      <c r="G44" s="83">
        <f t="shared" ref="G44:AJ44" si="274">SUM(G42:G43)</f>
        <v>0</v>
      </c>
      <c r="H44" s="83">
        <f>SUM(H42:H43)</f>
        <v>244</v>
      </c>
      <c r="I44" s="83">
        <f>SUM(I42:I43)</f>
        <v>19</v>
      </c>
      <c r="J44" s="83">
        <f t="shared" si="274"/>
        <v>4</v>
      </c>
      <c r="K44" s="83">
        <f>SUM(K42:K43)</f>
        <v>267</v>
      </c>
      <c r="L44" s="83">
        <f t="shared" si="274"/>
        <v>0</v>
      </c>
      <c r="M44" s="83">
        <f t="shared" si="274"/>
        <v>0</v>
      </c>
      <c r="N44" s="83">
        <f>SUM(N42:N43)</f>
        <v>244</v>
      </c>
      <c r="O44" s="83">
        <f t="shared" si="274"/>
        <v>0</v>
      </c>
      <c r="P44" s="83">
        <f t="shared" si="274"/>
        <v>0</v>
      </c>
      <c r="Q44" s="83">
        <f t="shared" si="274"/>
        <v>0</v>
      </c>
      <c r="R44" s="83">
        <f t="shared" si="274"/>
        <v>0</v>
      </c>
      <c r="S44" s="83">
        <f t="shared" si="274"/>
        <v>0</v>
      </c>
      <c r="T44" s="83">
        <f t="shared" si="274"/>
        <v>8</v>
      </c>
      <c r="U44" s="83">
        <f t="shared" si="274"/>
        <v>0</v>
      </c>
      <c r="V44" s="83">
        <f t="shared" si="274"/>
        <v>38</v>
      </c>
      <c r="W44" s="83">
        <f t="shared" si="274"/>
        <v>122</v>
      </c>
      <c r="X44" s="83">
        <f t="shared" si="274"/>
        <v>0</v>
      </c>
      <c r="Y44" s="83">
        <f t="shared" si="274"/>
        <v>13</v>
      </c>
      <c r="Z44" s="83">
        <f t="shared" si="274"/>
        <v>29</v>
      </c>
      <c r="AA44" s="83">
        <f t="shared" si="274"/>
        <v>0</v>
      </c>
      <c r="AB44" s="83">
        <f>SUM(AB42:AB43)</f>
        <v>15</v>
      </c>
      <c r="AC44" s="83">
        <f t="shared" si="274"/>
        <v>32</v>
      </c>
      <c r="AD44" s="83">
        <f t="shared" si="274"/>
        <v>0</v>
      </c>
      <c r="AE44" s="83">
        <f t="shared" si="274"/>
        <v>82</v>
      </c>
      <c r="AF44" s="83">
        <f t="shared" si="274"/>
        <v>79</v>
      </c>
      <c r="AG44" s="83">
        <f t="shared" si="274"/>
        <v>0</v>
      </c>
      <c r="AH44" s="83">
        <f t="shared" si="274"/>
        <v>0</v>
      </c>
      <c r="AI44" s="83">
        <f t="shared" si="274"/>
        <v>0</v>
      </c>
      <c r="AJ44" s="83">
        <f t="shared" si="274"/>
        <v>0</v>
      </c>
      <c r="AK44" s="83">
        <f>P44+S44+V44+Y44+AB44+AE44+AH44</f>
        <v>148</v>
      </c>
      <c r="AL44" s="83">
        <f t="shared" si="259"/>
        <v>270</v>
      </c>
      <c r="AM44" s="83">
        <f>AK44+AL44</f>
        <v>418</v>
      </c>
      <c r="AN44" s="83">
        <f>R44+U44+X44+AA44+AD44+AG44+AJ44</f>
        <v>0</v>
      </c>
      <c r="AO44" s="190">
        <f t="shared" si="262"/>
        <v>0</v>
      </c>
      <c r="AP44" s="190">
        <f t="shared" si="263"/>
        <v>0</v>
      </c>
      <c r="AQ44" s="190">
        <f t="shared" si="264"/>
        <v>0</v>
      </c>
      <c r="AR44" s="85">
        <f t="shared" si="265"/>
        <v>35.406698564593306</v>
      </c>
      <c r="AS44" s="85">
        <f t="shared" si="266"/>
        <v>64.593301435406701</v>
      </c>
      <c r="AT44" s="85" t="e">
        <f t="shared" si="267"/>
        <v>#DIV/0!</v>
      </c>
      <c r="AU44" s="85" t="e">
        <f t="shared" si="268"/>
        <v>#DIV/0!</v>
      </c>
      <c r="AV44" s="85" t="e">
        <f t="shared" si="269"/>
        <v>#DIV/0!</v>
      </c>
      <c r="AW44" s="85" t="e">
        <f t="shared" si="270"/>
        <v>#DIV/0!</v>
      </c>
      <c r="AX44" s="85" t="e">
        <f t="shared" si="271"/>
        <v>#DIV/0!</v>
      </c>
      <c r="AY44" s="85" t="e">
        <f t="shared" si="272"/>
        <v>#DIV/0!</v>
      </c>
      <c r="AZ44" s="85" t="e">
        <f t="shared" si="273"/>
        <v>#DIV/0!</v>
      </c>
    </row>
    <row r="45" spans="1:52" s="40" customFormat="1" ht="20.25" customHeight="1">
      <c r="A45" s="83" t="s">
        <v>38</v>
      </c>
      <c r="B45" s="83">
        <f>B10+B14+B18+B23+B27+B34+B40+B44</f>
        <v>21</v>
      </c>
      <c r="C45" s="83">
        <f>C10+C14+C18+C23+C27+C34+C40+C44</f>
        <v>7977</v>
      </c>
      <c r="D45" s="84">
        <f>MIN(D7:D27)</f>
        <v>45672</v>
      </c>
      <c r="E45" s="84">
        <f>MAX(E6:E44)</f>
        <v>46015</v>
      </c>
      <c r="F45" s="83">
        <f>F10+F14+F18+F23+F27+F34+F40+F44</f>
        <v>3741</v>
      </c>
      <c r="G45" s="83">
        <f>G10+G14+G18+G23+G27+G34+G40+G44</f>
        <v>0</v>
      </c>
      <c r="H45" s="83">
        <f>H10+H14+H18+H23+H27+H34+H40+H44</f>
        <v>3741</v>
      </c>
      <c r="I45" s="83">
        <f>I10+I14+I18+I23+I27+I34+I40+I44</f>
        <v>197</v>
      </c>
      <c r="J45" s="83">
        <f>J10+J14+J18+J23+J27+J34+J40+J44</f>
        <v>4</v>
      </c>
      <c r="K45" s="83">
        <f>K10+K14+K18+K23+K27+K34+K40+K44</f>
        <v>3942</v>
      </c>
      <c r="L45" s="83">
        <f>L10+L14+L18+L23+L27+L34+L40+L44</f>
        <v>0</v>
      </c>
      <c r="M45" s="83">
        <f>M10+M14+M18+M23+M27+M34+M40+M44</f>
        <v>0</v>
      </c>
      <c r="N45" s="83">
        <f>N10+N14+N18+N23+N27+N34+N40+N44</f>
        <v>3170</v>
      </c>
      <c r="O45" s="83">
        <f>O10+O14+O18+O23+O27+O34+O40+O44</f>
        <v>32</v>
      </c>
      <c r="P45" s="83">
        <f>P10+P14+P18+P23+P27+P34+P40+P44</f>
        <v>0</v>
      </c>
      <c r="Q45" s="83">
        <f>Q10+Q14+Q18+Q23+Q27+Q34+Q40+Q44</f>
        <v>2</v>
      </c>
      <c r="R45" s="83">
        <f>R10+R14+R18+R23+R27+R34+R40+R44</f>
        <v>0</v>
      </c>
      <c r="S45" s="83">
        <f>S10+S14+S18+S23+S27+S34+S40+S44</f>
        <v>7</v>
      </c>
      <c r="T45" s="83">
        <f>T10+T14+T18+T23+T27+T34+T40+T44</f>
        <v>19</v>
      </c>
      <c r="U45" s="83">
        <f>U10+U14+U18+U23+U27+U34+U40+U44</f>
        <v>3</v>
      </c>
      <c r="V45" s="83">
        <f>V10+V14+V18+V23+V27+V34+V40+V44</f>
        <v>758</v>
      </c>
      <c r="W45" s="83">
        <f>W10+W14+W18+W23+W27+W34+W40+W44</f>
        <v>915</v>
      </c>
      <c r="X45" s="83">
        <f>X10+X14+X18+X23+X27+X34+X40+X44</f>
        <v>11</v>
      </c>
      <c r="Y45" s="83">
        <f>Y10+Y14+Y18+Y23+Y27+Y34+Y40+Y44</f>
        <v>32</v>
      </c>
      <c r="Z45" s="83">
        <f>Z10+Z14+Z18+Z23+Z27+Z34+Z40+Z44</f>
        <v>104</v>
      </c>
      <c r="AA45" s="83">
        <f>AA10+AA14+AA18+AA23+AA27+AA34+AA40+AA44</f>
        <v>0</v>
      </c>
      <c r="AB45" s="83">
        <f>AB10+AB14+AB18+AB23+AB27+AB34+AB40+AB44</f>
        <v>820</v>
      </c>
      <c r="AC45" s="83">
        <f>AC10+AC14+AC18+AC23+AC27+AC34+AC40+AC44</f>
        <v>534</v>
      </c>
      <c r="AD45" s="83">
        <f>AD10+AD14+AD18+AD23+AD27+AD34+AD40+AD44</f>
        <v>11</v>
      </c>
      <c r="AE45" s="83">
        <f>AE10+AE14+AE18+AE23+AE27+AE34+AE40+AE44</f>
        <v>1945</v>
      </c>
      <c r="AF45" s="83">
        <f>AF10+AF14+AF18+AF23+AF27+AF34+AF40+AF44</f>
        <v>1874</v>
      </c>
      <c r="AG45" s="83">
        <f>AG10+AG14+AG18+AG23+AG27+AG34+AG40+AG44</f>
        <v>12</v>
      </c>
      <c r="AH45" s="83">
        <f>AH10+AH14+AH18+AH23+AH27+AH34+AH40+AH44</f>
        <v>0</v>
      </c>
      <c r="AI45" s="83">
        <f>AI10+AI14+AI18+AI23+AI27+AI34+AI40+AI44</f>
        <v>0</v>
      </c>
      <c r="AJ45" s="83">
        <f>AJ10+AJ14+AJ18+AJ23+AJ27+AJ34+AJ40+AJ44</f>
        <v>0</v>
      </c>
      <c r="AK45" s="83">
        <f>P45+S45+V45+Y45+AB45+AE45+AH45</f>
        <v>3562</v>
      </c>
      <c r="AL45" s="83">
        <f>Q45+T45+W45+Z45+AC45+AF45+AI45</f>
        <v>3448</v>
      </c>
      <c r="AM45" s="83">
        <f>AK45+AL45</f>
        <v>7010</v>
      </c>
      <c r="AN45" s="83">
        <f>R45+U45+X45+AA45+AD45+AG45+AJ45</f>
        <v>37</v>
      </c>
      <c r="AO45" s="190">
        <f t="shared" ref="AO45" si="275">O45/H45*100</f>
        <v>0.85538626035819298</v>
      </c>
      <c r="AP45" s="190">
        <f t="shared" ref="AP45" si="276">AN45/H45*100</f>
        <v>0.98904036353916069</v>
      </c>
      <c r="AQ45" s="190">
        <f t="shared" ref="AQ45" si="277">AN45/AM45*100</f>
        <v>0.52781740370898722</v>
      </c>
      <c r="AR45" s="85">
        <f t="shared" ref="AR45" si="278">AK45/AM45*100</f>
        <v>50.813124108416552</v>
      </c>
      <c r="AS45" s="85">
        <f t="shared" ref="AS45" si="279">AL45/AM45*100</f>
        <v>49.186875891583455</v>
      </c>
      <c r="AT45" s="85">
        <f t="shared" ref="AT45" si="280">R45/AN45*100</f>
        <v>0</v>
      </c>
      <c r="AU45" s="85">
        <f t="shared" ref="AU45" si="281">U45/AN45*100</f>
        <v>8.1081081081081088</v>
      </c>
      <c r="AV45" s="85">
        <f t="shared" ref="AV45" si="282">X45/AN45*100</f>
        <v>29.72972972972973</v>
      </c>
      <c r="AW45" s="85">
        <f t="shared" ref="AW45" si="283">AA45/AN45*100</f>
        <v>0</v>
      </c>
      <c r="AX45" s="85">
        <f>AD45/AN45*100</f>
        <v>29.72972972972973</v>
      </c>
      <c r="AY45" s="85">
        <f t="shared" ref="AY45" si="284">AG45/AN45*100</f>
        <v>32.432432432432435</v>
      </c>
      <c r="AZ45" s="85">
        <f t="shared" ref="AZ45" si="285">AJ45/AN45*100</f>
        <v>0</v>
      </c>
    </row>
  </sheetData>
  <mergeCells count="55">
    <mergeCell ref="A41:A43"/>
    <mergeCell ref="AH3:AJ3"/>
    <mergeCell ref="F4:G4"/>
    <mergeCell ref="H4:H5"/>
    <mergeCell ref="AM4:AM5"/>
    <mergeCell ref="L4:L5"/>
    <mergeCell ref="J4:J5"/>
    <mergeCell ref="A32:A33"/>
    <mergeCell ref="A35:A36"/>
    <mergeCell ref="A24:A26"/>
    <mergeCell ref="A19:A22"/>
    <mergeCell ref="A15:A17"/>
    <mergeCell ref="I4:I5"/>
    <mergeCell ref="E4:E5"/>
    <mergeCell ref="A11:A13"/>
    <mergeCell ref="D4:D5"/>
    <mergeCell ref="N4:N5"/>
    <mergeCell ref="O4:O5"/>
    <mergeCell ref="Y4:AA4"/>
    <mergeCell ref="AH4:AJ4"/>
    <mergeCell ref="V4:X4"/>
    <mergeCell ref="S4:U4"/>
    <mergeCell ref="P4:R4"/>
    <mergeCell ref="A1:AP1"/>
    <mergeCell ref="A3:A5"/>
    <mergeCell ref="B3:B5"/>
    <mergeCell ref="C3:C5"/>
    <mergeCell ref="D3:E3"/>
    <mergeCell ref="F3:J3"/>
    <mergeCell ref="K3:K5"/>
    <mergeCell ref="L3:M3"/>
    <mergeCell ref="N3:O3"/>
    <mergeCell ref="P3:U3"/>
    <mergeCell ref="V3:X3"/>
    <mergeCell ref="Y3:AA3"/>
    <mergeCell ref="AB3:AG3"/>
    <mergeCell ref="AE4:AG4"/>
    <mergeCell ref="AB4:AD4"/>
    <mergeCell ref="AK3:AN3"/>
    <mergeCell ref="A6:A9"/>
    <mergeCell ref="AT3:AZ3"/>
    <mergeCell ref="AY4:AY5"/>
    <mergeCell ref="AV4:AV5"/>
    <mergeCell ref="AW4:AW5"/>
    <mergeCell ref="AO3:AS3"/>
    <mergeCell ref="AR4:AS4"/>
    <mergeCell ref="AT4:AT5"/>
    <mergeCell ref="AX4:AX5"/>
    <mergeCell ref="AZ4:AZ5"/>
    <mergeCell ref="AU4:AU5"/>
    <mergeCell ref="AO4:AQ4"/>
    <mergeCell ref="AN4:AN5"/>
    <mergeCell ref="AK4:AK5"/>
    <mergeCell ref="AL4:AL5"/>
    <mergeCell ref="M4:M5"/>
  </mergeCells>
  <phoneticPr fontId="2" type="noConversion"/>
  <pageMargins left="0.75" right="0.75" top="1" bottom="1" header="0" footer="0"/>
  <pageSetup scale="95" orientation="portrait" verticalDpi="360" r:id="rId1"/>
  <headerFooter alignWithMargins="0"/>
  <ignoredErrors>
    <ignoredError sqref="AO6:AZ6 C6 D15:E15 Q15 X15:Z15 C19:AJ19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A69"/>
  <sheetViews>
    <sheetView tabSelected="1" topLeftCell="B1" zoomScaleNormal="100" workbookViewId="0">
      <pane xSplit="2" ySplit="5" topLeftCell="D66" activePane="bottomRight" state="frozen"/>
      <selection activeCell="C20" sqref="C20"/>
      <selection pane="topRight" activeCell="C20" sqref="C20"/>
      <selection pane="bottomLeft" activeCell="C20" sqref="C20"/>
      <selection pane="bottomRight" activeCell="Z75" sqref="Z75"/>
    </sheetView>
  </sheetViews>
  <sheetFormatPr baseColWidth="10" defaultRowHeight="12.75"/>
  <cols>
    <col min="1" max="1" width="22.5703125" customWidth="1"/>
    <col min="2" max="2" width="24.28515625" customWidth="1"/>
    <col min="3" max="3" width="27" style="147" customWidth="1"/>
    <col min="4" max="4" width="11" style="147" customWidth="1"/>
    <col min="5" max="6" width="12.7109375" style="147" customWidth="1"/>
    <col min="7" max="7" width="8.140625" style="147" customWidth="1"/>
    <col min="8" max="8" width="6.5703125" style="147" customWidth="1"/>
    <col min="9" max="9" width="8.42578125" style="147" customWidth="1"/>
    <col min="10" max="10" width="5.5703125" style="147" customWidth="1"/>
    <col min="11" max="11" width="5.85546875" style="147" customWidth="1"/>
    <col min="12" max="12" width="8" style="147" customWidth="1"/>
    <col min="13" max="14" width="5.5703125" style="147" customWidth="1"/>
    <col min="15" max="15" width="8.7109375" style="147" customWidth="1"/>
    <col min="16" max="20" width="6.85546875" style="147" customWidth="1"/>
    <col min="21" max="23" width="5.5703125" style="147" customWidth="1"/>
    <col min="24" max="24" width="7.28515625" style="147" customWidth="1"/>
    <col min="25" max="26" width="5.5703125" style="147" customWidth="1"/>
    <col min="27" max="27" width="6.140625" style="147" customWidth="1"/>
    <col min="28" max="30" width="5.5703125" style="147" customWidth="1"/>
    <col min="31" max="31" width="6.140625" style="147" customWidth="1"/>
    <col min="32" max="32" width="5.5703125" style="147" customWidth="1"/>
    <col min="33" max="33" width="6.28515625" style="147" customWidth="1"/>
    <col min="34" max="37" width="5.5703125" style="147" customWidth="1"/>
    <col min="38" max="41" width="8.42578125" style="147" customWidth="1"/>
    <col min="42" max="44" width="9.85546875" style="5" customWidth="1"/>
    <col min="45" max="46" width="9.7109375" style="46" customWidth="1"/>
    <col min="47" max="48" width="7.7109375" style="72" customWidth="1"/>
    <col min="49" max="49" width="8" style="72" customWidth="1"/>
    <col min="50" max="50" width="8.140625" style="72" customWidth="1"/>
    <col min="51" max="53" width="7.85546875" style="72" customWidth="1"/>
  </cols>
  <sheetData>
    <row r="1" spans="1:53" ht="44.25" customHeight="1">
      <c r="A1" s="326" t="s">
        <v>179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  <c r="AO1" s="326"/>
      <c r="AP1" s="326"/>
      <c r="AQ1" s="326"/>
      <c r="AR1" s="179"/>
      <c r="AS1" s="48"/>
      <c r="AT1" s="48"/>
    </row>
    <row r="2" spans="1:5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180"/>
      <c r="AQ2" s="180"/>
      <c r="AR2" s="180"/>
      <c r="AS2" s="49"/>
      <c r="AT2" s="49"/>
    </row>
    <row r="3" spans="1:53" s="11" customFormat="1" ht="51" customHeight="1">
      <c r="A3" s="327" t="s">
        <v>46</v>
      </c>
      <c r="B3" s="328" t="s">
        <v>100</v>
      </c>
      <c r="C3" s="329" t="s">
        <v>101</v>
      </c>
      <c r="D3" s="329" t="s">
        <v>76</v>
      </c>
      <c r="E3" s="327" t="s">
        <v>0</v>
      </c>
      <c r="F3" s="327"/>
      <c r="G3" s="327" t="s">
        <v>4</v>
      </c>
      <c r="H3" s="327"/>
      <c r="I3" s="327"/>
      <c r="J3" s="327"/>
      <c r="K3" s="327"/>
      <c r="L3" s="332" t="s">
        <v>3</v>
      </c>
      <c r="M3" s="333" t="s">
        <v>8</v>
      </c>
      <c r="N3" s="333"/>
      <c r="O3" s="334" t="s">
        <v>71</v>
      </c>
      <c r="P3" s="334"/>
      <c r="Q3" s="335" t="s">
        <v>60</v>
      </c>
      <c r="R3" s="336"/>
      <c r="S3" s="336"/>
      <c r="T3" s="336"/>
      <c r="U3" s="336"/>
      <c r="V3" s="337"/>
      <c r="W3" s="335" t="s">
        <v>57</v>
      </c>
      <c r="X3" s="336"/>
      <c r="Y3" s="337"/>
      <c r="Z3" s="335" t="s">
        <v>58</v>
      </c>
      <c r="AA3" s="336"/>
      <c r="AB3" s="337"/>
      <c r="AC3" s="348" t="s">
        <v>56</v>
      </c>
      <c r="AD3" s="349"/>
      <c r="AE3" s="349"/>
      <c r="AF3" s="349"/>
      <c r="AG3" s="349"/>
      <c r="AH3" s="350"/>
      <c r="AI3" s="335" t="s">
        <v>59</v>
      </c>
      <c r="AJ3" s="336"/>
      <c r="AK3" s="337"/>
      <c r="AL3" s="335" t="s">
        <v>2</v>
      </c>
      <c r="AM3" s="336"/>
      <c r="AN3" s="336"/>
      <c r="AO3" s="337"/>
      <c r="AP3" s="351" t="s">
        <v>90</v>
      </c>
      <c r="AQ3" s="352"/>
      <c r="AR3" s="352"/>
      <c r="AS3" s="352"/>
      <c r="AT3" s="353"/>
      <c r="AU3" s="344" t="s">
        <v>89</v>
      </c>
      <c r="AV3" s="344"/>
      <c r="AW3" s="344"/>
      <c r="AX3" s="344"/>
      <c r="AY3" s="344"/>
      <c r="AZ3" s="344"/>
      <c r="BA3" s="344"/>
    </row>
    <row r="4" spans="1:53" s="11" customFormat="1" ht="23.25" customHeight="1">
      <c r="A4" s="327"/>
      <c r="B4" s="328"/>
      <c r="C4" s="330"/>
      <c r="D4" s="330"/>
      <c r="E4" s="327" t="s">
        <v>10</v>
      </c>
      <c r="F4" s="327" t="s">
        <v>9</v>
      </c>
      <c r="G4" s="345" t="s">
        <v>5</v>
      </c>
      <c r="H4" s="345"/>
      <c r="I4" s="346" t="s">
        <v>2</v>
      </c>
      <c r="J4" s="346" t="s">
        <v>13</v>
      </c>
      <c r="K4" s="346" t="s">
        <v>14</v>
      </c>
      <c r="L4" s="332"/>
      <c r="M4" s="347" t="s">
        <v>7</v>
      </c>
      <c r="N4" s="340" t="s">
        <v>6</v>
      </c>
      <c r="O4" s="347" t="s">
        <v>1</v>
      </c>
      <c r="P4" s="340" t="s">
        <v>6</v>
      </c>
      <c r="Q4" s="335" t="s">
        <v>34</v>
      </c>
      <c r="R4" s="336"/>
      <c r="S4" s="337"/>
      <c r="T4" s="341" t="s">
        <v>35</v>
      </c>
      <c r="U4" s="342"/>
      <c r="V4" s="343"/>
      <c r="W4" s="335" t="s">
        <v>31</v>
      </c>
      <c r="X4" s="336"/>
      <c r="Y4" s="337"/>
      <c r="Z4" s="335" t="s">
        <v>32</v>
      </c>
      <c r="AA4" s="336"/>
      <c r="AB4" s="337"/>
      <c r="AC4" s="354" t="s">
        <v>36</v>
      </c>
      <c r="AD4" s="355"/>
      <c r="AE4" s="356"/>
      <c r="AF4" s="335" t="s">
        <v>37</v>
      </c>
      <c r="AG4" s="336"/>
      <c r="AH4" s="337"/>
      <c r="AI4" s="335" t="s">
        <v>33</v>
      </c>
      <c r="AJ4" s="336"/>
      <c r="AK4" s="337"/>
      <c r="AL4" s="357" t="s">
        <v>84</v>
      </c>
      <c r="AM4" s="357" t="s">
        <v>85</v>
      </c>
      <c r="AN4" s="357" t="s">
        <v>86</v>
      </c>
      <c r="AO4" s="338" t="s">
        <v>87</v>
      </c>
      <c r="AP4" s="360" t="s">
        <v>91</v>
      </c>
      <c r="AQ4" s="361"/>
      <c r="AR4" s="362"/>
      <c r="AS4" s="363" t="s">
        <v>92</v>
      </c>
      <c r="AT4" s="364"/>
      <c r="AU4" s="359" t="s">
        <v>97</v>
      </c>
      <c r="AV4" s="359" t="s">
        <v>88</v>
      </c>
      <c r="AW4" s="359" t="s">
        <v>80</v>
      </c>
      <c r="AX4" s="359" t="s">
        <v>81</v>
      </c>
      <c r="AY4" s="359" t="s">
        <v>294</v>
      </c>
      <c r="AZ4" s="359" t="s">
        <v>82</v>
      </c>
      <c r="BA4" s="359" t="s">
        <v>83</v>
      </c>
    </row>
    <row r="5" spans="1:53" s="11" customFormat="1" ht="57" customHeight="1">
      <c r="A5" s="327"/>
      <c r="B5" s="328"/>
      <c r="C5" s="331"/>
      <c r="D5" s="331"/>
      <c r="E5" s="327"/>
      <c r="F5" s="327"/>
      <c r="G5" s="200" t="s">
        <v>11</v>
      </c>
      <c r="H5" s="200" t="s">
        <v>12</v>
      </c>
      <c r="I5" s="346"/>
      <c r="J5" s="346"/>
      <c r="K5" s="346"/>
      <c r="L5" s="332"/>
      <c r="M5" s="347"/>
      <c r="N5" s="340"/>
      <c r="O5" s="347"/>
      <c r="P5" s="340"/>
      <c r="Q5" s="199" t="s">
        <v>77</v>
      </c>
      <c r="R5" s="199" t="s">
        <v>78</v>
      </c>
      <c r="S5" s="201" t="s">
        <v>79</v>
      </c>
      <c r="T5" s="199" t="s">
        <v>77</v>
      </c>
      <c r="U5" s="199" t="s">
        <v>78</v>
      </c>
      <c r="V5" s="201" t="s">
        <v>79</v>
      </c>
      <c r="W5" s="199" t="s">
        <v>77</v>
      </c>
      <c r="X5" s="199" t="s">
        <v>78</v>
      </c>
      <c r="Y5" s="201" t="s">
        <v>79</v>
      </c>
      <c r="Z5" s="199" t="s">
        <v>77</v>
      </c>
      <c r="AA5" s="199" t="s">
        <v>78</v>
      </c>
      <c r="AB5" s="201" t="s">
        <v>79</v>
      </c>
      <c r="AC5" s="199" t="s">
        <v>77</v>
      </c>
      <c r="AD5" s="199" t="s">
        <v>78</v>
      </c>
      <c r="AE5" s="201" t="s">
        <v>79</v>
      </c>
      <c r="AF5" s="199" t="s">
        <v>77</v>
      </c>
      <c r="AG5" s="199" t="s">
        <v>78</v>
      </c>
      <c r="AH5" s="201" t="s">
        <v>79</v>
      </c>
      <c r="AI5" s="199" t="s">
        <v>77</v>
      </c>
      <c r="AJ5" s="199" t="s">
        <v>78</v>
      </c>
      <c r="AK5" s="201" t="s">
        <v>79</v>
      </c>
      <c r="AL5" s="358"/>
      <c r="AM5" s="358"/>
      <c r="AN5" s="358"/>
      <c r="AO5" s="339"/>
      <c r="AP5" s="187" t="s">
        <v>93</v>
      </c>
      <c r="AQ5" s="187" t="s">
        <v>94</v>
      </c>
      <c r="AR5" s="187" t="s">
        <v>98</v>
      </c>
      <c r="AS5" s="50" t="s">
        <v>95</v>
      </c>
      <c r="AT5" s="50" t="s">
        <v>96</v>
      </c>
      <c r="AU5" s="359"/>
      <c r="AV5" s="359"/>
      <c r="AW5" s="359"/>
      <c r="AX5" s="359"/>
      <c r="AY5" s="359"/>
      <c r="AZ5" s="359"/>
      <c r="BA5" s="359"/>
    </row>
    <row r="6" spans="1:53" s="40" customFormat="1" ht="20.25" customHeight="1">
      <c r="A6" s="74"/>
      <c r="B6" s="421" t="s">
        <v>102</v>
      </c>
      <c r="C6" s="77" t="s">
        <v>141</v>
      </c>
      <c r="D6" s="77">
        <f>SUM(D7:D11)</f>
        <v>1018</v>
      </c>
      <c r="E6" s="78">
        <f>MIN(E7:E11)</f>
        <v>45672</v>
      </c>
      <c r="F6" s="78">
        <f>MAX(F7:F11)</f>
        <v>45684</v>
      </c>
      <c r="G6" s="77">
        <f>SUM(G7:G11)</f>
        <v>246</v>
      </c>
      <c r="H6" s="77">
        <f t="shared" ref="H6:AK6" si="0">SUM(H7:H11)</f>
        <v>0</v>
      </c>
      <c r="I6" s="77">
        <f t="shared" si="0"/>
        <v>246</v>
      </c>
      <c r="J6" s="77">
        <f t="shared" si="0"/>
        <v>0</v>
      </c>
      <c r="K6" s="77">
        <f t="shared" si="0"/>
        <v>0</v>
      </c>
      <c r="L6" s="77">
        <f t="shared" si="0"/>
        <v>246</v>
      </c>
      <c r="M6" s="77">
        <f t="shared" si="0"/>
        <v>0</v>
      </c>
      <c r="N6" s="77">
        <f t="shared" si="0"/>
        <v>0</v>
      </c>
      <c r="O6" s="77">
        <f t="shared" si="0"/>
        <v>0</v>
      </c>
      <c r="P6" s="77">
        <f t="shared" si="0"/>
        <v>8</v>
      </c>
      <c r="Q6" s="77">
        <f t="shared" si="0"/>
        <v>0</v>
      </c>
      <c r="R6" s="77">
        <f t="shared" si="0"/>
        <v>1</v>
      </c>
      <c r="S6" s="77">
        <f t="shared" si="0"/>
        <v>0</v>
      </c>
      <c r="T6" s="77">
        <f t="shared" si="0"/>
        <v>28</v>
      </c>
      <c r="U6" s="77">
        <f t="shared" si="0"/>
        <v>45</v>
      </c>
      <c r="V6" s="77">
        <f t="shared" si="0"/>
        <v>4</v>
      </c>
      <c r="W6" s="77">
        <f t="shared" si="0"/>
        <v>93</v>
      </c>
      <c r="X6" s="77">
        <f t="shared" si="0"/>
        <v>96</v>
      </c>
      <c r="Y6" s="77">
        <f t="shared" si="0"/>
        <v>2</v>
      </c>
      <c r="Z6" s="77">
        <f t="shared" si="0"/>
        <v>0</v>
      </c>
      <c r="AA6" s="77">
        <f t="shared" si="0"/>
        <v>2</v>
      </c>
      <c r="AB6" s="77">
        <f t="shared" si="0"/>
        <v>0</v>
      </c>
      <c r="AC6" s="77">
        <f t="shared" si="0"/>
        <v>52</v>
      </c>
      <c r="AD6" s="77">
        <f t="shared" si="0"/>
        <v>59</v>
      </c>
      <c r="AE6" s="77">
        <f t="shared" si="0"/>
        <v>2</v>
      </c>
      <c r="AF6" s="77">
        <f t="shared" si="0"/>
        <v>89</v>
      </c>
      <c r="AG6" s="77">
        <f t="shared" si="0"/>
        <v>35</v>
      </c>
      <c r="AH6" s="77">
        <f t="shared" si="0"/>
        <v>0</v>
      </c>
      <c r="AI6" s="77">
        <f t="shared" si="0"/>
        <v>0</v>
      </c>
      <c r="AJ6" s="77">
        <f t="shared" si="0"/>
        <v>0</v>
      </c>
      <c r="AK6" s="77">
        <f t="shared" si="0"/>
        <v>0</v>
      </c>
      <c r="AL6" s="77">
        <f t="shared" ref="AL6" si="1">Q6+T6+W6+Z6+AC6+AF6+AI6</f>
        <v>262</v>
      </c>
      <c r="AM6" s="77">
        <f t="shared" ref="AM6" si="2">R6+U6+X6+AA6+AD6+AG6+AJ6</f>
        <v>238</v>
      </c>
      <c r="AN6" s="77">
        <f t="shared" ref="AN6" si="3">AL6+AM6</f>
        <v>500</v>
      </c>
      <c r="AO6" s="77">
        <f t="shared" ref="AO6" si="4">S6+V6+Y6+AB6+AE6+AH6+AK6</f>
        <v>8</v>
      </c>
      <c r="AP6" s="188">
        <f t="shared" ref="AP6" si="5">P6/I6*100</f>
        <v>3.2520325203252036</v>
      </c>
      <c r="AQ6" s="188">
        <f t="shared" ref="AQ6" si="6">AO6/I6*100</f>
        <v>3.2520325203252036</v>
      </c>
      <c r="AR6" s="188">
        <f t="shared" ref="AR6" si="7">AO6/AN6*100</f>
        <v>1.6</v>
      </c>
      <c r="AS6" s="88">
        <f t="shared" ref="AS6" si="8">AL6/AN6*100</f>
        <v>52.400000000000006</v>
      </c>
      <c r="AT6" s="88">
        <f t="shared" ref="AT6" si="9">AM6/AN6*100</f>
        <v>47.599999999999994</v>
      </c>
      <c r="AU6" s="88">
        <f t="shared" ref="AU6" si="10">S6/AO6*100</f>
        <v>0</v>
      </c>
      <c r="AV6" s="88">
        <f t="shared" ref="AV6" si="11">V6/AO6*100</f>
        <v>50</v>
      </c>
      <c r="AW6" s="88">
        <f t="shared" ref="AW6" si="12">Y6/AO6*100</f>
        <v>25</v>
      </c>
      <c r="AX6" s="88">
        <f t="shared" ref="AX6" si="13">AB6/AO6*100</f>
        <v>0</v>
      </c>
      <c r="AY6" s="88">
        <f t="shared" ref="AY6" si="14">AE6/AO6*100</f>
        <v>25</v>
      </c>
      <c r="AZ6" s="88">
        <f t="shared" ref="AZ6" si="15">AH6/AO6*100</f>
        <v>0</v>
      </c>
      <c r="BA6" s="88">
        <f t="shared" ref="BA6" si="16">AK6/AO6*100</f>
        <v>0</v>
      </c>
    </row>
    <row r="7" spans="1:53" s="127" customFormat="1" ht="22.5" customHeight="1">
      <c r="A7" s="112"/>
      <c r="B7" s="422"/>
      <c r="C7" s="231" t="s">
        <v>131</v>
      </c>
      <c r="D7" s="128">
        <v>325</v>
      </c>
      <c r="E7" s="129">
        <v>45672</v>
      </c>
      <c r="F7" s="129">
        <v>45674</v>
      </c>
      <c r="G7" s="203">
        <v>73</v>
      </c>
      <c r="H7" s="203">
        <v>0</v>
      </c>
      <c r="I7" s="203">
        <f t="shared" ref="I7:I11" si="17">G7+H7</f>
        <v>73</v>
      </c>
      <c r="J7" s="203">
        <v>0</v>
      </c>
      <c r="K7" s="203">
        <v>0</v>
      </c>
      <c r="L7" s="203">
        <f t="shared" ref="L7:L11" si="18">I7+K7+J7</f>
        <v>73</v>
      </c>
      <c r="M7" s="203">
        <v>0</v>
      </c>
      <c r="N7" s="203">
        <v>0</v>
      </c>
      <c r="O7" s="203">
        <v>0</v>
      </c>
      <c r="P7" s="203">
        <v>3</v>
      </c>
      <c r="Q7" s="203">
        <v>0</v>
      </c>
      <c r="R7" s="203">
        <v>0</v>
      </c>
      <c r="S7" s="203">
        <v>0</v>
      </c>
      <c r="T7" s="203">
        <v>8</v>
      </c>
      <c r="U7" s="203">
        <v>10</v>
      </c>
      <c r="V7" s="203">
        <v>1</v>
      </c>
      <c r="W7" s="203">
        <v>28</v>
      </c>
      <c r="X7" s="203">
        <v>21</v>
      </c>
      <c r="Y7" s="203">
        <v>1</v>
      </c>
      <c r="Z7" s="203">
        <v>0</v>
      </c>
      <c r="AA7" s="203">
        <v>0</v>
      </c>
      <c r="AB7" s="203">
        <v>0</v>
      </c>
      <c r="AC7" s="203">
        <v>23</v>
      </c>
      <c r="AD7" s="203">
        <v>35</v>
      </c>
      <c r="AE7" s="203">
        <v>1</v>
      </c>
      <c r="AF7" s="203">
        <v>26</v>
      </c>
      <c r="AG7" s="203">
        <v>6</v>
      </c>
      <c r="AH7" s="203">
        <v>0</v>
      </c>
      <c r="AI7" s="203">
        <v>0</v>
      </c>
      <c r="AJ7" s="203">
        <v>0</v>
      </c>
      <c r="AK7" s="203">
        <v>0</v>
      </c>
      <c r="AL7" s="203">
        <f t="shared" ref="AL7:AL11" si="19">Q7+T7+W7+Z7+AC7+AF7+AI7</f>
        <v>85</v>
      </c>
      <c r="AM7" s="203">
        <f t="shared" ref="AM7:AM11" si="20">R7+U7+X7+AA7+AD7+AG7+AJ7</f>
        <v>72</v>
      </c>
      <c r="AN7" s="203">
        <f t="shared" ref="AN7:AN11" si="21">AL7+AM7</f>
        <v>157</v>
      </c>
      <c r="AO7" s="203">
        <f t="shared" ref="AO7:AO11" si="22">S7+V7+Y7+AB7+AE7+AH7+AK7</f>
        <v>3</v>
      </c>
      <c r="AP7" s="189">
        <f t="shared" ref="AP7:AP11" si="23">P7/I7*100</f>
        <v>4.10958904109589</v>
      </c>
      <c r="AQ7" s="189">
        <f t="shared" ref="AQ7:AQ11" si="24">AO7/I7*100</f>
        <v>4.10958904109589</v>
      </c>
      <c r="AR7" s="189">
        <f t="shared" ref="AR7:AR11" si="25">AO7/AN7*100</f>
        <v>1.910828025477707</v>
      </c>
      <c r="AS7" s="81">
        <f t="shared" ref="AS7:AS11" si="26">AL7/AN7*100</f>
        <v>54.140127388535028</v>
      </c>
      <c r="AT7" s="81">
        <f t="shared" ref="AT7:AT11" si="27">AM7/AN7*100</f>
        <v>45.859872611464972</v>
      </c>
      <c r="AU7" s="108">
        <f t="shared" ref="AU7:AU11" si="28">S7/AO7*100</f>
        <v>0</v>
      </c>
      <c r="AV7" s="108">
        <f t="shared" ref="AV7:AV11" si="29">V7/AO7*100</f>
        <v>33.333333333333329</v>
      </c>
      <c r="AW7" s="108">
        <f t="shared" ref="AW7:AW11" si="30">Y7/AO7*100</f>
        <v>33.333333333333329</v>
      </c>
      <c r="AX7" s="108">
        <f t="shared" ref="AX7:AX11" si="31">AB7/AO7*100</f>
        <v>0</v>
      </c>
      <c r="AY7" s="108">
        <f t="shared" ref="AY7:AY11" si="32">AE7/AO7*100</f>
        <v>33.333333333333329</v>
      </c>
      <c r="AZ7" s="108">
        <f t="shared" ref="AZ7:AZ11" si="33">AH7/AO7*100</f>
        <v>0</v>
      </c>
      <c r="BA7" s="108">
        <f t="shared" ref="BA7:BA11" si="34">AK7/AO7*100</f>
        <v>0</v>
      </c>
    </row>
    <row r="8" spans="1:53" s="127" customFormat="1" ht="22.5" customHeight="1">
      <c r="A8" s="112"/>
      <c r="B8" s="422"/>
      <c r="C8" s="231" t="s">
        <v>130</v>
      </c>
      <c r="D8" s="128">
        <v>66</v>
      </c>
      <c r="E8" s="129">
        <v>45684</v>
      </c>
      <c r="F8" s="129">
        <v>45684</v>
      </c>
      <c r="G8" s="203">
        <v>13</v>
      </c>
      <c r="H8" s="203">
        <v>0</v>
      </c>
      <c r="I8" s="203">
        <f t="shared" si="17"/>
        <v>13</v>
      </c>
      <c r="J8" s="203">
        <v>0</v>
      </c>
      <c r="K8" s="203">
        <v>0</v>
      </c>
      <c r="L8" s="203">
        <f t="shared" si="18"/>
        <v>13</v>
      </c>
      <c r="M8" s="203">
        <v>0</v>
      </c>
      <c r="N8" s="203">
        <v>0</v>
      </c>
      <c r="O8" s="203">
        <v>0</v>
      </c>
      <c r="P8" s="203">
        <v>0</v>
      </c>
      <c r="Q8" s="203">
        <v>0</v>
      </c>
      <c r="R8" s="203">
        <v>0</v>
      </c>
      <c r="S8" s="203">
        <v>0</v>
      </c>
      <c r="T8" s="203">
        <v>3</v>
      </c>
      <c r="U8" s="203">
        <v>5</v>
      </c>
      <c r="V8" s="203">
        <v>0</v>
      </c>
      <c r="W8" s="203">
        <v>8</v>
      </c>
      <c r="X8" s="203">
        <v>10</v>
      </c>
      <c r="Y8" s="203">
        <v>0</v>
      </c>
      <c r="Z8" s="203">
        <v>0</v>
      </c>
      <c r="AA8" s="203">
        <v>0</v>
      </c>
      <c r="AB8" s="203">
        <v>0</v>
      </c>
      <c r="AC8" s="203">
        <v>6</v>
      </c>
      <c r="AD8" s="203">
        <v>0</v>
      </c>
      <c r="AE8" s="203">
        <v>0</v>
      </c>
      <c r="AF8" s="203">
        <v>9</v>
      </c>
      <c r="AG8" s="203">
        <v>1</v>
      </c>
      <c r="AH8" s="203">
        <v>0</v>
      </c>
      <c r="AI8" s="203">
        <v>0</v>
      </c>
      <c r="AJ8" s="203">
        <v>0</v>
      </c>
      <c r="AK8" s="203">
        <v>0</v>
      </c>
      <c r="AL8" s="203">
        <f t="shared" si="19"/>
        <v>26</v>
      </c>
      <c r="AM8" s="203">
        <f t="shared" si="20"/>
        <v>16</v>
      </c>
      <c r="AN8" s="203">
        <f t="shared" si="21"/>
        <v>42</v>
      </c>
      <c r="AO8" s="203">
        <f t="shared" si="22"/>
        <v>0</v>
      </c>
      <c r="AP8" s="189">
        <f t="shared" si="23"/>
        <v>0</v>
      </c>
      <c r="AQ8" s="189">
        <f t="shared" si="24"/>
        <v>0</v>
      </c>
      <c r="AR8" s="189">
        <f t="shared" si="25"/>
        <v>0</v>
      </c>
      <c r="AS8" s="81">
        <f t="shared" si="26"/>
        <v>61.904761904761905</v>
      </c>
      <c r="AT8" s="81">
        <f t="shared" si="27"/>
        <v>38.095238095238095</v>
      </c>
      <c r="AU8" s="108" t="e">
        <f t="shared" si="28"/>
        <v>#DIV/0!</v>
      </c>
      <c r="AV8" s="108" t="e">
        <f t="shared" si="29"/>
        <v>#DIV/0!</v>
      </c>
      <c r="AW8" s="108" t="e">
        <f t="shared" si="30"/>
        <v>#DIV/0!</v>
      </c>
      <c r="AX8" s="108" t="e">
        <f t="shared" si="31"/>
        <v>#DIV/0!</v>
      </c>
      <c r="AY8" s="108" t="e">
        <f t="shared" si="32"/>
        <v>#DIV/0!</v>
      </c>
      <c r="AZ8" s="108" t="e">
        <f t="shared" si="33"/>
        <v>#DIV/0!</v>
      </c>
      <c r="BA8" s="108" t="e">
        <f t="shared" si="34"/>
        <v>#DIV/0!</v>
      </c>
    </row>
    <row r="9" spans="1:53" s="127" customFormat="1" ht="22.5" customHeight="1">
      <c r="A9" s="112"/>
      <c r="B9" s="422"/>
      <c r="C9" s="231" t="s">
        <v>132</v>
      </c>
      <c r="D9" s="128">
        <v>242</v>
      </c>
      <c r="E9" s="129">
        <v>45677</v>
      </c>
      <c r="F9" s="129">
        <v>45680</v>
      </c>
      <c r="G9" s="203">
        <v>63</v>
      </c>
      <c r="H9" s="203">
        <v>0</v>
      </c>
      <c r="I9" s="203">
        <f t="shared" si="17"/>
        <v>63</v>
      </c>
      <c r="J9" s="203">
        <v>0</v>
      </c>
      <c r="K9" s="203">
        <v>0</v>
      </c>
      <c r="L9" s="203">
        <f t="shared" si="18"/>
        <v>63</v>
      </c>
      <c r="M9" s="203">
        <v>0</v>
      </c>
      <c r="N9" s="203">
        <v>0</v>
      </c>
      <c r="O9" s="203">
        <v>0</v>
      </c>
      <c r="P9" s="203">
        <v>3</v>
      </c>
      <c r="Q9" s="203">
        <v>0</v>
      </c>
      <c r="R9" s="203">
        <v>0</v>
      </c>
      <c r="S9" s="203">
        <v>0</v>
      </c>
      <c r="T9" s="203">
        <v>8</v>
      </c>
      <c r="U9" s="203">
        <v>8</v>
      </c>
      <c r="V9" s="203">
        <v>2</v>
      </c>
      <c r="W9" s="203">
        <v>45</v>
      </c>
      <c r="X9" s="203">
        <v>35</v>
      </c>
      <c r="Y9" s="203">
        <v>0</v>
      </c>
      <c r="Z9" s="203">
        <v>0</v>
      </c>
      <c r="AA9" s="203">
        <v>2</v>
      </c>
      <c r="AB9" s="203">
        <v>0</v>
      </c>
      <c r="AC9" s="203">
        <v>9</v>
      </c>
      <c r="AD9" s="203">
        <v>16</v>
      </c>
      <c r="AE9" s="203">
        <v>1</v>
      </c>
      <c r="AF9" s="203">
        <v>28</v>
      </c>
      <c r="AG9" s="203">
        <v>19</v>
      </c>
      <c r="AH9" s="203">
        <v>0</v>
      </c>
      <c r="AI9" s="203">
        <v>0</v>
      </c>
      <c r="AJ9" s="203">
        <v>0</v>
      </c>
      <c r="AK9" s="203">
        <v>0</v>
      </c>
      <c r="AL9" s="203">
        <f t="shared" si="19"/>
        <v>90</v>
      </c>
      <c r="AM9" s="203">
        <f t="shared" si="20"/>
        <v>80</v>
      </c>
      <c r="AN9" s="203">
        <f t="shared" si="21"/>
        <v>170</v>
      </c>
      <c r="AO9" s="203">
        <f t="shared" si="22"/>
        <v>3</v>
      </c>
      <c r="AP9" s="189">
        <f t="shared" si="23"/>
        <v>4.7619047619047619</v>
      </c>
      <c r="AQ9" s="189">
        <f t="shared" si="24"/>
        <v>4.7619047619047619</v>
      </c>
      <c r="AR9" s="189">
        <f t="shared" si="25"/>
        <v>1.7647058823529411</v>
      </c>
      <c r="AS9" s="81">
        <f t="shared" si="26"/>
        <v>52.941176470588239</v>
      </c>
      <c r="AT9" s="81">
        <f t="shared" si="27"/>
        <v>47.058823529411761</v>
      </c>
      <c r="AU9" s="108">
        <f t="shared" si="28"/>
        <v>0</v>
      </c>
      <c r="AV9" s="108">
        <f t="shared" si="29"/>
        <v>66.666666666666657</v>
      </c>
      <c r="AW9" s="108">
        <f t="shared" si="30"/>
        <v>0</v>
      </c>
      <c r="AX9" s="108">
        <f t="shared" si="31"/>
        <v>0</v>
      </c>
      <c r="AY9" s="108">
        <f t="shared" si="32"/>
        <v>33.333333333333329</v>
      </c>
      <c r="AZ9" s="108">
        <f t="shared" si="33"/>
        <v>0</v>
      </c>
      <c r="BA9" s="108">
        <f t="shared" si="34"/>
        <v>0</v>
      </c>
    </row>
    <row r="10" spans="1:53" s="127" customFormat="1" ht="22.5" customHeight="1">
      <c r="A10" s="112"/>
      <c r="B10" s="422"/>
      <c r="C10" s="231" t="s">
        <v>133</v>
      </c>
      <c r="D10" s="128">
        <v>110</v>
      </c>
      <c r="E10" s="129">
        <v>45673</v>
      </c>
      <c r="F10" s="129">
        <v>45673</v>
      </c>
      <c r="G10" s="203">
        <v>30</v>
      </c>
      <c r="H10" s="203">
        <v>0</v>
      </c>
      <c r="I10" s="203">
        <f t="shared" si="17"/>
        <v>30</v>
      </c>
      <c r="J10" s="203">
        <v>0</v>
      </c>
      <c r="K10" s="203">
        <v>0</v>
      </c>
      <c r="L10" s="203">
        <f t="shared" si="18"/>
        <v>30</v>
      </c>
      <c r="M10" s="203">
        <v>0</v>
      </c>
      <c r="N10" s="203">
        <v>0</v>
      </c>
      <c r="O10" s="203">
        <v>0</v>
      </c>
      <c r="P10" s="203">
        <v>1</v>
      </c>
      <c r="Q10" s="203">
        <v>0</v>
      </c>
      <c r="R10" s="203">
        <v>1</v>
      </c>
      <c r="S10" s="203">
        <v>0</v>
      </c>
      <c r="T10" s="203">
        <v>3</v>
      </c>
      <c r="U10" s="203">
        <v>4</v>
      </c>
      <c r="V10" s="203">
        <v>0</v>
      </c>
      <c r="W10" s="203">
        <v>6</v>
      </c>
      <c r="X10" s="203">
        <v>12</v>
      </c>
      <c r="Y10" s="203">
        <v>1</v>
      </c>
      <c r="Z10" s="203">
        <v>0</v>
      </c>
      <c r="AA10" s="203">
        <v>0</v>
      </c>
      <c r="AB10" s="203">
        <v>0</v>
      </c>
      <c r="AC10" s="203">
        <v>4</v>
      </c>
      <c r="AD10" s="203">
        <v>4</v>
      </c>
      <c r="AE10" s="203">
        <v>0</v>
      </c>
      <c r="AF10" s="203">
        <v>15</v>
      </c>
      <c r="AG10" s="203">
        <v>5</v>
      </c>
      <c r="AH10" s="203">
        <v>0</v>
      </c>
      <c r="AI10" s="203">
        <v>0</v>
      </c>
      <c r="AJ10" s="203">
        <v>0</v>
      </c>
      <c r="AK10" s="203">
        <v>0</v>
      </c>
      <c r="AL10" s="203">
        <f t="shared" si="19"/>
        <v>28</v>
      </c>
      <c r="AM10" s="203">
        <f t="shared" si="20"/>
        <v>26</v>
      </c>
      <c r="AN10" s="203">
        <f t="shared" si="21"/>
        <v>54</v>
      </c>
      <c r="AO10" s="203">
        <f t="shared" si="22"/>
        <v>1</v>
      </c>
      <c r="AP10" s="189">
        <f t="shared" si="23"/>
        <v>3.3333333333333335</v>
      </c>
      <c r="AQ10" s="189">
        <f t="shared" si="24"/>
        <v>3.3333333333333335</v>
      </c>
      <c r="AR10" s="189">
        <f t="shared" si="25"/>
        <v>1.8518518518518516</v>
      </c>
      <c r="AS10" s="81">
        <f t="shared" si="26"/>
        <v>51.851851851851848</v>
      </c>
      <c r="AT10" s="81">
        <f t="shared" si="27"/>
        <v>48.148148148148145</v>
      </c>
      <c r="AU10" s="108">
        <f t="shared" si="28"/>
        <v>0</v>
      </c>
      <c r="AV10" s="108">
        <f t="shared" si="29"/>
        <v>0</v>
      </c>
      <c r="AW10" s="108">
        <f t="shared" si="30"/>
        <v>100</v>
      </c>
      <c r="AX10" s="108">
        <f t="shared" si="31"/>
        <v>0</v>
      </c>
      <c r="AY10" s="108">
        <f t="shared" si="32"/>
        <v>0</v>
      </c>
      <c r="AZ10" s="108">
        <f t="shared" si="33"/>
        <v>0</v>
      </c>
      <c r="BA10" s="108">
        <f t="shared" si="34"/>
        <v>0</v>
      </c>
    </row>
    <row r="11" spans="1:53" s="127" customFormat="1" ht="22.5" customHeight="1">
      <c r="A11" s="112"/>
      <c r="B11" s="423"/>
      <c r="C11" s="231" t="s">
        <v>134</v>
      </c>
      <c r="D11" s="141">
        <v>275</v>
      </c>
      <c r="E11" s="129">
        <v>45680</v>
      </c>
      <c r="F11" s="129">
        <v>45684</v>
      </c>
      <c r="G11" s="203">
        <v>67</v>
      </c>
      <c r="H11" s="203">
        <v>0</v>
      </c>
      <c r="I11" s="203">
        <f t="shared" si="17"/>
        <v>67</v>
      </c>
      <c r="J11" s="203">
        <v>0</v>
      </c>
      <c r="K11" s="203">
        <v>0</v>
      </c>
      <c r="L11" s="203">
        <f t="shared" si="18"/>
        <v>67</v>
      </c>
      <c r="M11" s="203">
        <v>0</v>
      </c>
      <c r="N11" s="203">
        <v>0</v>
      </c>
      <c r="O11" s="203">
        <v>0</v>
      </c>
      <c r="P11" s="203">
        <v>1</v>
      </c>
      <c r="Q11" s="203">
        <v>0</v>
      </c>
      <c r="R11" s="203">
        <v>0</v>
      </c>
      <c r="S11" s="203">
        <v>0</v>
      </c>
      <c r="T11" s="203">
        <v>6</v>
      </c>
      <c r="U11" s="203">
        <v>18</v>
      </c>
      <c r="V11" s="203">
        <v>1</v>
      </c>
      <c r="W11" s="203">
        <v>6</v>
      </c>
      <c r="X11" s="203">
        <v>18</v>
      </c>
      <c r="Y11" s="203">
        <v>0</v>
      </c>
      <c r="Z11" s="203">
        <v>0</v>
      </c>
      <c r="AA11" s="203">
        <v>0</v>
      </c>
      <c r="AB11" s="203">
        <v>0</v>
      </c>
      <c r="AC11" s="203">
        <v>10</v>
      </c>
      <c r="AD11" s="203">
        <v>4</v>
      </c>
      <c r="AE11" s="203">
        <v>0</v>
      </c>
      <c r="AF11" s="203">
        <v>11</v>
      </c>
      <c r="AG11" s="203">
        <v>4</v>
      </c>
      <c r="AH11" s="203">
        <v>0</v>
      </c>
      <c r="AI11" s="203">
        <v>0</v>
      </c>
      <c r="AJ11" s="203">
        <v>0</v>
      </c>
      <c r="AK11" s="203">
        <v>0</v>
      </c>
      <c r="AL11" s="203">
        <f t="shared" si="19"/>
        <v>33</v>
      </c>
      <c r="AM11" s="203">
        <f t="shared" si="20"/>
        <v>44</v>
      </c>
      <c r="AN11" s="203">
        <f t="shared" si="21"/>
        <v>77</v>
      </c>
      <c r="AO11" s="203">
        <f t="shared" si="22"/>
        <v>1</v>
      </c>
      <c r="AP11" s="189">
        <f t="shared" si="23"/>
        <v>1.4925373134328357</v>
      </c>
      <c r="AQ11" s="189">
        <f t="shared" si="24"/>
        <v>1.4925373134328357</v>
      </c>
      <c r="AR11" s="189">
        <f t="shared" si="25"/>
        <v>1.2987012987012987</v>
      </c>
      <c r="AS11" s="81">
        <f t="shared" si="26"/>
        <v>42.857142857142854</v>
      </c>
      <c r="AT11" s="81">
        <f t="shared" si="27"/>
        <v>57.142857142857139</v>
      </c>
      <c r="AU11" s="108">
        <f t="shared" si="28"/>
        <v>0</v>
      </c>
      <c r="AV11" s="108">
        <f t="shared" si="29"/>
        <v>100</v>
      </c>
      <c r="AW11" s="108">
        <f t="shared" si="30"/>
        <v>0</v>
      </c>
      <c r="AX11" s="108">
        <f t="shared" si="31"/>
        <v>0</v>
      </c>
      <c r="AY11" s="108">
        <f t="shared" si="32"/>
        <v>0</v>
      </c>
      <c r="AZ11" s="108">
        <f t="shared" si="33"/>
        <v>0</v>
      </c>
      <c r="BA11" s="108">
        <f t="shared" si="34"/>
        <v>0</v>
      </c>
    </row>
    <row r="12" spans="1:53" s="3" customFormat="1" ht="20.25" customHeight="1">
      <c r="A12" s="419"/>
      <c r="B12" s="83" t="s">
        <v>62</v>
      </c>
      <c r="C12" s="83">
        <f>COUNTA(C7:C11)</f>
        <v>5</v>
      </c>
      <c r="D12" s="83">
        <f>D6</f>
        <v>1018</v>
      </c>
      <c r="E12" s="84">
        <f>MIN(E6:E11)</f>
        <v>45672</v>
      </c>
      <c r="F12" s="84">
        <f>MAX(F6:F11)</f>
        <v>45684</v>
      </c>
      <c r="G12" s="83">
        <f>G6</f>
        <v>246</v>
      </c>
      <c r="H12" s="83">
        <f>H6</f>
        <v>0</v>
      </c>
      <c r="I12" s="83">
        <f>I6</f>
        <v>246</v>
      </c>
      <c r="J12" s="83">
        <f t="shared" ref="J12:AK12" si="35">J6</f>
        <v>0</v>
      </c>
      <c r="K12" s="83">
        <f t="shared" si="35"/>
        <v>0</v>
      </c>
      <c r="L12" s="83">
        <f t="shared" si="35"/>
        <v>246</v>
      </c>
      <c r="M12" s="83">
        <f t="shared" si="35"/>
        <v>0</v>
      </c>
      <c r="N12" s="83">
        <f t="shared" si="35"/>
        <v>0</v>
      </c>
      <c r="O12" s="83">
        <f t="shared" si="35"/>
        <v>0</v>
      </c>
      <c r="P12" s="83">
        <f t="shared" si="35"/>
        <v>8</v>
      </c>
      <c r="Q12" s="83">
        <f t="shared" si="35"/>
        <v>0</v>
      </c>
      <c r="R12" s="83">
        <f t="shared" si="35"/>
        <v>1</v>
      </c>
      <c r="S12" s="83">
        <f t="shared" si="35"/>
        <v>0</v>
      </c>
      <c r="T12" s="83">
        <f t="shared" si="35"/>
        <v>28</v>
      </c>
      <c r="U12" s="83">
        <f t="shared" si="35"/>
        <v>45</v>
      </c>
      <c r="V12" s="83">
        <f t="shared" si="35"/>
        <v>4</v>
      </c>
      <c r="W12" s="83">
        <f t="shared" si="35"/>
        <v>93</v>
      </c>
      <c r="X12" s="83">
        <f t="shared" si="35"/>
        <v>96</v>
      </c>
      <c r="Y12" s="83">
        <f t="shared" si="35"/>
        <v>2</v>
      </c>
      <c r="Z12" s="83">
        <f t="shared" si="35"/>
        <v>0</v>
      </c>
      <c r="AA12" s="83">
        <f t="shared" si="35"/>
        <v>2</v>
      </c>
      <c r="AB12" s="83">
        <f t="shared" si="35"/>
        <v>0</v>
      </c>
      <c r="AC12" s="83">
        <f t="shared" si="35"/>
        <v>52</v>
      </c>
      <c r="AD12" s="83">
        <f t="shared" si="35"/>
        <v>59</v>
      </c>
      <c r="AE12" s="83">
        <f t="shared" si="35"/>
        <v>2</v>
      </c>
      <c r="AF12" s="83">
        <f t="shared" si="35"/>
        <v>89</v>
      </c>
      <c r="AG12" s="83">
        <f t="shared" si="35"/>
        <v>35</v>
      </c>
      <c r="AH12" s="83">
        <f t="shared" si="35"/>
        <v>0</v>
      </c>
      <c r="AI12" s="83">
        <f t="shared" si="35"/>
        <v>0</v>
      </c>
      <c r="AJ12" s="83">
        <f t="shared" si="35"/>
        <v>0</v>
      </c>
      <c r="AK12" s="83">
        <f t="shared" si="35"/>
        <v>0</v>
      </c>
      <c r="AL12" s="83">
        <f t="shared" ref="AL12:AM26" si="36">Q12+T12+W12+Z12+AC12+AF12+AI12</f>
        <v>262</v>
      </c>
      <c r="AM12" s="83">
        <f t="shared" si="36"/>
        <v>238</v>
      </c>
      <c r="AN12" s="83">
        <f t="shared" ref="AN12:AN14" si="37">AL12+AM12</f>
        <v>500</v>
      </c>
      <c r="AO12" s="83">
        <f t="shared" ref="AO12:AO26" si="38">S12+V12+Y12+AB12+AE12+AH12+AK12</f>
        <v>8</v>
      </c>
      <c r="AP12" s="190">
        <f t="shared" ref="AP12:AP21" si="39">P12/I12*100</f>
        <v>3.2520325203252036</v>
      </c>
      <c r="AQ12" s="190">
        <f t="shared" ref="AQ12:AQ21" si="40">AO12/I12*100</f>
        <v>3.2520325203252036</v>
      </c>
      <c r="AR12" s="190">
        <f t="shared" ref="AR12:AR26" si="41">AO12/AN12*100</f>
        <v>1.6</v>
      </c>
      <c r="AS12" s="85">
        <f t="shared" ref="AS12:AS26" si="42">AL12/AN12*100</f>
        <v>52.400000000000006</v>
      </c>
      <c r="AT12" s="85">
        <f t="shared" ref="AT12:AT26" si="43">AM12/AN12*100</f>
        <v>47.599999999999994</v>
      </c>
      <c r="AU12" s="85">
        <f t="shared" ref="AU12:AU26" si="44">S12/AO12*100</f>
        <v>0</v>
      </c>
      <c r="AV12" s="85">
        <f t="shared" ref="AV12:AV26" si="45">V12/AO12*100</f>
        <v>50</v>
      </c>
      <c r="AW12" s="85">
        <f t="shared" ref="AW12:AW26" si="46">Y12/AO12*100</f>
        <v>25</v>
      </c>
      <c r="AX12" s="85">
        <f t="shared" ref="AX12:AX68" si="47">AB12/AO12*100</f>
        <v>0</v>
      </c>
      <c r="AY12" s="85">
        <f t="shared" ref="AY12:AY26" si="48">AE12/AO12*100</f>
        <v>25</v>
      </c>
      <c r="AZ12" s="85">
        <f t="shared" ref="AZ12:AZ26" si="49">AH12/AO12*100</f>
        <v>0</v>
      </c>
      <c r="BA12" s="85">
        <f t="shared" ref="BA12:BA26" si="50">AK12/AO12*100</f>
        <v>0</v>
      </c>
    </row>
    <row r="13" spans="1:53" s="40" customFormat="1" ht="20.25" customHeight="1">
      <c r="A13" s="419"/>
      <c r="B13" s="393" t="s">
        <v>102</v>
      </c>
      <c r="C13" s="77" t="s">
        <v>141</v>
      </c>
      <c r="D13" s="77">
        <f>SUM(D15,D17,D19,D21,D22)</f>
        <v>1007</v>
      </c>
      <c r="E13" s="78">
        <f>MIN(E14:E22)</f>
        <v>45705</v>
      </c>
      <c r="F13" s="78">
        <f>MAX(F14:F21)</f>
        <v>45716</v>
      </c>
      <c r="G13" s="77">
        <f>SUM(G15,G17,G19,G21,G22)</f>
        <v>220</v>
      </c>
      <c r="H13" s="77">
        <f t="shared" ref="H13:AK13" si="51">SUM(H15,H17,H19,H21,H22)</f>
        <v>0</v>
      </c>
      <c r="I13" s="77">
        <f t="shared" si="51"/>
        <v>220</v>
      </c>
      <c r="J13" s="77">
        <f t="shared" si="51"/>
        <v>0</v>
      </c>
      <c r="K13" s="77">
        <f t="shared" si="51"/>
        <v>0</v>
      </c>
      <c r="L13" s="77">
        <f t="shared" si="51"/>
        <v>220</v>
      </c>
      <c r="M13" s="77">
        <f t="shared" si="51"/>
        <v>0</v>
      </c>
      <c r="N13" s="77">
        <f t="shared" si="51"/>
        <v>0</v>
      </c>
      <c r="O13" s="77">
        <f t="shared" si="51"/>
        <v>0</v>
      </c>
      <c r="P13" s="77">
        <f t="shared" si="51"/>
        <v>6</v>
      </c>
      <c r="Q13" s="77">
        <f t="shared" si="51"/>
        <v>0</v>
      </c>
      <c r="R13" s="77">
        <f t="shared" si="51"/>
        <v>0</v>
      </c>
      <c r="S13" s="77">
        <f t="shared" si="51"/>
        <v>0</v>
      </c>
      <c r="T13" s="77">
        <f t="shared" si="51"/>
        <v>27</v>
      </c>
      <c r="U13" s="77">
        <f t="shared" si="51"/>
        <v>35</v>
      </c>
      <c r="V13" s="77">
        <f t="shared" si="51"/>
        <v>4</v>
      </c>
      <c r="W13" s="77">
        <f t="shared" si="51"/>
        <v>97</v>
      </c>
      <c r="X13" s="77">
        <f t="shared" si="51"/>
        <v>72</v>
      </c>
      <c r="Y13" s="77">
        <f t="shared" si="51"/>
        <v>1</v>
      </c>
      <c r="Z13" s="77">
        <f t="shared" si="51"/>
        <v>1</v>
      </c>
      <c r="AA13" s="77">
        <f t="shared" si="51"/>
        <v>3</v>
      </c>
      <c r="AB13" s="77">
        <f t="shared" si="51"/>
        <v>0</v>
      </c>
      <c r="AC13" s="77">
        <f t="shared" si="51"/>
        <v>68</v>
      </c>
      <c r="AD13" s="77">
        <f t="shared" si="51"/>
        <v>40</v>
      </c>
      <c r="AE13" s="77">
        <f t="shared" si="51"/>
        <v>1</v>
      </c>
      <c r="AF13" s="77">
        <f t="shared" si="51"/>
        <v>20</v>
      </c>
      <c r="AG13" s="77">
        <f t="shared" si="51"/>
        <v>18</v>
      </c>
      <c r="AH13" s="77">
        <f t="shared" si="51"/>
        <v>0</v>
      </c>
      <c r="AI13" s="77">
        <f t="shared" si="51"/>
        <v>2</v>
      </c>
      <c r="AJ13" s="77">
        <f t="shared" si="51"/>
        <v>0</v>
      </c>
      <c r="AK13" s="77">
        <f t="shared" si="51"/>
        <v>0</v>
      </c>
      <c r="AL13" s="77">
        <f t="shared" si="36"/>
        <v>215</v>
      </c>
      <c r="AM13" s="77">
        <f t="shared" si="36"/>
        <v>168</v>
      </c>
      <c r="AN13" s="77">
        <f t="shared" si="37"/>
        <v>383</v>
      </c>
      <c r="AO13" s="77">
        <f t="shared" si="38"/>
        <v>6</v>
      </c>
      <c r="AP13" s="188">
        <f t="shared" si="39"/>
        <v>2.7272727272727271</v>
      </c>
      <c r="AQ13" s="188">
        <f t="shared" si="40"/>
        <v>2.7272727272727271</v>
      </c>
      <c r="AR13" s="188">
        <f t="shared" si="41"/>
        <v>1.5665796344647518</v>
      </c>
      <c r="AS13" s="88">
        <f t="shared" si="42"/>
        <v>56.13577023498695</v>
      </c>
      <c r="AT13" s="88">
        <f t="shared" si="43"/>
        <v>43.864229765013057</v>
      </c>
      <c r="AU13" s="88">
        <f t="shared" si="44"/>
        <v>0</v>
      </c>
      <c r="AV13" s="88">
        <f t="shared" si="45"/>
        <v>66.666666666666657</v>
      </c>
      <c r="AW13" s="88">
        <f t="shared" si="46"/>
        <v>16.666666666666664</v>
      </c>
      <c r="AX13" s="88">
        <f t="shared" si="47"/>
        <v>0</v>
      </c>
      <c r="AY13" s="88">
        <f t="shared" si="48"/>
        <v>16.666666666666664</v>
      </c>
      <c r="AZ13" s="88">
        <f t="shared" si="49"/>
        <v>0</v>
      </c>
      <c r="BA13" s="88">
        <f t="shared" si="50"/>
        <v>0</v>
      </c>
    </row>
    <row r="14" spans="1:53" s="40" customFormat="1" ht="20.25" customHeight="1">
      <c r="A14" s="419"/>
      <c r="B14" s="391"/>
      <c r="C14" s="4" t="s">
        <v>132</v>
      </c>
      <c r="D14" s="203">
        <v>104</v>
      </c>
      <c r="E14" s="103">
        <v>45706</v>
      </c>
      <c r="F14" s="103">
        <v>45707</v>
      </c>
      <c r="G14" s="203">
        <v>25</v>
      </c>
      <c r="H14" s="203">
        <v>0</v>
      </c>
      <c r="I14" s="203">
        <f t="shared" ref="I14:I20" si="52">G14+H14</f>
        <v>25</v>
      </c>
      <c r="J14" s="203">
        <v>0</v>
      </c>
      <c r="K14" s="203">
        <v>0</v>
      </c>
      <c r="L14" s="203">
        <f t="shared" ref="L14:L26" si="53">I14+K14+J14</f>
        <v>25</v>
      </c>
      <c r="M14" s="203">
        <v>0</v>
      </c>
      <c r="N14" s="203">
        <v>0</v>
      </c>
      <c r="O14" s="203">
        <v>0</v>
      </c>
      <c r="P14" s="203">
        <v>1</v>
      </c>
      <c r="Q14" s="203">
        <v>0</v>
      </c>
      <c r="R14" s="203">
        <v>0</v>
      </c>
      <c r="S14" s="203">
        <v>0</v>
      </c>
      <c r="T14" s="203">
        <v>4</v>
      </c>
      <c r="U14" s="203">
        <v>1</v>
      </c>
      <c r="V14" s="203">
        <v>0</v>
      </c>
      <c r="W14" s="203">
        <v>14</v>
      </c>
      <c r="X14" s="203">
        <v>6</v>
      </c>
      <c r="Y14" s="203">
        <v>0</v>
      </c>
      <c r="Z14" s="203">
        <v>0</v>
      </c>
      <c r="AA14" s="203">
        <v>0</v>
      </c>
      <c r="AB14" s="203">
        <v>0</v>
      </c>
      <c r="AC14" s="203">
        <v>14</v>
      </c>
      <c r="AD14" s="203">
        <v>2</v>
      </c>
      <c r="AE14" s="203">
        <v>1</v>
      </c>
      <c r="AF14" s="203">
        <v>2</v>
      </c>
      <c r="AG14" s="203">
        <v>1</v>
      </c>
      <c r="AH14" s="203">
        <v>0</v>
      </c>
      <c r="AI14" s="203">
        <v>0</v>
      </c>
      <c r="AJ14" s="203">
        <v>0</v>
      </c>
      <c r="AK14" s="203">
        <v>0</v>
      </c>
      <c r="AL14" s="203">
        <f t="shared" si="36"/>
        <v>34</v>
      </c>
      <c r="AM14" s="203">
        <f t="shared" si="36"/>
        <v>10</v>
      </c>
      <c r="AN14" s="203">
        <f t="shared" si="37"/>
        <v>44</v>
      </c>
      <c r="AO14" s="203">
        <f t="shared" si="38"/>
        <v>1</v>
      </c>
      <c r="AP14" s="189">
        <f t="shared" si="39"/>
        <v>4</v>
      </c>
      <c r="AQ14" s="189">
        <f t="shared" si="40"/>
        <v>4</v>
      </c>
      <c r="AR14" s="189">
        <f t="shared" si="41"/>
        <v>2.2727272727272729</v>
      </c>
      <c r="AS14" s="81">
        <f t="shared" si="42"/>
        <v>77.272727272727266</v>
      </c>
      <c r="AT14" s="81">
        <f t="shared" si="43"/>
        <v>22.727272727272727</v>
      </c>
      <c r="AU14" s="108">
        <f t="shared" si="44"/>
        <v>0</v>
      </c>
      <c r="AV14" s="108">
        <f t="shared" si="45"/>
        <v>0</v>
      </c>
      <c r="AW14" s="108">
        <f t="shared" si="46"/>
        <v>0</v>
      </c>
      <c r="AX14" s="108">
        <f t="shared" si="47"/>
        <v>0</v>
      </c>
      <c r="AY14" s="108">
        <f t="shared" si="48"/>
        <v>100</v>
      </c>
      <c r="AZ14" s="108">
        <f t="shared" si="49"/>
        <v>0</v>
      </c>
      <c r="BA14" s="108">
        <f t="shared" si="50"/>
        <v>0</v>
      </c>
    </row>
    <row r="15" spans="1:53" s="40" customFormat="1" ht="20.25" customHeight="1">
      <c r="A15" s="419"/>
      <c r="B15" s="391"/>
      <c r="C15" s="4" t="s">
        <v>132</v>
      </c>
      <c r="D15" s="203">
        <v>242</v>
      </c>
      <c r="E15" s="232">
        <v>45712</v>
      </c>
      <c r="F15" s="103">
        <v>45712</v>
      </c>
      <c r="G15" s="203">
        <v>48</v>
      </c>
      <c r="H15" s="203">
        <v>0</v>
      </c>
      <c r="I15" s="203">
        <v>48</v>
      </c>
      <c r="J15" s="203">
        <v>0</v>
      </c>
      <c r="K15" s="203">
        <v>0</v>
      </c>
      <c r="L15" s="203">
        <f t="shared" ref="L15" si="54">I15+K15+J15</f>
        <v>48</v>
      </c>
      <c r="M15" s="203">
        <v>0</v>
      </c>
      <c r="N15" s="203">
        <v>0</v>
      </c>
      <c r="O15" s="203">
        <v>0</v>
      </c>
      <c r="P15" s="203">
        <v>1</v>
      </c>
      <c r="Q15" s="203">
        <v>0</v>
      </c>
      <c r="R15" s="203">
        <v>0</v>
      </c>
      <c r="S15" s="203">
        <v>0</v>
      </c>
      <c r="T15" s="203">
        <v>3</v>
      </c>
      <c r="U15" s="203">
        <v>8</v>
      </c>
      <c r="V15" s="203">
        <v>1</v>
      </c>
      <c r="W15" s="203">
        <v>32</v>
      </c>
      <c r="X15" s="203">
        <v>19</v>
      </c>
      <c r="Y15" s="203">
        <v>0</v>
      </c>
      <c r="Z15" s="203">
        <v>0</v>
      </c>
      <c r="AA15" s="203">
        <v>0</v>
      </c>
      <c r="AB15" s="203">
        <v>0</v>
      </c>
      <c r="AC15" s="203">
        <v>15</v>
      </c>
      <c r="AD15" s="203">
        <v>6</v>
      </c>
      <c r="AE15" s="203">
        <v>0</v>
      </c>
      <c r="AF15" s="203">
        <v>2</v>
      </c>
      <c r="AG15" s="203">
        <v>0</v>
      </c>
      <c r="AH15" s="203">
        <v>0</v>
      </c>
      <c r="AI15" s="203">
        <v>1</v>
      </c>
      <c r="AJ15" s="203">
        <v>0</v>
      </c>
      <c r="AK15" s="203">
        <v>0</v>
      </c>
      <c r="AL15" s="203">
        <f t="shared" ref="AL15" si="55">Q15+T15+W15+Z15+AC15+AF15+AI15</f>
        <v>53</v>
      </c>
      <c r="AM15" s="203">
        <f t="shared" ref="AM15" si="56">R15+U15+X15+AA15+AD15+AG15+AJ15</f>
        <v>33</v>
      </c>
      <c r="AN15" s="203">
        <f t="shared" ref="AN15" si="57">R15+U15+X15+AA15+AD15+AG15+AJ15</f>
        <v>33</v>
      </c>
      <c r="AO15" s="203">
        <f t="shared" ref="AO15" si="58">S15+V15+Y15+AB15+AE15+AH15+AK15</f>
        <v>1</v>
      </c>
      <c r="AP15" s="189">
        <f t="shared" si="39"/>
        <v>2.083333333333333</v>
      </c>
      <c r="AQ15" s="189">
        <f t="shared" si="40"/>
        <v>2.083333333333333</v>
      </c>
      <c r="AR15" s="189">
        <f t="shared" si="41"/>
        <v>3.0303030303030303</v>
      </c>
      <c r="AS15" s="81">
        <f t="shared" si="42"/>
        <v>160.60606060606059</v>
      </c>
      <c r="AT15" s="81">
        <f t="shared" si="43"/>
        <v>100</v>
      </c>
      <c r="AU15" s="108">
        <f t="shared" si="44"/>
        <v>0</v>
      </c>
      <c r="AV15" s="108">
        <f t="shared" si="45"/>
        <v>100</v>
      </c>
      <c r="AW15" s="108">
        <f t="shared" si="46"/>
        <v>0</v>
      </c>
      <c r="AX15" s="108">
        <f t="shared" si="47"/>
        <v>0</v>
      </c>
      <c r="AY15" s="108">
        <f t="shared" si="48"/>
        <v>0</v>
      </c>
      <c r="AZ15" s="108">
        <f t="shared" si="49"/>
        <v>0</v>
      </c>
      <c r="BA15" s="108">
        <f t="shared" si="50"/>
        <v>0</v>
      </c>
    </row>
    <row r="16" spans="1:53" s="40" customFormat="1" ht="20.25" customHeight="1">
      <c r="A16" s="419"/>
      <c r="B16" s="391"/>
      <c r="C16" s="4" t="s">
        <v>134</v>
      </c>
      <c r="D16" s="203">
        <v>72</v>
      </c>
      <c r="E16" s="103">
        <v>45709</v>
      </c>
      <c r="F16" s="103">
        <v>45715</v>
      </c>
      <c r="G16" s="203">
        <v>17</v>
      </c>
      <c r="H16" s="203">
        <v>0</v>
      </c>
      <c r="I16" s="203">
        <f t="shared" si="52"/>
        <v>17</v>
      </c>
      <c r="J16" s="203">
        <v>1</v>
      </c>
      <c r="K16" s="203">
        <v>0</v>
      </c>
      <c r="L16" s="203">
        <f t="shared" si="53"/>
        <v>18</v>
      </c>
      <c r="M16" s="203">
        <v>0</v>
      </c>
      <c r="N16" s="203">
        <v>0</v>
      </c>
      <c r="O16" s="203">
        <v>0</v>
      </c>
      <c r="P16" s="203">
        <v>0</v>
      </c>
      <c r="Q16" s="203">
        <v>0</v>
      </c>
      <c r="R16" s="203">
        <v>0</v>
      </c>
      <c r="S16" s="203">
        <v>0</v>
      </c>
      <c r="T16" s="203">
        <v>1</v>
      </c>
      <c r="U16" s="203">
        <v>0</v>
      </c>
      <c r="V16" s="203">
        <v>0</v>
      </c>
      <c r="W16" s="203">
        <v>2</v>
      </c>
      <c r="X16" s="203">
        <v>8</v>
      </c>
      <c r="Y16" s="203">
        <v>0</v>
      </c>
      <c r="Z16" s="203">
        <v>0</v>
      </c>
      <c r="AA16" s="203">
        <v>0</v>
      </c>
      <c r="AB16" s="203">
        <v>0</v>
      </c>
      <c r="AC16" s="203">
        <v>5</v>
      </c>
      <c r="AD16" s="203">
        <v>0</v>
      </c>
      <c r="AE16" s="203">
        <v>0</v>
      </c>
      <c r="AF16" s="203">
        <v>6</v>
      </c>
      <c r="AG16" s="203">
        <v>0</v>
      </c>
      <c r="AH16" s="203">
        <v>0</v>
      </c>
      <c r="AI16" s="203">
        <v>0</v>
      </c>
      <c r="AJ16" s="203">
        <v>0</v>
      </c>
      <c r="AK16" s="203">
        <v>0</v>
      </c>
      <c r="AL16" s="203">
        <f t="shared" si="36"/>
        <v>14</v>
      </c>
      <c r="AM16" s="203">
        <f t="shared" si="36"/>
        <v>8</v>
      </c>
      <c r="AN16" s="203">
        <f t="shared" ref="AN16:AN26" si="59">R16+U16+X16+AA16+AD16+AG16+AJ16</f>
        <v>8</v>
      </c>
      <c r="AO16" s="203">
        <f t="shared" si="38"/>
        <v>0</v>
      </c>
      <c r="AP16" s="189">
        <f t="shared" si="39"/>
        <v>0</v>
      </c>
      <c r="AQ16" s="189">
        <f t="shared" si="40"/>
        <v>0</v>
      </c>
      <c r="AR16" s="189">
        <f t="shared" si="41"/>
        <v>0</v>
      </c>
      <c r="AS16" s="81">
        <f t="shared" si="42"/>
        <v>175</v>
      </c>
      <c r="AT16" s="81">
        <f t="shared" si="43"/>
        <v>100</v>
      </c>
      <c r="AU16" s="108" t="e">
        <f t="shared" si="44"/>
        <v>#DIV/0!</v>
      </c>
      <c r="AV16" s="108" t="e">
        <f t="shared" si="45"/>
        <v>#DIV/0!</v>
      </c>
      <c r="AW16" s="108" t="e">
        <f t="shared" si="46"/>
        <v>#DIV/0!</v>
      </c>
      <c r="AX16" s="108" t="e">
        <f t="shared" si="47"/>
        <v>#DIV/0!</v>
      </c>
      <c r="AY16" s="108" t="e">
        <f t="shared" si="48"/>
        <v>#DIV/0!</v>
      </c>
      <c r="AZ16" s="108" t="e">
        <f t="shared" si="49"/>
        <v>#DIV/0!</v>
      </c>
      <c r="BA16" s="108" t="e">
        <f t="shared" si="50"/>
        <v>#DIV/0!</v>
      </c>
    </row>
    <row r="17" spans="1:53" s="40" customFormat="1" ht="20.25" customHeight="1">
      <c r="A17" s="419"/>
      <c r="B17" s="391"/>
      <c r="C17" s="4" t="s">
        <v>134</v>
      </c>
      <c r="D17" s="203">
        <v>256</v>
      </c>
      <c r="E17" s="232">
        <v>45714</v>
      </c>
      <c r="F17" s="103">
        <v>45715</v>
      </c>
      <c r="G17" s="203">
        <v>57</v>
      </c>
      <c r="H17" s="203">
        <v>0</v>
      </c>
      <c r="I17" s="203">
        <v>57</v>
      </c>
      <c r="J17" s="203">
        <v>0</v>
      </c>
      <c r="K17" s="203">
        <v>0</v>
      </c>
      <c r="L17" s="203">
        <f t="shared" ref="L17" si="60">I17+K17+J17</f>
        <v>57</v>
      </c>
      <c r="M17" s="203">
        <v>0</v>
      </c>
      <c r="N17" s="203">
        <v>0</v>
      </c>
      <c r="O17" s="203">
        <v>0</v>
      </c>
      <c r="P17" s="203">
        <v>2</v>
      </c>
      <c r="Q17" s="203">
        <v>0</v>
      </c>
      <c r="R17" s="203">
        <v>0</v>
      </c>
      <c r="S17" s="203">
        <v>0</v>
      </c>
      <c r="T17" s="203">
        <v>1</v>
      </c>
      <c r="U17" s="203">
        <v>13</v>
      </c>
      <c r="V17" s="203">
        <v>2</v>
      </c>
      <c r="W17" s="203">
        <v>7</v>
      </c>
      <c r="X17" s="203">
        <v>17</v>
      </c>
      <c r="Y17" s="203">
        <v>0</v>
      </c>
      <c r="Z17" s="203">
        <v>0</v>
      </c>
      <c r="AA17" s="203">
        <v>1</v>
      </c>
      <c r="AB17" s="203">
        <v>0</v>
      </c>
      <c r="AC17" s="203">
        <v>12</v>
      </c>
      <c r="AD17" s="203">
        <v>5</v>
      </c>
      <c r="AE17" s="203">
        <v>0</v>
      </c>
      <c r="AF17" s="203">
        <v>10</v>
      </c>
      <c r="AG17" s="203">
        <v>5</v>
      </c>
      <c r="AH17" s="203">
        <v>0</v>
      </c>
      <c r="AI17" s="203">
        <v>0</v>
      </c>
      <c r="AJ17" s="203">
        <v>0</v>
      </c>
      <c r="AK17" s="203">
        <v>0</v>
      </c>
      <c r="AL17" s="203">
        <f t="shared" ref="AL17" si="61">Q17+T17+W17+Z17+AC17+AF17+AI17</f>
        <v>30</v>
      </c>
      <c r="AM17" s="203">
        <f t="shared" ref="AM17" si="62">R17+U17+X17+AA17+AD17+AG17+AJ17</f>
        <v>41</v>
      </c>
      <c r="AN17" s="203">
        <f t="shared" ref="AN17" si="63">R17+U17+X17+AA17+AD17+AG17+AJ17</f>
        <v>41</v>
      </c>
      <c r="AO17" s="203">
        <f t="shared" ref="AO17" si="64">S17+V17+Y17+AB17+AE17+AH17+AK17</f>
        <v>2</v>
      </c>
      <c r="AP17" s="189">
        <f t="shared" si="39"/>
        <v>3.5087719298245612</v>
      </c>
      <c r="AQ17" s="189">
        <f t="shared" si="40"/>
        <v>3.5087719298245612</v>
      </c>
      <c r="AR17" s="189">
        <f t="shared" si="41"/>
        <v>4.8780487804878048</v>
      </c>
      <c r="AS17" s="81">
        <f t="shared" si="42"/>
        <v>73.170731707317074</v>
      </c>
      <c r="AT17" s="81">
        <f t="shared" si="43"/>
        <v>100</v>
      </c>
      <c r="AU17" s="108">
        <f t="shared" si="44"/>
        <v>0</v>
      </c>
      <c r="AV17" s="108">
        <f t="shared" si="45"/>
        <v>100</v>
      </c>
      <c r="AW17" s="108">
        <f t="shared" si="46"/>
        <v>0</v>
      </c>
      <c r="AX17" s="108">
        <f t="shared" si="47"/>
        <v>0</v>
      </c>
      <c r="AY17" s="108">
        <f t="shared" si="48"/>
        <v>0</v>
      </c>
      <c r="AZ17" s="108">
        <f t="shared" si="49"/>
        <v>0</v>
      </c>
      <c r="BA17" s="108">
        <f t="shared" si="50"/>
        <v>0</v>
      </c>
    </row>
    <row r="18" spans="1:53" s="40" customFormat="1" ht="20.25" customHeight="1">
      <c r="A18" s="419"/>
      <c r="B18" s="391"/>
      <c r="C18" s="4" t="s">
        <v>133</v>
      </c>
      <c r="D18" s="203">
        <v>43</v>
      </c>
      <c r="E18" s="103">
        <v>45715</v>
      </c>
      <c r="F18" s="103">
        <v>45715</v>
      </c>
      <c r="G18" s="203">
        <v>12</v>
      </c>
      <c r="H18" s="203">
        <v>0</v>
      </c>
      <c r="I18" s="203">
        <f t="shared" si="52"/>
        <v>12</v>
      </c>
      <c r="J18" s="203">
        <v>0</v>
      </c>
      <c r="K18" s="203">
        <v>0</v>
      </c>
      <c r="L18" s="203">
        <f t="shared" si="53"/>
        <v>12</v>
      </c>
      <c r="M18" s="203">
        <v>0</v>
      </c>
      <c r="N18" s="203">
        <v>0</v>
      </c>
      <c r="O18" s="203">
        <v>0</v>
      </c>
      <c r="P18" s="203">
        <v>0</v>
      </c>
      <c r="Q18" s="203">
        <v>0</v>
      </c>
      <c r="R18" s="203">
        <v>0</v>
      </c>
      <c r="S18" s="203">
        <v>0</v>
      </c>
      <c r="T18" s="203">
        <v>0</v>
      </c>
      <c r="U18" s="203">
        <v>0</v>
      </c>
      <c r="V18" s="203">
        <v>0</v>
      </c>
      <c r="W18" s="203">
        <v>0</v>
      </c>
      <c r="X18" s="203">
        <v>3</v>
      </c>
      <c r="Y18" s="203">
        <v>0</v>
      </c>
      <c r="Z18" s="203">
        <v>0</v>
      </c>
      <c r="AA18" s="203">
        <v>0</v>
      </c>
      <c r="AB18" s="203">
        <v>0</v>
      </c>
      <c r="AC18" s="203">
        <v>0</v>
      </c>
      <c r="AD18" s="203">
        <v>0</v>
      </c>
      <c r="AE18" s="203">
        <v>0</v>
      </c>
      <c r="AF18" s="203">
        <v>0</v>
      </c>
      <c r="AG18" s="203">
        <v>0</v>
      </c>
      <c r="AH18" s="203">
        <v>0</v>
      </c>
      <c r="AI18" s="203">
        <v>0</v>
      </c>
      <c r="AJ18" s="203">
        <v>0</v>
      </c>
      <c r="AK18" s="203">
        <v>0</v>
      </c>
      <c r="AL18" s="203">
        <f t="shared" si="36"/>
        <v>0</v>
      </c>
      <c r="AM18" s="203">
        <f t="shared" si="36"/>
        <v>3</v>
      </c>
      <c r="AN18" s="203">
        <f t="shared" si="59"/>
        <v>3</v>
      </c>
      <c r="AO18" s="203">
        <f t="shared" si="38"/>
        <v>0</v>
      </c>
      <c r="AP18" s="189">
        <f t="shared" si="39"/>
        <v>0</v>
      </c>
      <c r="AQ18" s="189">
        <f t="shared" si="40"/>
        <v>0</v>
      </c>
      <c r="AR18" s="189">
        <f t="shared" si="41"/>
        <v>0</v>
      </c>
      <c r="AS18" s="81">
        <f t="shared" si="42"/>
        <v>0</v>
      </c>
      <c r="AT18" s="81">
        <f t="shared" si="43"/>
        <v>100</v>
      </c>
      <c r="AU18" s="108" t="e">
        <f t="shared" si="44"/>
        <v>#DIV/0!</v>
      </c>
      <c r="AV18" s="108" t="e">
        <f t="shared" si="45"/>
        <v>#DIV/0!</v>
      </c>
      <c r="AW18" s="108" t="e">
        <f t="shared" si="46"/>
        <v>#DIV/0!</v>
      </c>
      <c r="AX18" s="108" t="e">
        <f t="shared" si="47"/>
        <v>#DIV/0!</v>
      </c>
      <c r="AY18" s="108" t="e">
        <f t="shared" si="48"/>
        <v>#DIV/0!</v>
      </c>
      <c r="AZ18" s="108" t="e">
        <f t="shared" si="49"/>
        <v>#DIV/0!</v>
      </c>
      <c r="BA18" s="108" t="e">
        <f t="shared" si="50"/>
        <v>#DIV/0!</v>
      </c>
    </row>
    <row r="19" spans="1:53" s="40" customFormat="1" ht="20.25" customHeight="1">
      <c r="A19" s="419"/>
      <c r="B19" s="391"/>
      <c r="C19" s="4" t="s">
        <v>133</v>
      </c>
      <c r="D19" s="203">
        <v>155</v>
      </c>
      <c r="E19" s="232">
        <v>45713</v>
      </c>
      <c r="F19" s="103">
        <v>45713</v>
      </c>
      <c r="G19" s="203">
        <v>39</v>
      </c>
      <c r="H19" s="203">
        <v>0</v>
      </c>
      <c r="I19" s="203">
        <v>39</v>
      </c>
      <c r="J19" s="203">
        <v>0</v>
      </c>
      <c r="K19" s="203">
        <v>0</v>
      </c>
      <c r="L19" s="203">
        <f t="shared" ref="L19" si="65">I19+K19+J19</f>
        <v>39</v>
      </c>
      <c r="M19" s="203">
        <v>0</v>
      </c>
      <c r="N19" s="203">
        <v>0</v>
      </c>
      <c r="O19" s="203">
        <v>0</v>
      </c>
      <c r="P19" s="203">
        <v>1</v>
      </c>
      <c r="Q19" s="203">
        <v>0</v>
      </c>
      <c r="R19" s="203">
        <v>0</v>
      </c>
      <c r="S19" s="203">
        <v>0</v>
      </c>
      <c r="T19" s="203">
        <v>6</v>
      </c>
      <c r="U19" s="203">
        <v>7</v>
      </c>
      <c r="V19" s="203">
        <v>0</v>
      </c>
      <c r="W19" s="203">
        <v>14</v>
      </c>
      <c r="X19" s="203">
        <v>9</v>
      </c>
      <c r="Y19" s="203">
        <v>1</v>
      </c>
      <c r="Z19" s="203">
        <v>1</v>
      </c>
      <c r="AA19" s="203">
        <v>1</v>
      </c>
      <c r="AB19" s="203">
        <v>0</v>
      </c>
      <c r="AC19" s="203">
        <v>5</v>
      </c>
      <c r="AD19" s="203">
        <v>9</v>
      </c>
      <c r="AE19" s="203">
        <v>0</v>
      </c>
      <c r="AF19" s="203">
        <v>1</v>
      </c>
      <c r="AG19" s="203">
        <v>1</v>
      </c>
      <c r="AH19" s="203">
        <v>0</v>
      </c>
      <c r="AI19" s="203">
        <v>0</v>
      </c>
      <c r="AJ19" s="203">
        <v>0</v>
      </c>
      <c r="AK19" s="203">
        <v>0</v>
      </c>
      <c r="AL19" s="203">
        <f t="shared" ref="AL19" si="66">Q19+T19+W19+Z19+AC19+AF19+AI19</f>
        <v>27</v>
      </c>
      <c r="AM19" s="203">
        <f t="shared" ref="AM19" si="67">R19+U19+X19+AA19+AD19+AG19+AJ19</f>
        <v>27</v>
      </c>
      <c r="AN19" s="203">
        <f t="shared" ref="AN19" si="68">R19+U19+X19+AA19+AD19+AG19+AJ19</f>
        <v>27</v>
      </c>
      <c r="AO19" s="203">
        <f t="shared" ref="AO19" si="69">S19+V19+Y19+AB19+AE19+AH19+AK19</f>
        <v>1</v>
      </c>
      <c r="AP19" s="189">
        <f t="shared" si="39"/>
        <v>2.5641025641025639</v>
      </c>
      <c r="AQ19" s="189">
        <f t="shared" si="40"/>
        <v>2.5641025641025639</v>
      </c>
      <c r="AR19" s="189">
        <f t="shared" si="41"/>
        <v>3.7037037037037033</v>
      </c>
      <c r="AS19" s="81">
        <f t="shared" si="42"/>
        <v>100</v>
      </c>
      <c r="AT19" s="81">
        <f t="shared" si="43"/>
        <v>100</v>
      </c>
      <c r="AU19" s="108">
        <f t="shared" si="44"/>
        <v>0</v>
      </c>
      <c r="AV19" s="108">
        <f t="shared" si="45"/>
        <v>0</v>
      </c>
      <c r="AW19" s="108">
        <f t="shared" si="46"/>
        <v>100</v>
      </c>
      <c r="AX19" s="108">
        <f t="shared" si="47"/>
        <v>0</v>
      </c>
      <c r="AY19" s="108">
        <f t="shared" si="48"/>
        <v>0</v>
      </c>
      <c r="AZ19" s="108">
        <f t="shared" si="49"/>
        <v>0</v>
      </c>
      <c r="BA19" s="108">
        <f t="shared" si="50"/>
        <v>0</v>
      </c>
    </row>
    <row r="20" spans="1:53" s="40" customFormat="1" ht="20.25" customHeight="1">
      <c r="A20" s="419"/>
      <c r="B20" s="391"/>
      <c r="C20" s="4" t="s">
        <v>131</v>
      </c>
      <c r="D20" s="203">
        <v>69</v>
      </c>
      <c r="E20" s="103">
        <v>45716</v>
      </c>
      <c r="F20" s="103">
        <v>45716</v>
      </c>
      <c r="G20" s="203">
        <v>16</v>
      </c>
      <c r="H20" s="203">
        <v>0</v>
      </c>
      <c r="I20" s="203">
        <f t="shared" si="52"/>
        <v>16</v>
      </c>
      <c r="J20" s="203">
        <v>2</v>
      </c>
      <c r="K20" s="203">
        <v>0</v>
      </c>
      <c r="L20" s="203">
        <f t="shared" si="53"/>
        <v>18</v>
      </c>
      <c r="M20" s="203">
        <v>0</v>
      </c>
      <c r="N20" s="203">
        <v>0</v>
      </c>
      <c r="O20" s="203">
        <v>0</v>
      </c>
      <c r="P20" s="203">
        <v>0</v>
      </c>
      <c r="Q20" s="203">
        <v>0</v>
      </c>
      <c r="R20" s="203">
        <v>0</v>
      </c>
      <c r="S20" s="203">
        <v>0</v>
      </c>
      <c r="T20" s="203">
        <v>0</v>
      </c>
      <c r="U20" s="203">
        <v>1</v>
      </c>
      <c r="V20" s="203">
        <v>0</v>
      </c>
      <c r="W20" s="203">
        <v>5</v>
      </c>
      <c r="X20" s="203">
        <v>2</v>
      </c>
      <c r="Y20" s="203">
        <v>0</v>
      </c>
      <c r="Z20" s="203">
        <v>0</v>
      </c>
      <c r="AA20" s="203">
        <v>0</v>
      </c>
      <c r="AB20" s="203">
        <v>0</v>
      </c>
      <c r="AC20" s="203">
        <v>3</v>
      </c>
      <c r="AD20" s="203">
        <v>1</v>
      </c>
      <c r="AE20" s="203">
        <v>0</v>
      </c>
      <c r="AF20" s="203">
        <v>10</v>
      </c>
      <c r="AG20" s="203">
        <v>1</v>
      </c>
      <c r="AH20" s="203">
        <v>0</v>
      </c>
      <c r="AI20" s="203">
        <v>0</v>
      </c>
      <c r="AJ20" s="203">
        <v>0</v>
      </c>
      <c r="AK20" s="203">
        <v>0</v>
      </c>
      <c r="AL20" s="203">
        <f t="shared" si="36"/>
        <v>18</v>
      </c>
      <c r="AM20" s="203">
        <f t="shared" si="36"/>
        <v>5</v>
      </c>
      <c r="AN20" s="203">
        <f t="shared" si="59"/>
        <v>5</v>
      </c>
      <c r="AO20" s="203">
        <f t="shared" si="38"/>
        <v>0</v>
      </c>
      <c r="AP20" s="189">
        <f t="shared" si="39"/>
        <v>0</v>
      </c>
      <c r="AQ20" s="189">
        <f t="shared" si="40"/>
        <v>0</v>
      </c>
      <c r="AR20" s="189">
        <f t="shared" si="41"/>
        <v>0</v>
      </c>
      <c r="AS20" s="81">
        <f t="shared" si="42"/>
        <v>360</v>
      </c>
      <c r="AT20" s="81">
        <f t="shared" si="43"/>
        <v>100</v>
      </c>
      <c r="AU20" s="108" t="e">
        <f t="shared" si="44"/>
        <v>#DIV/0!</v>
      </c>
      <c r="AV20" s="108" t="e">
        <f t="shared" si="45"/>
        <v>#DIV/0!</v>
      </c>
      <c r="AW20" s="108" t="e">
        <f t="shared" si="46"/>
        <v>#DIV/0!</v>
      </c>
      <c r="AX20" s="108" t="e">
        <f t="shared" si="47"/>
        <v>#DIV/0!</v>
      </c>
      <c r="AY20" s="108" t="e">
        <f t="shared" si="48"/>
        <v>#DIV/0!</v>
      </c>
      <c r="AZ20" s="108" t="e">
        <f t="shared" si="49"/>
        <v>#DIV/0!</v>
      </c>
      <c r="BA20" s="108" t="e">
        <f t="shared" si="50"/>
        <v>#DIV/0!</v>
      </c>
    </row>
    <row r="21" spans="1:53" s="40" customFormat="1" ht="20.25" customHeight="1">
      <c r="A21" s="419"/>
      <c r="B21" s="391"/>
      <c r="C21" s="4" t="s">
        <v>131</v>
      </c>
      <c r="D21" s="203">
        <v>287</v>
      </c>
      <c r="E21" s="232">
        <v>45705</v>
      </c>
      <c r="F21" s="103">
        <v>45707</v>
      </c>
      <c r="G21" s="203">
        <v>62</v>
      </c>
      <c r="H21" s="203">
        <v>0</v>
      </c>
      <c r="I21" s="203">
        <v>62</v>
      </c>
      <c r="J21" s="203">
        <v>0</v>
      </c>
      <c r="K21" s="203">
        <v>0</v>
      </c>
      <c r="L21" s="203">
        <f t="shared" si="53"/>
        <v>62</v>
      </c>
      <c r="M21" s="203">
        <v>0</v>
      </c>
      <c r="N21" s="203">
        <v>0</v>
      </c>
      <c r="O21" s="203">
        <v>0</v>
      </c>
      <c r="P21" s="203">
        <v>2</v>
      </c>
      <c r="Q21" s="203">
        <v>0</v>
      </c>
      <c r="R21" s="203">
        <v>0</v>
      </c>
      <c r="S21" s="203">
        <v>0</v>
      </c>
      <c r="T21" s="203">
        <v>14</v>
      </c>
      <c r="U21" s="203">
        <v>6</v>
      </c>
      <c r="V21" s="203">
        <v>1</v>
      </c>
      <c r="W21" s="203">
        <v>36</v>
      </c>
      <c r="X21" s="203">
        <v>18</v>
      </c>
      <c r="Y21" s="203">
        <v>0</v>
      </c>
      <c r="Z21" s="203">
        <v>0</v>
      </c>
      <c r="AA21" s="203">
        <v>1</v>
      </c>
      <c r="AB21" s="203">
        <v>0</v>
      </c>
      <c r="AC21" s="203">
        <v>35</v>
      </c>
      <c r="AD21" s="203">
        <v>19</v>
      </c>
      <c r="AE21" s="203">
        <v>1</v>
      </c>
      <c r="AF21" s="203">
        <v>5</v>
      </c>
      <c r="AG21" s="203">
        <v>11</v>
      </c>
      <c r="AH21" s="203">
        <v>0</v>
      </c>
      <c r="AI21" s="203">
        <v>1</v>
      </c>
      <c r="AJ21" s="203">
        <v>0</v>
      </c>
      <c r="AK21" s="203">
        <v>0</v>
      </c>
      <c r="AL21" s="203">
        <f t="shared" si="36"/>
        <v>91</v>
      </c>
      <c r="AM21" s="203">
        <f t="shared" si="36"/>
        <v>55</v>
      </c>
      <c r="AN21" s="203">
        <f t="shared" si="59"/>
        <v>55</v>
      </c>
      <c r="AO21" s="203">
        <f t="shared" si="38"/>
        <v>2</v>
      </c>
      <c r="AP21" s="189">
        <f t="shared" si="39"/>
        <v>3.225806451612903</v>
      </c>
      <c r="AQ21" s="189">
        <f t="shared" si="40"/>
        <v>3.225806451612903</v>
      </c>
      <c r="AR21" s="189">
        <f t="shared" ref="AR21:AR25" si="70">AO21/AN21*100</f>
        <v>3.6363636363636362</v>
      </c>
      <c r="AS21" s="81">
        <f t="shared" ref="AS21:AS25" si="71">AL21/AN21*100</f>
        <v>165.45454545454547</v>
      </c>
      <c r="AT21" s="81">
        <f t="shared" ref="AT21:AT25" si="72">AM21/AN21*100</f>
        <v>100</v>
      </c>
      <c r="AU21" s="108">
        <f t="shared" ref="AU21:AU25" si="73">S21/AO21*100</f>
        <v>0</v>
      </c>
      <c r="AV21" s="108">
        <f t="shared" ref="AV21:AV25" si="74">V21/AO21*100</f>
        <v>50</v>
      </c>
      <c r="AW21" s="108">
        <f t="shared" ref="AW21:AW25" si="75">Y21/AO21*100</f>
        <v>0</v>
      </c>
      <c r="AX21" s="108">
        <f t="shared" ref="AX21:AX25" si="76">AB21/AO21*100</f>
        <v>0</v>
      </c>
      <c r="AY21" s="108">
        <f t="shared" ref="AY21:AY25" si="77">AE21/AO21*100</f>
        <v>50</v>
      </c>
      <c r="AZ21" s="108">
        <f t="shared" ref="AZ21:AZ25" si="78">AH21/AO21*100</f>
        <v>0</v>
      </c>
      <c r="BA21" s="108">
        <f t="shared" ref="BA21:BA25" si="79">AK21/AO21*100</f>
        <v>0</v>
      </c>
    </row>
    <row r="22" spans="1:53" s="40" customFormat="1" ht="20.25" customHeight="1">
      <c r="A22" s="419"/>
      <c r="B22" s="392"/>
      <c r="C22" s="4" t="s">
        <v>130</v>
      </c>
      <c r="D22" s="203">
        <v>67</v>
      </c>
      <c r="E22" s="103">
        <v>45715</v>
      </c>
      <c r="F22" s="103">
        <v>45715</v>
      </c>
      <c r="G22" s="203">
        <v>14</v>
      </c>
      <c r="H22" s="203">
        <v>0</v>
      </c>
      <c r="I22" s="203">
        <v>14</v>
      </c>
      <c r="J22" s="203">
        <v>0</v>
      </c>
      <c r="K22" s="203">
        <v>0</v>
      </c>
      <c r="L22" s="203">
        <f t="shared" si="53"/>
        <v>14</v>
      </c>
      <c r="M22" s="203">
        <v>0</v>
      </c>
      <c r="N22" s="203">
        <v>0</v>
      </c>
      <c r="O22" s="203">
        <v>0</v>
      </c>
      <c r="P22" s="203">
        <v>0</v>
      </c>
      <c r="Q22" s="203">
        <v>0</v>
      </c>
      <c r="R22" s="203">
        <v>0</v>
      </c>
      <c r="S22" s="203">
        <v>0</v>
      </c>
      <c r="T22" s="203">
        <v>3</v>
      </c>
      <c r="U22" s="203">
        <v>1</v>
      </c>
      <c r="V22" s="203">
        <v>0</v>
      </c>
      <c r="W22" s="203">
        <v>8</v>
      </c>
      <c r="X22" s="203">
        <v>9</v>
      </c>
      <c r="Y22" s="203">
        <v>0</v>
      </c>
      <c r="Z22" s="203">
        <v>0</v>
      </c>
      <c r="AA22" s="203">
        <v>0</v>
      </c>
      <c r="AB22" s="203">
        <v>0</v>
      </c>
      <c r="AC22" s="203">
        <v>1</v>
      </c>
      <c r="AD22" s="203">
        <v>1</v>
      </c>
      <c r="AE22" s="203">
        <v>0</v>
      </c>
      <c r="AF22" s="203">
        <v>2</v>
      </c>
      <c r="AG22" s="203">
        <v>1</v>
      </c>
      <c r="AH22" s="203">
        <v>0</v>
      </c>
      <c r="AI22" s="203">
        <v>0</v>
      </c>
      <c r="AJ22" s="203">
        <v>0</v>
      </c>
      <c r="AK22" s="203">
        <v>0</v>
      </c>
      <c r="AL22" s="203">
        <f t="shared" si="36"/>
        <v>14</v>
      </c>
      <c r="AM22" s="203">
        <f t="shared" si="36"/>
        <v>12</v>
      </c>
      <c r="AN22" s="203">
        <f t="shared" si="59"/>
        <v>12</v>
      </c>
      <c r="AO22" s="203">
        <f t="shared" si="38"/>
        <v>0</v>
      </c>
      <c r="AP22" s="189">
        <f t="shared" ref="AP22:AP26" si="80">P22/I22*100</f>
        <v>0</v>
      </c>
      <c r="AQ22" s="189">
        <f t="shared" ref="AQ22:AQ26" si="81">AO22/I22*100</f>
        <v>0</v>
      </c>
      <c r="AR22" s="189">
        <f t="shared" si="70"/>
        <v>0</v>
      </c>
      <c r="AS22" s="81">
        <f t="shared" si="71"/>
        <v>116.66666666666667</v>
      </c>
      <c r="AT22" s="81">
        <f t="shared" si="72"/>
        <v>100</v>
      </c>
      <c r="AU22" s="108" t="e">
        <f t="shared" si="73"/>
        <v>#DIV/0!</v>
      </c>
      <c r="AV22" s="108" t="e">
        <f t="shared" si="74"/>
        <v>#DIV/0!</v>
      </c>
      <c r="AW22" s="108" t="e">
        <f t="shared" si="75"/>
        <v>#DIV/0!</v>
      </c>
      <c r="AX22" s="108" t="e">
        <f t="shared" si="76"/>
        <v>#DIV/0!</v>
      </c>
      <c r="AY22" s="108" t="e">
        <f t="shared" si="77"/>
        <v>#DIV/0!</v>
      </c>
      <c r="AZ22" s="108" t="e">
        <f t="shared" si="78"/>
        <v>#DIV/0!</v>
      </c>
      <c r="BA22" s="108" t="e">
        <f t="shared" si="79"/>
        <v>#DIV/0!</v>
      </c>
    </row>
    <row r="23" spans="1:53" s="40" customFormat="1" ht="20.25" customHeight="1">
      <c r="A23" s="419"/>
      <c r="B23" s="393" t="s">
        <v>190</v>
      </c>
      <c r="C23" s="4" t="s">
        <v>191</v>
      </c>
      <c r="D23" s="203">
        <v>90</v>
      </c>
      <c r="E23" s="103">
        <v>45692</v>
      </c>
      <c r="F23" s="103">
        <v>45692</v>
      </c>
      <c r="G23" s="203">
        <v>16</v>
      </c>
      <c r="H23" s="203">
        <v>0</v>
      </c>
      <c r="I23" s="203">
        <v>16</v>
      </c>
      <c r="J23" s="203">
        <v>0</v>
      </c>
      <c r="K23" s="203">
        <v>0</v>
      </c>
      <c r="L23" s="203">
        <f t="shared" si="53"/>
        <v>16</v>
      </c>
      <c r="M23" s="203">
        <v>0</v>
      </c>
      <c r="N23" s="203">
        <v>0</v>
      </c>
      <c r="O23" s="203">
        <v>0</v>
      </c>
      <c r="P23" s="203">
        <v>0</v>
      </c>
      <c r="Q23" s="203">
        <v>0</v>
      </c>
      <c r="R23" s="203">
        <v>0</v>
      </c>
      <c r="S23" s="203">
        <v>0</v>
      </c>
      <c r="T23" s="203">
        <v>0</v>
      </c>
      <c r="U23" s="203">
        <v>1</v>
      </c>
      <c r="V23" s="203">
        <v>0</v>
      </c>
      <c r="W23" s="203">
        <v>26</v>
      </c>
      <c r="X23" s="203">
        <v>1</v>
      </c>
      <c r="Y23" s="203">
        <v>0</v>
      </c>
      <c r="Z23" s="203">
        <v>0</v>
      </c>
      <c r="AA23" s="203">
        <v>0</v>
      </c>
      <c r="AB23" s="203">
        <v>0</v>
      </c>
      <c r="AC23" s="203">
        <v>7</v>
      </c>
      <c r="AD23" s="203">
        <v>0</v>
      </c>
      <c r="AE23" s="203">
        <v>0</v>
      </c>
      <c r="AF23" s="203">
        <v>0</v>
      </c>
      <c r="AG23" s="203">
        <v>0</v>
      </c>
      <c r="AH23" s="203">
        <v>0</v>
      </c>
      <c r="AI23" s="203">
        <v>0</v>
      </c>
      <c r="AJ23" s="203">
        <v>0</v>
      </c>
      <c r="AK23" s="203">
        <v>0</v>
      </c>
      <c r="AL23" s="203">
        <f t="shared" si="36"/>
        <v>33</v>
      </c>
      <c r="AM23" s="203">
        <f t="shared" si="36"/>
        <v>2</v>
      </c>
      <c r="AN23" s="203">
        <f t="shared" si="59"/>
        <v>2</v>
      </c>
      <c r="AO23" s="203">
        <f t="shared" si="38"/>
        <v>0</v>
      </c>
      <c r="AP23" s="189">
        <f t="shared" si="80"/>
        <v>0</v>
      </c>
      <c r="AQ23" s="189">
        <f t="shared" si="81"/>
        <v>0</v>
      </c>
      <c r="AR23" s="189">
        <f t="shared" si="70"/>
        <v>0</v>
      </c>
      <c r="AS23" s="81">
        <f t="shared" si="71"/>
        <v>1650</v>
      </c>
      <c r="AT23" s="81">
        <f t="shared" si="72"/>
        <v>100</v>
      </c>
      <c r="AU23" s="108" t="e">
        <f t="shared" si="73"/>
        <v>#DIV/0!</v>
      </c>
      <c r="AV23" s="108" t="e">
        <f t="shared" si="74"/>
        <v>#DIV/0!</v>
      </c>
      <c r="AW23" s="108" t="e">
        <f t="shared" si="75"/>
        <v>#DIV/0!</v>
      </c>
      <c r="AX23" s="108" t="e">
        <f t="shared" si="76"/>
        <v>#DIV/0!</v>
      </c>
      <c r="AY23" s="108" t="e">
        <f t="shared" si="77"/>
        <v>#DIV/0!</v>
      </c>
      <c r="AZ23" s="108" t="e">
        <f t="shared" si="78"/>
        <v>#DIV/0!</v>
      </c>
      <c r="BA23" s="108" t="e">
        <f t="shared" si="79"/>
        <v>#DIV/0!</v>
      </c>
    </row>
    <row r="24" spans="1:53" s="40" customFormat="1" ht="20.25" customHeight="1">
      <c r="A24" s="419"/>
      <c r="B24" s="392"/>
      <c r="C24" s="4" t="s">
        <v>193</v>
      </c>
      <c r="D24" s="203">
        <v>43</v>
      </c>
      <c r="E24" s="103">
        <v>45699</v>
      </c>
      <c r="F24" s="103">
        <v>45699</v>
      </c>
      <c r="G24" s="203">
        <v>12</v>
      </c>
      <c r="H24" s="203">
        <v>0</v>
      </c>
      <c r="I24" s="203">
        <v>12</v>
      </c>
      <c r="J24" s="203">
        <v>0</v>
      </c>
      <c r="K24" s="203">
        <v>0</v>
      </c>
      <c r="L24" s="203">
        <f t="shared" ref="L24" si="82">I24+K24+J24</f>
        <v>12</v>
      </c>
      <c r="M24" s="203">
        <v>0</v>
      </c>
      <c r="N24" s="203">
        <v>0</v>
      </c>
      <c r="O24" s="203">
        <v>0</v>
      </c>
      <c r="P24" s="203">
        <v>0</v>
      </c>
      <c r="Q24" s="203">
        <v>3</v>
      </c>
      <c r="R24" s="203">
        <v>3</v>
      </c>
      <c r="S24" s="203">
        <v>0</v>
      </c>
      <c r="T24" s="203">
        <v>2</v>
      </c>
      <c r="U24" s="203">
        <v>3</v>
      </c>
      <c r="V24" s="203">
        <v>0</v>
      </c>
      <c r="W24" s="203">
        <v>11</v>
      </c>
      <c r="X24" s="203">
        <v>2</v>
      </c>
      <c r="Y24" s="203">
        <v>0</v>
      </c>
      <c r="Z24" s="203">
        <v>0</v>
      </c>
      <c r="AA24" s="203">
        <v>0</v>
      </c>
      <c r="AB24" s="203">
        <v>0</v>
      </c>
      <c r="AC24" s="203">
        <v>0</v>
      </c>
      <c r="AD24" s="203">
        <v>1</v>
      </c>
      <c r="AE24" s="203">
        <v>0</v>
      </c>
      <c r="AF24" s="203">
        <v>0</v>
      </c>
      <c r="AG24" s="203">
        <v>0</v>
      </c>
      <c r="AH24" s="203">
        <v>0</v>
      </c>
      <c r="AI24" s="203">
        <v>0</v>
      </c>
      <c r="AJ24" s="203">
        <v>0</v>
      </c>
      <c r="AK24" s="203">
        <v>0</v>
      </c>
      <c r="AL24" s="203">
        <f t="shared" ref="AL24" si="83">Q24+T24+W24+Z24+AC24+AF24+AI24</f>
        <v>16</v>
      </c>
      <c r="AM24" s="203">
        <f t="shared" ref="AM24" si="84">R24+U24+X24+AA24+AD24+AG24+AJ24</f>
        <v>9</v>
      </c>
      <c r="AN24" s="203">
        <f t="shared" ref="AN24" si="85">R24+U24+X24+AA24+AD24+AG24+AJ24</f>
        <v>9</v>
      </c>
      <c r="AO24" s="203">
        <f t="shared" ref="AO24" si="86">S24+V24+Y24+AB24+AE24+AH24+AK24</f>
        <v>0</v>
      </c>
      <c r="AP24" s="189">
        <f t="shared" ref="AP24" si="87">P24/I24*100</f>
        <v>0</v>
      </c>
      <c r="AQ24" s="189">
        <f t="shared" ref="AQ24" si="88">AO24/I24*100</f>
        <v>0</v>
      </c>
      <c r="AR24" s="189">
        <f t="shared" ref="AR24" si="89">AO24/AN24*100</f>
        <v>0</v>
      </c>
      <c r="AS24" s="81">
        <f t="shared" ref="AS24" si="90">AL24/AN24*100</f>
        <v>177.77777777777777</v>
      </c>
      <c r="AT24" s="81">
        <f t="shared" ref="AT24" si="91">AM24/AN24*100</f>
        <v>100</v>
      </c>
      <c r="AU24" s="108" t="e">
        <f t="shared" ref="AU24" si="92">S24/AO24*100</f>
        <v>#DIV/0!</v>
      </c>
      <c r="AV24" s="108" t="e">
        <f t="shared" ref="AV24" si="93">V24/AO24*100</f>
        <v>#DIV/0!</v>
      </c>
      <c r="AW24" s="108" t="e">
        <f t="shared" ref="AW24" si="94">Y24/AO24*100</f>
        <v>#DIV/0!</v>
      </c>
      <c r="AX24" s="108" t="e">
        <f t="shared" ref="AX24" si="95">AB24/AO24*100</f>
        <v>#DIV/0!</v>
      </c>
      <c r="AY24" s="108" t="e">
        <f t="shared" ref="AY24" si="96">AE24/AO24*100</f>
        <v>#DIV/0!</v>
      </c>
      <c r="AZ24" s="108" t="e">
        <f t="shared" ref="AZ24" si="97">AH24/AO24*100</f>
        <v>#DIV/0!</v>
      </c>
      <c r="BA24" s="108" t="e">
        <f t="shared" ref="BA24" si="98">AK24/AO24*100</f>
        <v>#DIV/0!</v>
      </c>
    </row>
    <row r="25" spans="1:53" s="40" customFormat="1" ht="20.25" customHeight="1">
      <c r="A25" s="419"/>
      <c r="B25" s="4" t="s">
        <v>249</v>
      </c>
      <c r="C25" s="4" t="s">
        <v>192</v>
      </c>
      <c r="D25" s="203">
        <v>68</v>
      </c>
      <c r="E25" s="103">
        <v>45694</v>
      </c>
      <c r="F25" s="103">
        <v>45694</v>
      </c>
      <c r="G25" s="203">
        <v>9</v>
      </c>
      <c r="H25" s="203">
        <v>0</v>
      </c>
      <c r="I25" s="203">
        <v>9</v>
      </c>
      <c r="J25" s="203">
        <v>0</v>
      </c>
      <c r="K25" s="203">
        <v>0</v>
      </c>
      <c r="L25" s="203">
        <f t="shared" si="53"/>
        <v>9</v>
      </c>
      <c r="M25" s="203">
        <v>0</v>
      </c>
      <c r="N25" s="203">
        <v>0</v>
      </c>
      <c r="O25" s="203">
        <v>0</v>
      </c>
      <c r="P25" s="203">
        <v>0</v>
      </c>
      <c r="Q25" s="203">
        <v>0</v>
      </c>
      <c r="R25" s="203">
        <v>0</v>
      </c>
      <c r="S25" s="203">
        <v>0</v>
      </c>
      <c r="T25" s="203">
        <v>1</v>
      </c>
      <c r="U25" s="203">
        <v>8</v>
      </c>
      <c r="V25" s="203">
        <v>0</v>
      </c>
      <c r="W25" s="203">
        <v>7</v>
      </c>
      <c r="X25" s="203">
        <v>1</v>
      </c>
      <c r="Y25" s="203">
        <v>0</v>
      </c>
      <c r="Z25" s="203">
        <v>0</v>
      </c>
      <c r="AA25" s="203">
        <v>0</v>
      </c>
      <c r="AB25" s="203">
        <v>0</v>
      </c>
      <c r="AC25" s="203">
        <v>0</v>
      </c>
      <c r="AD25" s="203">
        <v>0</v>
      </c>
      <c r="AE25" s="203">
        <v>0</v>
      </c>
      <c r="AF25" s="203">
        <v>0</v>
      </c>
      <c r="AG25" s="203">
        <v>0</v>
      </c>
      <c r="AH25" s="203">
        <v>0</v>
      </c>
      <c r="AI25" s="203">
        <v>0</v>
      </c>
      <c r="AJ25" s="203">
        <v>0</v>
      </c>
      <c r="AK25" s="203">
        <v>0</v>
      </c>
      <c r="AL25" s="203">
        <f t="shared" si="36"/>
        <v>8</v>
      </c>
      <c r="AM25" s="203">
        <f t="shared" si="36"/>
        <v>9</v>
      </c>
      <c r="AN25" s="203">
        <f t="shared" si="59"/>
        <v>9</v>
      </c>
      <c r="AO25" s="203">
        <f t="shared" si="38"/>
        <v>0</v>
      </c>
      <c r="AP25" s="189">
        <f t="shared" si="80"/>
        <v>0</v>
      </c>
      <c r="AQ25" s="189">
        <f t="shared" si="81"/>
        <v>0</v>
      </c>
      <c r="AR25" s="189">
        <f t="shared" si="70"/>
        <v>0</v>
      </c>
      <c r="AS25" s="81">
        <f t="shared" si="71"/>
        <v>88.888888888888886</v>
      </c>
      <c r="AT25" s="81">
        <f t="shared" si="72"/>
        <v>100</v>
      </c>
      <c r="AU25" s="108" t="e">
        <f t="shared" si="73"/>
        <v>#DIV/0!</v>
      </c>
      <c r="AV25" s="108" t="e">
        <f t="shared" si="74"/>
        <v>#DIV/0!</v>
      </c>
      <c r="AW25" s="108" t="e">
        <f t="shared" si="75"/>
        <v>#DIV/0!</v>
      </c>
      <c r="AX25" s="108" t="e">
        <f t="shared" si="76"/>
        <v>#DIV/0!</v>
      </c>
      <c r="AY25" s="108" t="e">
        <f t="shared" si="77"/>
        <v>#DIV/0!</v>
      </c>
      <c r="AZ25" s="108" t="e">
        <f t="shared" si="78"/>
        <v>#DIV/0!</v>
      </c>
      <c r="BA25" s="108" t="e">
        <f t="shared" si="79"/>
        <v>#DIV/0!</v>
      </c>
    </row>
    <row r="26" spans="1:53" s="40" customFormat="1" ht="20.25" customHeight="1">
      <c r="A26" s="419"/>
      <c r="B26" s="4" t="s">
        <v>194</v>
      </c>
      <c r="C26" s="4" t="s">
        <v>195</v>
      </c>
      <c r="D26" s="203">
        <v>76</v>
      </c>
      <c r="E26" s="103">
        <v>45695</v>
      </c>
      <c r="F26" s="103">
        <v>45695</v>
      </c>
      <c r="G26" s="203">
        <v>10</v>
      </c>
      <c r="H26" s="203">
        <v>0</v>
      </c>
      <c r="I26" s="203">
        <v>10</v>
      </c>
      <c r="J26" s="203">
        <v>0</v>
      </c>
      <c r="K26" s="203">
        <v>0</v>
      </c>
      <c r="L26" s="203">
        <f t="shared" si="53"/>
        <v>10</v>
      </c>
      <c r="M26" s="203">
        <v>0</v>
      </c>
      <c r="N26" s="203">
        <v>0</v>
      </c>
      <c r="O26" s="203">
        <v>0</v>
      </c>
      <c r="P26" s="203">
        <v>0</v>
      </c>
      <c r="Q26" s="203">
        <v>0</v>
      </c>
      <c r="R26" s="203">
        <v>1</v>
      </c>
      <c r="S26" s="203">
        <v>0</v>
      </c>
      <c r="T26" s="203">
        <v>2</v>
      </c>
      <c r="U26" s="203">
        <v>1</v>
      </c>
      <c r="V26" s="203">
        <v>0</v>
      </c>
      <c r="W26" s="203">
        <v>10</v>
      </c>
      <c r="X26" s="203">
        <v>4</v>
      </c>
      <c r="Y26" s="203">
        <v>0</v>
      </c>
      <c r="Z26" s="203">
        <v>0</v>
      </c>
      <c r="AA26" s="203">
        <v>0</v>
      </c>
      <c r="AB26" s="203">
        <v>0</v>
      </c>
      <c r="AC26" s="203">
        <v>3</v>
      </c>
      <c r="AD26" s="203">
        <v>2</v>
      </c>
      <c r="AE26" s="203">
        <v>0</v>
      </c>
      <c r="AF26" s="203">
        <v>0</v>
      </c>
      <c r="AG26" s="203">
        <v>0</v>
      </c>
      <c r="AH26" s="203">
        <v>0</v>
      </c>
      <c r="AI26" s="203">
        <v>0</v>
      </c>
      <c r="AJ26" s="203">
        <v>0</v>
      </c>
      <c r="AK26" s="203">
        <v>0</v>
      </c>
      <c r="AL26" s="203">
        <f t="shared" si="36"/>
        <v>15</v>
      </c>
      <c r="AM26" s="203">
        <f t="shared" si="36"/>
        <v>8</v>
      </c>
      <c r="AN26" s="203">
        <f t="shared" si="59"/>
        <v>8</v>
      </c>
      <c r="AO26" s="203">
        <f t="shared" si="38"/>
        <v>0</v>
      </c>
      <c r="AP26" s="189">
        <f t="shared" si="80"/>
        <v>0</v>
      </c>
      <c r="AQ26" s="189">
        <f t="shared" si="81"/>
        <v>0</v>
      </c>
      <c r="AR26" s="189">
        <f t="shared" si="41"/>
        <v>0</v>
      </c>
      <c r="AS26" s="81">
        <f t="shared" si="42"/>
        <v>187.5</v>
      </c>
      <c r="AT26" s="81">
        <f t="shared" si="43"/>
        <v>100</v>
      </c>
      <c r="AU26" s="108" t="e">
        <f t="shared" si="44"/>
        <v>#DIV/0!</v>
      </c>
      <c r="AV26" s="108" t="e">
        <f t="shared" si="45"/>
        <v>#DIV/0!</v>
      </c>
      <c r="AW26" s="108" t="e">
        <f t="shared" si="46"/>
        <v>#DIV/0!</v>
      </c>
      <c r="AX26" s="108" t="e">
        <f t="shared" si="47"/>
        <v>#DIV/0!</v>
      </c>
      <c r="AY26" s="108" t="e">
        <f t="shared" si="48"/>
        <v>#DIV/0!</v>
      </c>
      <c r="AZ26" s="108" t="e">
        <f t="shared" si="49"/>
        <v>#DIV/0!</v>
      </c>
      <c r="BA26" s="108" t="e">
        <f t="shared" si="50"/>
        <v>#DIV/0!</v>
      </c>
    </row>
    <row r="27" spans="1:53" s="40" customFormat="1" ht="20.25" customHeight="1">
      <c r="A27" s="82" t="s">
        <v>66</v>
      </c>
      <c r="B27" s="83" t="s">
        <v>99</v>
      </c>
      <c r="C27" s="83">
        <f>COUNTA(C14:C26)</f>
        <v>13</v>
      </c>
      <c r="D27" s="83">
        <f>D13</f>
        <v>1007</v>
      </c>
      <c r="E27" s="84">
        <f>MIN(E14:E26)</f>
        <v>45692</v>
      </c>
      <c r="F27" s="84">
        <f>MAX(F14:F26)</f>
        <v>45716</v>
      </c>
      <c r="G27" s="83">
        <f t="shared" ref="G27:AK27" si="99">G13</f>
        <v>220</v>
      </c>
      <c r="H27" s="83">
        <f t="shared" si="99"/>
        <v>0</v>
      </c>
      <c r="I27" s="83">
        <f t="shared" si="99"/>
        <v>220</v>
      </c>
      <c r="J27" s="83">
        <f t="shared" si="99"/>
        <v>0</v>
      </c>
      <c r="K27" s="83">
        <f t="shared" si="99"/>
        <v>0</v>
      </c>
      <c r="L27" s="83">
        <f t="shared" si="99"/>
        <v>220</v>
      </c>
      <c r="M27" s="83">
        <f t="shared" si="99"/>
        <v>0</v>
      </c>
      <c r="N27" s="83">
        <f t="shared" si="99"/>
        <v>0</v>
      </c>
      <c r="O27" s="83">
        <f t="shared" si="99"/>
        <v>0</v>
      </c>
      <c r="P27" s="83">
        <f t="shared" si="99"/>
        <v>6</v>
      </c>
      <c r="Q27" s="83">
        <f t="shared" si="99"/>
        <v>0</v>
      </c>
      <c r="R27" s="83">
        <f t="shared" si="99"/>
        <v>0</v>
      </c>
      <c r="S27" s="83">
        <f t="shared" si="99"/>
        <v>0</v>
      </c>
      <c r="T27" s="83">
        <f t="shared" si="99"/>
        <v>27</v>
      </c>
      <c r="U27" s="83">
        <f t="shared" si="99"/>
        <v>35</v>
      </c>
      <c r="V27" s="83">
        <f t="shared" si="99"/>
        <v>4</v>
      </c>
      <c r="W27" s="83">
        <f t="shared" si="99"/>
        <v>97</v>
      </c>
      <c r="X27" s="83">
        <f t="shared" si="99"/>
        <v>72</v>
      </c>
      <c r="Y27" s="83">
        <f t="shared" si="99"/>
        <v>1</v>
      </c>
      <c r="Z27" s="83">
        <f t="shared" si="99"/>
        <v>1</v>
      </c>
      <c r="AA27" s="83">
        <f t="shared" si="99"/>
        <v>3</v>
      </c>
      <c r="AB27" s="83">
        <f t="shared" si="99"/>
        <v>0</v>
      </c>
      <c r="AC27" s="83">
        <f t="shared" si="99"/>
        <v>68</v>
      </c>
      <c r="AD27" s="83">
        <f t="shared" si="99"/>
        <v>40</v>
      </c>
      <c r="AE27" s="83">
        <f t="shared" si="99"/>
        <v>1</v>
      </c>
      <c r="AF27" s="83">
        <f t="shared" si="99"/>
        <v>20</v>
      </c>
      <c r="AG27" s="83">
        <f t="shared" si="99"/>
        <v>18</v>
      </c>
      <c r="AH27" s="83">
        <f t="shared" si="99"/>
        <v>0</v>
      </c>
      <c r="AI27" s="83">
        <f t="shared" si="99"/>
        <v>2</v>
      </c>
      <c r="AJ27" s="83">
        <f t="shared" si="99"/>
        <v>0</v>
      </c>
      <c r="AK27" s="83">
        <f t="shared" si="99"/>
        <v>0</v>
      </c>
      <c r="AL27" s="83">
        <f>Q27+T27+W27+Z27+AC27+AF27+AI27</f>
        <v>215</v>
      </c>
      <c r="AM27" s="83">
        <f>R27+U27+X27+AA27+AD27+AG27+AJ27</f>
        <v>168</v>
      </c>
      <c r="AN27" s="83">
        <f>AL27+AM27</f>
        <v>383</v>
      </c>
      <c r="AO27" s="83">
        <f>S27+V27+Y27+AB27+AE27+AH27+AK27</f>
        <v>6</v>
      </c>
      <c r="AP27" s="190">
        <f t="shared" ref="AP27:AP33" si="100">P27/I27*100</f>
        <v>2.7272727272727271</v>
      </c>
      <c r="AQ27" s="190">
        <f t="shared" ref="AQ27:AQ68" si="101">AO27/I27*100</f>
        <v>2.7272727272727271</v>
      </c>
      <c r="AR27" s="190">
        <f t="shared" ref="AR27:AR33" si="102">AO27/AN27*100</f>
        <v>1.5665796344647518</v>
      </c>
      <c r="AS27" s="85">
        <f t="shared" ref="AS27:AS68" si="103">AL27/AN27*100</f>
        <v>56.13577023498695</v>
      </c>
      <c r="AT27" s="85">
        <f t="shared" ref="AT27:AT68" si="104">AM27/AN27*100</f>
        <v>43.864229765013057</v>
      </c>
      <c r="AU27" s="85">
        <f t="shared" ref="AU27:AU32" si="105">S27/AO27*100</f>
        <v>0</v>
      </c>
      <c r="AV27" s="85">
        <f t="shared" ref="AV27:AV32" si="106">V27/AO27*100</f>
        <v>66.666666666666657</v>
      </c>
      <c r="AW27" s="85">
        <f t="shared" ref="AW27:AW32" si="107">Y27/AO27*100</f>
        <v>16.666666666666664</v>
      </c>
      <c r="AX27" s="85">
        <f t="shared" si="47"/>
        <v>0</v>
      </c>
      <c r="AY27" s="85">
        <f t="shared" ref="AY27:AY32" si="108">AE27/AO27*100</f>
        <v>16.666666666666664</v>
      </c>
      <c r="AZ27" s="85">
        <f t="shared" ref="AZ27:AZ32" si="109">AH27/AO27*100</f>
        <v>0</v>
      </c>
      <c r="BA27" s="85">
        <f t="shared" ref="BA27:BA32" si="110">AK27/AO27*100</f>
        <v>0</v>
      </c>
    </row>
    <row r="28" spans="1:53" s="40" customFormat="1" ht="20.25" customHeight="1">
      <c r="A28" s="233"/>
      <c r="B28" s="418" t="s">
        <v>102</v>
      </c>
      <c r="C28" s="77" t="s">
        <v>141</v>
      </c>
      <c r="D28" s="77">
        <f>SUM(D29:D33)</f>
        <v>1966</v>
      </c>
      <c r="E28" s="78">
        <f>MIN(E29:E33)</f>
        <v>45721</v>
      </c>
      <c r="F28" s="78">
        <f>MAX(F29:F33)</f>
        <v>45745</v>
      </c>
      <c r="G28" s="77">
        <f>SUM(G29:G33)</f>
        <v>440</v>
      </c>
      <c r="H28" s="77">
        <f t="shared" ref="H28:AK28" si="111">SUM(H29:H33)</f>
        <v>0</v>
      </c>
      <c r="I28" s="77">
        <f t="shared" si="111"/>
        <v>440</v>
      </c>
      <c r="J28" s="77">
        <f t="shared" si="111"/>
        <v>15</v>
      </c>
      <c r="K28" s="77">
        <f t="shared" si="111"/>
        <v>0</v>
      </c>
      <c r="L28" s="77">
        <f t="shared" si="111"/>
        <v>455</v>
      </c>
      <c r="M28" s="77">
        <f t="shared" si="111"/>
        <v>0</v>
      </c>
      <c r="N28" s="77">
        <f t="shared" si="111"/>
        <v>0</v>
      </c>
      <c r="O28" s="77">
        <f t="shared" si="111"/>
        <v>440</v>
      </c>
      <c r="P28" s="77">
        <f t="shared" si="111"/>
        <v>17</v>
      </c>
      <c r="Q28" s="77">
        <f t="shared" si="111"/>
        <v>2</v>
      </c>
      <c r="R28" s="77">
        <f t="shared" si="111"/>
        <v>1</v>
      </c>
      <c r="S28" s="77">
        <f t="shared" si="111"/>
        <v>0</v>
      </c>
      <c r="T28" s="77">
        <f t="shared" si="111"/>
        <v>35</v>
      </c>
      <c r="U28" s="77">
        <f t="shared" si="111"/>
        <v>50</v>
      </c>
      <c r="V28" s="77">
        <f t="shared" si="111"/>
        <v>11</v>
      </c>
      <c r="W28" s="77">
        <f t="shared" si="111"/>
        <v>133</v>
      </c>
      <c r="X28" s="77">
        <f t="shared" si="111"/>
        <v>222</v>
      </c>
      <c r="Y28" s="77">
        <f t="shared" si="111"/>
        <v>1</v>
      </c>
      <c r="Z28" s="77">
        <f t="shared" si="111"/>
        <v>0</v>
      </c>
      <c r="AA28" s="77">
        <f t="shared" si="111"/>
        <v>1</v>
      </c>
      <c r="AB28" s="77">
        <f t="shared" si="111"/>
        <v>0</v>
      </c>
      <c r="AC28" s="77">
        <f t="shared" si="111"/>
        <v>93</v>
      </c>
      <c r="AD28" s="77">
        <f t="shared" si="111"/>
        <v>62</v>
      </c>
      <c r="AE28" s="77">
        <f t="shared" si="111"/>
        <v>5</v>
      </c>
      <c r="AF28" s="77">
        <f t="shared" si="111"/>
        <v>58</v>
      </c>
      <c r="AG28" s="77">
        <f t="shared" si="111"/>
        <v>48</v>
      </c>
      <c r="AH28" s="77">
        <f t="shared" si="111"/>
        <v>0</v>
      </c>
      <c r="AI28" s="77">
        <f t="shared" si="111"/>
        <v>0</v>
      </c>
      <c r="AJ28" s="77">
        <f t="shared" si="111"/>
        <v>1</v>
      </c>
      <c r="AK28" s="77">
        <f t="shared" si="111"/>
        <v>0</v>
      </c>
      <c r="AL28" s="77">
        <f>Q28+T28+W28+Z28+AC28+AF28+AI28</f>
        <v>321</v>
      </c>
      <c r="AM28" s="77">
        <f t="shared" ref="AM28" si="112">R28+U28+X28+AA28+AD28+AG28+AJ28</f>
        <v>385</v>
      </c>
      <c r="AN28" s="77">
        <f t="shared" ref="AN28" si="113">AL28+AM28</f>
        <v>706</v>
      </c>
      <c r="AO28" s="77">
        <f>S28+V28+Y28+AB28+AE28+AH28+AK28</f>
        <v>17</v>
      </c>
      <c r="AP28" s="188">
        <f t="shared" si="100"/>
        <v>3.8636363636363633</v>
      </c>
      <c r="AQ28" s="188">
        <f t="shared" si="101"/>
        <v>3.8636363636363633</v>
      </c>
      <c r="AR28" s="188">
        <f t="shared" si="102"/>
        <v>2.4079320113314444</v>
      </c>
      <c r="AS28" s="88">
        <f t="shared" si="103"/>
        <v>45.467422096317279</v>
      </c>
      <c r="AT28" s="88">
        <f t="shared" si="104"/>
        <v>54.532577903682721</v>
      </c>
      <c r="AU28" s="88">
        <f t="shared" si="105"/>
        <v>0</v>
      </c>
      <c r="AV28" s="88">
        <f t="shared" si="106"/>
        <v>64.705882352941174</v>
      </c>
      <c r="AW28" s="88">
        <f t="shared" si="107"/>
        <v>5.8823529411764701</v>
      </c>
      <c r="AX28" s="88">
        <f t="shared" ref="AX28" si="114">AB28/AO28*100</f>
        <v>0</v>
      </c>
      <c r="AY28" s="88">
        <f t="shared" si="108"/>
        <v>29.411764705882355</v>
      </c>
      <c r="AZ28" s="88">
        <f t="shared" si="109"/>
        <v>0</v>
      </c>
      <c r="BA28" s="88">
        <f t="shared" si="110"/>
        <v>0</v>
      </c>
    </row>
    <row r="29" spans="1:53" s="40" customFormat="1" ht="20.25" customHeight="1">
      <c r="A29" s="419" t="s">
        <v>102</v>
      </c>
      <c r="B29" s="419"/>
      <c r="C29" s="4" t="s">
        <v>133</v>
      </c>
      <c r="D29" s="203">
        <v>703</v>
      </c>
      <c r="E29" s="103">
        <v>45721</v>
      </c>
      <c r="F29" s="103">
        <v>45741</v>
      </c>
      <c r="G29" s="203">
        <v>156</v>
      </c>
      <c r="H29" s="203">
        <v>0</v>
      </c>
      <c r="I29" s="203">
        <f t="shared" ref="I29:I40" si="115">G29+H29</f>
        <v>156</v>
      </c>
      <c r="J29" s="203">
        <v>4</v>
      </c>
      <c r="K29" s="203">
        <v>0</v>
      </c>
      <c r="L29" s="203">
        <f t="shared" ref="L29:L40" si="116">I29+K29+J29</f>
        <v>160</v>
      </c>
      <c r="M29" s="203">
        <v>0</v>
      </c>
      <c r="N29" s="203">
        <v>0</v>
      </c>
      <c r="O29" s="203">
        <v>156</v>
      </c>
      <c r="P29" s="203">
        <v>6</v>
      </c>
      <c r="Q29" s="203">
        <v>2</v>
      </c>
      <c r="R29" s="203">
        <v>0</v>
      </c>
      <c r="S29" s="203">
        <v>0</v>
      </c>
      <c r="T29" s="203">
        <v>1</v>
      </c>
      <c r="U29" s="203">
        <v>8</v>
      </c>
      <c r="V29" s="203">
        <v>4</v>
      </c>
      <c r="W29" s="203">
        <v>5</v>
      </c>
      <c r="X29" s="203">
        <v>71</v>
      </c>
      <c r="Y29" s="203">
        <v>0</v>
      </c>
      <c r="Z29" s="203">
        <v>0</v>
      </c>
      <c r="AA29" s="203">
        <v>0</v>
      </c>
      <c r="AB29" s="203">
        <v>0</v>
      </c>
      <c r="AC29" s="203">
        <v>0</v>
      </c>
      <c r="AD29" s="203">
        <v>8</v>
      </c>
      <c r="AE29" s="203">
        <v>2</v>
      </c>
      <c r="AF29" s="203">
        <v>12</v>
      </c>
      <c r="AG29" s="203">
        <v>7</v>
      </c>
      <c r="AH29" s="203">
        <v>0</v>
      </c>
      <c r="AI29" s="203">
        <v>0</v>
      </c>
      <c r="AJ29" s="203">
        <v>0</v>
      </c>
      <c r="AK29" s="203">
        <v>0</v>
      </c>
      <c r="AL29" s="203">
        <f t="shared" ref="AL29:AM33" si="117">Q29+T29+W29+Z29+AC29+AF29+AI29</f>
        <v>20</v>
      </c>
      <c r="AM29" s="203">
        <f t="shared" si="117"/>
        <v>94</v>
      </c>
      <c r="AN29" s="203">
        <f t="shared" ref="AN29:AN33" si="118">R29+U29+X29+AA29+AD29+AG29+AJ29</f>
        <v>94</v>
      </c>
      <c r="AO29" s="203">
        <f t="shared" ref="AO29:AO33" si="119">S29+V29+Y29+AB29+AE29+AH29+AK29</f>
        <v>6</v>
      </c>
      <c r="AP29" s="81">
        <f t="shared" si="100"/>
        <v>3.8461538461538463</v>
      </c>
      <c r="AQ29" s="81">
        <f t="shared" si="101"/>
        <v>3.8461538461538463</v>
      </c>
      <c r="AR29" s="81">
        <f t="shared" si="102"/>
        <v>6.3829787234042552</v>
      </c>
      <c r="AS29" s="81">
        <f t="shared" si="103"/>
        <v>21.276595744680851</v>
      </c>
      <c r="AT29" s="81">
        <f t="shared" si="104"/>
        <v>100</v>
      </c>
      <c r="AU29" s="108">
        <f t="shared" si="105"/>
        <v>0</v>
      </c>
      <c r="AV29" s="108">
        <f t="shared" si="106"/>
        <v>66.666666666666657</v>
      </c>
      <c r="AW29" s="108">
        <f t="shared" si="107"/>
        <v>0</v>
      </c>
      <c r="AX29" s="108">
        <f t="shared" si="47"/>
        <v>0</v>
      </c>
      <c r="AY29" s="108">
        <f t="shared" si="108"/>
        <v>33.333333333333329</v>
      </c>
      <c r="AZ29" s="108">
        <f t="shared" si="109"/>
        <v>0</v>
      </c>
      <c r="BA29" s="108">
        <f t="shared" si="110"/>
        <v>0</v>
      </c>
    </row>
    <row r="30" spans="1:53" s="40" customFormat="1" ht="20.25" customHeight="1">
      <c r="A30" s="419"/>
      <c r="B30" s="419"/>
      <c r="C30" s="4" t="s">
        <v>134</v>
      </c>
      <c r="D30" s="203">
        <v>338</v>
      </c>
      <c r="E30" s="103">
        <v>45726</v>
      </c>
      <c r="F30" s="103">
        <v>45744</v>
      </c>
      <c r="G30" s="203">
        <v>96</v>
      </c>
      <c r="H30" s="203">
        <v>0</v>
      </c>
      <c r="I30" s="203">
        <f t="shared" si="115"/>
        <v>96</v>
      </c>
      <c r="J30" s="203">
        <v>2</v>
      </c>
      <c r="K30" s="203">
        <v>0</v>
      </c>
      <c r="L30" s="203">
        <f t="shared" si="116"/>
        <v>98</v>
      </c>
      <c r="M30" s="203">
        <v>0</v>
      </c>
      <c r="N30" s="203">
        <v>0</v>
      </c>
      <c r="O30" s="203">
        <v>96</v>
      </c>
      <c r="P30" s="203">
        <v>4</v>
      </c>
      <c r="Q30" s="203">
        <v>0</v>
      </c>
      <c r="R30" s="203">
        <v>1</v>
      </c>
      <c r="S30" s="203">
        <v>0</v>
      </c>
      <c r="T30" s="203">
        <v>11</v>
      </c>
      <c r="U30" s="203">
        <v>18</v>
      </c>
      <c r="V30" s="203">
        <v>2</v>
      </c>
      <c r="W30" s="203">
        <v>27</v>
      </c>
      <c r="X30" s="203">
        <v>51</v>
      </c>
      <c r="Y30" s="203">
        <v>1</v>
      </c>
      <c r="Z30" s="203">
        <v>0</v>
      </c>
      <c r="AA30" s="203">
        <v>0</v>
      </c>
      <c r="AB30" s="203">
        <v>0</v>
      </c>
      <c r="AC30" s="203">
        <v>16</v>
      </c>
      <c r="AD30" s="203">
        <v>7</v>
      </c>
      <c r="AE30" s="203">
        <v>1</v>
      </c>
      <c r="AF30" s="203">
        <v>3</v>
      </c>
      <c r="AG30" s="203">
        <v>4</v>
      </c>
      <c r="AH30" s="203">
        <v>0</v>
      </c>
      <c r="AI30" s="203">
        <v>0</v>
      </c>
      <c r="AJ30" s="203">
        <v>0</v>
      </c>
      <c r="AK30" s="203">
        <v>0</v>
      </c>
      <c r="AL30" s="203">
        <f t="shared" si="117"/>
        <v>57</v>
      </c>
      <c r="AM30" s="203">
        <f t="shared" si="117"/>
        <v>81</v>
      </c>
      <c r="AN30" s="203">
        <f t="shared" si="118"/>
        <v>81</v>
      </c>
      <c r="AO30" s="203">
        <f t="shared" si="119"/>
        <v>4</v>
      </c>
      <c r="AP30" s="81">
        <f t="shared" si="100"/>
        <v>4.1666666666666661</v>
      </c>
      <c r="AQ30" s="81">
        <f t="shared" si="101"/>
        <v>4.1666666666666661</v>
      </c>
      <c r="AR30" s="81">
        <f t="shared" si="102"/>
        <v>4.9382716049382713</v>
      </c>
      <c r="AS30" s="81">
        <f t="shared" si="103"/>
        <v>70.370370370370367</v>
      </c>
      <c r="AT30" s="81">
        <f t="shared" si="104"/>
        <v>100</v>
      </c>
      <c r="AU30" s="108">
        <f t="shared" si="105"/>
        <v>0</v>
      </c>
      <c r="AV30" s="108">
        <f t="shared" si="106"/>
        <v>50</v>
      </c>
      <c r="AW30" s="108">
        <f t="shared" si="107"/>
        <v>25</v>
      </c>
      <c r="AX30" s="108">
        <f t="shared" si="47"/>
        <v>0</v>
      </c>
      <c r="AY30" s="108">
        <f t="shared" si="108"/>
        <v>25</v>
      </c>
      <c r="AZ30" s="108">
        <f t="shared" si="109"/>
        <v>0</v>
      </c>
      <c r="BA30" s="108">
        <f t="shared" si="110"/>
        <v>0</v>
      </c>
    </row>
    <row r="31" spans="1:53" s="40" customFormat="1" ht="20.25" customHeight="1">
      <c r="A31" s="419"/>
      <c r="B31" s="419"/>
      <c r="C31" s="231" t="s">
        <v>131</v>
      </c>
      <c r="D31" s="203">
        <v>559</v>
      </c>
      <c r="E31" s="103">
        <v>45727</v>
      </c>
      <c r="F31" s="103">
        <v>45740</v>
      </c>
      <c r="G31" s="203">
        <v>106</v>
      </c>
      <c r="H31" s="203">
        <v>0</v>
      </c>
      <c r="I31" s="203">
        <f t="shared" si="115"/>
        <v>106</v>
      </c>
      <c r="J31" s="203">
        <v>6</v>
      </c>
      <c r="K31" s="203">
        <v>0</v>
      </c>
      <c r="L31" s="203">
        <f t="shared" si="116"/>
        <v>112</v>
      </c>
      <c r="M31" s="203">
        <v>0</v>
      </c>
      <c r="N31" s="203">
        <v>0</v>
      </c>
      <c r="O31" s="203">
        <v>106</v>
      </c>
      <c r="P31" s="203">
        <v>3</v>
      </c>
      <c r="Q31" s="203">
        <v>0</v>
      </c>
      <c r="R31" s="203">
        <v>0</v>
      </c>
      <c r="S31" s="203">
        <v>0</v>
      </c>
      <c r="T31" s="203">
        <v>7</v>
      </c>
      <c r="U31" s="203">
        <v>13</v>
      </c>
      <c r="V31" s="203">
        <v>2</v>
      </c>
      <c r="W31" s="203">
        <v>28</v>
      </c>
      <c r="X31" s="203">
        <v>51</v>
      </c>
      <c r="Y31" s="203">
        <v>0</v>
      </c>
      <c r="Z31" s="203">
        <v>0</v>
      </c>
      <c r="AA31" s="203">
        <v>1</v>
      </c>
      <c r="AB31" s="203">
        <v>0</v>
      </c>
      <c r="AC31" s="203">
        <v>56</v>
      </c>
      <c r="AD31" s="203">
        <v>33</v>
      </c>
      <c r="AE31" s="203">
        <v>1</v>
      </c>
      <c r="AF31" s="203">
        <v>29</v>
      </c>
      <c r="AG31" s="203">
        <v>24</v>
      </c>
      <c r="AH31" s="203">
        <v>0</v>
      </c>
      <c r="AI31" s="203">
        <v>0</v>
      </c>
      <c r="AJ31" s="203">
        <v>1</v>
      </c>
      <c r="AK31" s="203">
        <v>0</v>
      </c>
      <c r="AL31" s="203">
        <f t="shared" si="117"/>
        <v>120</v>
      </c>
      <c r="AM31" s="203">
        <f t="shared" si="117"/>
        <v>123</v>
      </c>
      <c r="AN31" s="203">
        <f t="shared" si="118"/>
        <v>123</v>
      </c>
      <c r="AO31" s="203">
        <f t="shared" si="119"/>
        <v>3</v>
      </c>
      <c r="AP31" s="81">
        <f t="shared" si="100"/>
        <v>2.8301886792452833</v>
      </c>
      <c r="AQ31" s="81">
        <f t="shared" si="101"/>
        <v>2.8301886792452833</v>
      </c>
      <c r="AR31" s="81">
        <f t="shared" si="102"/>
        <v>2.4390243902439024</v>
      </c>
      <c r="AS31" s="81">
        <f t="shared" si="103"/>
        <v>97.560975609756099</v>
      </c>
      <c r="AT31" s="81">
        <f t="shared" si="104"/>
        <v>100</v>
      </c>
      <c r="AU31" s="108">
        <f t="shared" si="105"/>
        <v>0</v>
      </c>
      <c r="AV31" s="108">
        <f t="shared" si="106"/>
        <v>66.666666666666657</v>
      </c>
      <c r="AW31" s="108">
        <f t="shared" si="107"/>
        <v>0</v>
      </c>
      <c r="AX31" s="108">
        <f t="shared" si="47"/>
        <v>0</v>
      </c>
      <c r="AY31" s="108">
        <f t="shared" si="108"/>
        <v>33.333333333333329</v>
      </c>
      <c r="AZ31" s="108">
        <f t="shared" si="109"/>
        <v>0</v>
      </c>
      <c r="BA31" s="108">
        <f t="shared" si="110"/>
        <v>0</v>
      </c>
    </row>
    <row r="32" spans="1:53" s="40" customFormat="1" ht="20.25" customHeight="1">
      <c r="A32" s="419"/>
      <c r="B32" s="419"/>
      <c r="C32" s="4" t="s">
        <v>132</v>
      </c>
      <c r="D32" s="203">
        <v>326</v>
      </c>
      <c r="E32" s="103">
        <v>45730</v>
      </c>
      <c r="F32" s="103">
        <v>45745</v>
      </c>
      <c r="G32" s="203">
        <v>74</v>
      </c>
      <c r="H32" s="203">
        <v>0</v>
      </c>
      <c r="I32" s="203">
        <f t="shared" si="115"/>
        <v>74</v>
      </c>
      <c r="J32" s="203">
        <v>3</v>
      </c>
      <c r="K32" s="203">
        <v>0</v>
      </c>
      <c r="L32" s="203">
        <f t="shared" si="116"/>
        <v>77</v>
      </c>
      <c r="M32" s="203">
        <v>0</v>
      </c>
      <c r="N32" s="203">
        <v>0</v>
      </c>
      <c r="O32" s="203">
        <v>74</v>
      </c>
      <c r="P32" s="203">
        <v>4</v>
      </c>
      <c r="Q32" s="203">
        <v>0</v>
      </c>
      <c r="R32" s="203">
        <v>0</v>
      </c>
      <c r="S32" s="203">
        <v>0</v>
      </c>
      <c r="T32" s="203">
        <v>15</v>
      </c>
      <c r="U32" s="203">
        <v>10</v>
      </c>
      <c r="V32" s="203">
        <v>3</v>
      </c>
      <c r="W32" s="203">
        <v>73</v>
      </c>
      <c r="X32" s="203">
        <v>47</v>
      </c>
      <c r="Y32" s="203">
        <v>0</v>
      </c>
      <c r="Z32" s="203">
        <v>0</v>
      </c>
      <c r="AA32" s="203">
        <v>0</v>
      </c>
      <c r="AB32" s="203">
        <v>0</v>
      </c>
      <c r="AC32" s="203">
        <v>21</v>
      </c>
      <c r="AD32" s="203">
        <v>12</v>
      </c>
      <c r="AE32" s="203">
        <v>1</v>
      </c>
      <c r="AF32" s="203">
        <v>12</v>
      </c>
      <c r="AG32" s="203">
        <v>10</v>
      </c>
      <c r="AH32" s="203">
        <v>0</v>
      </c>
      <c r="AI32" s="203">
        <v>0</v>
      </c>
      <c r="AJ32" s="203">
        <v>0</v>
      </c>
      <c r="AK32" s="203">
        <v>0</v>
      </c>
      <c r="AL32" s="203">
        <f t="shared" si="117"/>
        <v>121</v>
      </c>
      <c r="AM32" s="203">
        <f t="shared" si="117"/>
        <v>79</v>
      </c>
      <c r="AN32" s="203">
        <f t="shared" si="118"/>
        <v>79</v>
      </c>
      <c r="AO32" s="203">
        <f t="shared" si="119"/>
        <v>4</v>
      </c>
      <c r="AP32" s="81">
        <f t="shared" si="100"/>
        <v>5.4054054054054053</v>
      </c>
      <c r="AQ32" s="81">
        <f t="shared" si="101"/>
        <v>5.4054054054054053</v>
      </c>
      <c r="AR32" s="81">
        <f t="shared" si="102"/>
        <v>5.0632911392405067</v>
      </c>
      <c r="AS32" s="81">
        <f t="shared" si="103"/>
        <v>153.1645569620253</v>
      </c>
      <c r="AT32" s="81">
        <f t="shared" si="104"/>
        <v>100</v>
      </c>
      <c r="AU32" s="108">
        <f t="shared" si="105"/>
        <v>0</v>
      </c>
      <c r="AV32" s="108">
        <f t="shared" si="106"/>
        <v>75</v>
      </c>
      <c r="AW32" s="108">
        <f t="shared" si="107"/>
        <v>0</v>
      </c>
      <c r="AX32" s="108">
        <f t="shared" si="47"/>
        <v>0</v>
      </c>
      <c r="AY32" s="108">
        <f t="shared" si="108"/>
        <v>25</v>
      </c>
      <c r="AZ32" s="108">
        <f t="shared" si="109"/>
        <v>0</v>
      </c>
      <c r="BA32" s="108">
        <f t="shared" si="110"/>
        <v>0</v>
      </c>
    </row>
    <row r="33" spans="1:53" s="40" customFormat="1" ht="20.25" customHeight="1">
      <c r="A33" s="420"/>
      <c r="B33" s="420"/>
      <c r="C33" s="4" t="s">
        <v>130</v>
      </c>
      <c r="D33" s="203">
        <v>40</v>
      </c>
      <c r="E33" s="103">
        <v>45742</v>
      </c>
      <c r="F33" s="103">
        <v>45737</v>
      </c>
      <c r="G33" s="203">
        <v>8</v>
      </c>
      <c r="H33" s="203">
        <v>0</v>
      </c>
      <c r="I33" s="203">
        <f t="shared" si="115"/>
        <v>8</v>
      </c>
      <c r="J33" s="203">
        <v>0</v>
      </c>
      <c r="K33" s="203">
        <v>0</v>
      </c>
      <c r="L33" s="203">
        <f t="shared" si="116"/>
        <v>8</v>
      </c>
      <c r="M33" s="203">
        <v>0</v>
      </c>
      <c r="N33" s="203">
        <v>0</v>
      </c>
      <c r="O33" s="203">
        <v>8</v>
      </c>
      <c r="P33" s="203">
        <v>0</v>
      </c>
      <c r="Q33" s="203">
        <v>0</v>
      </c>
      <c r="R33" s="203">
        <v>0</v>
      </c>
      <c r="S33" s="203">
        <v>0</v>
      </c>
      <c r="T33" s="203">
        <v>1</v>
      </c>
      <c r="U33" s="203">
        <v>1</v>
      </c>
      <c r="V33" s="203">
        <v>0</v>
      </c>
      <c r="W33" s="203">
        <v>0</v>
      </c>
      <c r="X33" s="203">
        <v>2</v>
      </c>
      <c r="Y33" s="203">
        <v>0</v>
      </c>
      <c r="Z33" s="203">
        <v>0</v>
      </c>
      <c r="AA33" s="203">
        <v>0</v>
      </c>
      <c r="AB33" s="203">
        <v>0</v>
      </c>
      <c r="AC33" s="203">
        <v>0</v>
      </c>
      <c r="AD33" s="203">
        <v>2</v>
      </c>
      <c r="AE33" s="203">
        <v>0</v>
      </c>
      <c r="AF33" s="203">
        <v>2</v>
      </c>
      <c r="AG33" s="203">
        <v>3</v>
      </c>
      <c r="AH33" s="203">
        <v>0</v>
      </c>
      <c r="AI33" s="203">
        <v>0</v>
      </c>
      <c r="AJ33" s="203">
        <v>0</v>
      </c>
      <c r="AK33" s="203">
        <v>0</v>
      </c>
      <c r="AL33" s="203">
        <f t="shared" si="117"/>
        <v>3</v>
      </c>
      <c r="AM33" s="203">
        <f t="shared" si="117"/>
        <v>8</v>
      </c>
      <c r="AN33" s="203">
        <f t="shared" si="118"/>
        <v>8</v>
      </c>
      <c r="AO33" s="203">
        <f t="shared" si="119"/>
        <v>0</v>
      </c>
      <c r="AP33" s="81">
        <f t="shared" si="100"/>
        <v>0</v>
      </c>
      <c r="AQ33" s="81">
        <f t="shared" si="101"/>
        <v>0</v>
      </c>
      <c r="AR33" s="81">
        <f t="shared" si="102"/>
        <v>0</v>
      </c>
      <c r="AS33" s="81">
        <f t="shared" si="103"/>
        <v>37.5</v>
      </c>
      <c r="AT33" s="81">
        <f t="shared" si="104"/>
        <v>100</v>
      </c>
      <c r="AU33" s="108">
        <v>0</v>
      </c>
      <c r="AV33" s="108">
        <v>0</v>
      </c>
      <c r="AW33" s="108">
        <v>0</v>
      </c>
      <c r="AX33" s="108">
        <v>0</v>
      </c>
      <c r="AY33" s="108">
        <v>0</v>
      </c>
      <c r="AZ33" s="108">
        <v>0</v>
      </c>
      <c r="BA33" s="108">
        <v>0</v>
      </c>
    </row>
    <row r="34" spans="1:53" s="40" customFormat="1" ht="20.25" customHeight="1">
      <c r="A34" s="207" t="s">
        <v>66</v>
      </c>
      <c r="B34" s="83" t="s">
        <v>264</v>
      </c>
      <c r="C34" s="83">
        <f>COUNTA(C21:C33)</f>
        <v>13</v>
      </c>
      <c r="D34" s="83">
        <f>D20</f>
        <v>69</v>
      </c>
      <c r="E34" s="84">
        <f>MIN(E28:E33)</f>
        <v>45721</v>
      </c>
      <c r="F34" s="84">
        <f>MAX(F28:F33)</f>
        <v>45745</v>
      </c>
      <c r="G34" s="83">
        <f t="shared" ref="G34:AK34" si="120">G20</f>
        <v>16</v>
      </c>
      <c r="H34" s="83">
        <f t="shared" si="120"/>
        <v>0</v>
      </c>
      <c r="I34" s="83">
        <f t="shared" si="120"/>
        <v>16</v>
      </c>
      <c r="J34" s="83">
        <f t="shared" si="120"/>
        <v>2</v>
      </c>
      <c r="K34" s="83">
        <f t="shared" si="120"/>
        <v>0</v>
      </c>
      <c r="L34" s="83">
        <f t="shared" si="120"/>
        <v>18</v>
      </c>
      <c r="M34" s="83">
        <f t="shared" si="120"/>
        <v>0</v>
      </c>
      <c r="N34" s="83">
        <f t="shared" si="120"/>
        <v>0</v>
      </c>
      <c r="O34" s="83">
        <f t="shared" si="120"/>
        <v>0</v>
      </c>
      <c r="P34" s="83">
        <f t="shared" si="120"/>
        <v>0</v>
      </c>
      <c r="Q34" s="83">
        <f t="shared" si="120"/>
        <v>0</v>
      </c>
      <c r="R34" s="83">
        <f t="shared" si="120"/>
        <v>0</v>
      </c>
      <c r="S34" s="83">
        <f t="shared" si="120"/>
        <v>0</v>
      </c>
      <c r="T34" s="83">
        <f t="shared" si="120"/>
        <v>0</v>
      </c>
      <c r="U34" s="83">
        <f t="shared" si="120"/>
        <v>1</v>
      </c>
      <c r="V34" s="83">
        <f t="shared" si="120"/>
        <v>0</v>
      </c>
      <c r="W34" s="83">
        <f t="shared" si="120"/>
        <v>5</v>
      </c>
      <c r="X34" s="83">
        <f t="shared" si="120"/>
        <v>2</v>
      </c>
      <c r="Y34" s="83">
        <f t="shared" si="120"/>
        <v>0</v>
      </c>
      <c r="Z34" s="83">
        <f t="shared" si="120"/>
        <v>0</v>
      </c>
      <c r="AA34" s="83">
        <f t="shared" si="120"/>
        <v>0</v>
      </c>
      <c r="AB34" s="83">
        <f t="shared" si="120"/>
        <v>0</v>
      </c>
      <c r="AC34" s="83">
        <f t="shared" si="120"/>
        <v>3</v>
      </c>
      <c r="AD34" s="83">
        <f t="shared" si="120"/>
        <v>1</v>
      </c>
      <c r="AE34" s="83">
        <f t="shared" si="120"/>
        <v>0</v>
      </c>
      <c r="AF34" s="83">
        <f t="shared" si="120"/>
        <v>10</v>
      </c>
      <c r="AG34" s="83">
        <f t="shared" si="120"/>
        <v>1</v>
      </c>
      <c r="AH34" s="83">
        <f t="shared" si="120"/>
        <v>0</v>
      </c>
      <c r="AI34" s="83">
        <f t="shared" si="120"/>
        <v>0</v>
      </c>
      <c r="AJ34" s="83">
        <f t="shared" si="120"/>
        <v>0</v>
      </c>
      <c r="AK34" s="83">
        <f t="shared" si="120"/>
        <v>0</v>
      </c>
      <c r="AL34" s="83">
        <f>Q34+T34+W34+Z34+AC34+AF34+AI34</f>
        <v>18</v>
      </c>
      <c r="AM34" s="83">
        <f>R34+U34+X34+AA34+AD34+AG34+AJ34</f>
        <v>5</v>
      </c>
      <c r="AN34" s="83">
        <f>AL34+AM34</f>
        <v>23</v>
      </c>
      <c r="AO34" s="83">
        <f>S34+V34+Y34+AB34+AE34+AH34+AK34</f>
        <v>0</v>
      </c>
      <c r="AP34" s="190">
        <f t="shared" ref="AP34:AP36" si="121">P34/I34*100</f>
        <v>0</v>
      </c>
      <c r="AQ34" s="190">
        <f t="shared" ref="AQ34:AQ36" si="122">AO34/I34*100</f>
        <v>0</v>
      </c>
      <c r="AR34" s="190">
        <f t="shared" ref="AR34:AR36" si="123">AO34/AN34*100</f>
        <v>0</v>
      </c>
      <c r="AS34" s="85">
        <f t="shared" ref="AS34:AS36" si="124">AL34/AN34*100</f>
        <v>78.260869565217391</v>
      </c>
      <c r="AT34" s="85">
        <f t="shared" ref="AT34:AT36" si="125">AM34/AN34*100</f>
        <v>21.739130434782609</v>
      </c>
      <c r="AU34" s="85" t="e">
        <f t="shared" ref="AU34:AU36" si="126">S34/AO34*100</f>
        <v>#DIV/0!</v>
      </c>
      <c r="AV34" s="85" t="e">
        <f t="shared" ref="AV34:AV36" si="127">V34/AO34*100</f>
        <v>#DIV/0!</v>
      </c>
      <c r="AW34" s="85" t="e">
        <f t="shared" ref="AW34:AW36" si="128">Y34/AO34*100</f>
        <v>#DIV/0!</v>
      </c>
      <c r="AX34" s="85" t="e">
        <f t="shared" ref="AX34:AX36" si="129">AB34/AO34*100</f>
        <v>#DIV/0!</v>
      </c>
      <c r="AY34" s="85" t="e">
        <f t="shared" ref="AY34:AY36" si="130">AE34/AO34*100</f>
        <v>#DIV/0!</v>
      </c>
      <c r="AZ34" s="85" t="e">
        <f t="shared" ref="AZ34:AZ36" si="131">AH34/AO34*100</f>
        <v>#DIV/0!</v>
      </c>
      <c r="BA34" s="85" t="e">
        <f t="shared" ref="BA34:BA36" si="132">AK34/AO34*100</f>
        <v>#DIV/0!</v>
      </c>
    </row>
    <row r="35" spans="1:53" s="218" customFormat="1" ht="20.25" customHeight="1">
      <c r="A35" s="249"/>
      <c r="B35" s="415" t="s">
        <v>265</v>
      </c>
      <c r="C35" s="77" t="s">
        <v>141</v>
      </c>
      <c r="D35" s="253">
        <f>SUM(D36:D40)</f>
        <v>3838</v>
      </c>
      <c r="E35" s="78">
        <f>MIN(E36:E40)</f>
        <v>45761</v>
      </c>
      <c r="F35" s="78">
        <f>MAX(F36:F40)</f>
        <v>45777</v>
      </c>
      <c r="G35" s="77">
        <f>SUM(G36:G40)</f>
        <v>922</v>
      </c>
      <c r="H35" s="77">
        <f t="shared" ref="H35:AK35" si="133">SUM(H36:H40)</f>
        <v>0</v>
      </c>
      <c r="I35" s="77">
        <f t="shared" si="133"/>
        <v>922</v>
      </c>
      <c r="J35" s="77">
        <f t="shared" si="133"/>
        <v>20</v>
      </c>
      <c r="K35" s="77">
        <f t="shared" si="133"/>
        <v>0</v>
      </c>
      <c r="L35" s="77">
        <f t="shared" si="133"/>
        <v>942</v>
      </c>
      <c r="M35" s="77">
        <f t="shared" si="133"/>
        <v>0</v>
      </c>
      <c r="N35" s="77">
        <f t="shared" si="133"/>
        <v>0</v>
      </c>
      <c r="O35" s="77">
        <f t="shared" si="133"/>
        <v>929</v>
      </c>
      <c r="P35" s="77">
        <f t="shared" si="133"/>
        <v>23</v>
      </c>
      <c r="Q35" s="77">
        <f t="shared" si="133"/>
        <v>1</v>
      </c>
      <c r="R35" s="77">
        <f t="shared" si="133"/>
        <v>4</v>
      </c>
      <c r="S35" s="77">
        <f t="shared" si="133"/>
        <v>1</v>
      </c>
      <c r="T35" s="77">
        <f t="shared" si="133"/>
        <v>22</v>
      </c>
      <c r="U35" s="77">
        <f t="shared" si="133"/>
        <v>77</v>
      </c>
      <c r="V35" s="77">
        <f t="shared" si="133"/>
        <v>8</v>
      </c>
      <c r="W35" s="77">
        <f t="shared" si="133"/>
        <v>350</v>
      </c>
      <c r="X35" s="77">
        <f t="shared" si="133"/>
        <v>307</v>
      </c>
      <c r="Y35" s="77">
        <f t="shared" si="133"/>
        <v>5</v>
      </c>
      <c r="Z35" s="77">
        <f t="shared" si="133"/>
        <v>1</v>
      </c>
      <c r="AA35" s="77">
        <f t="shared" si="133"/>
        <v>0</v>
      </c>
      <c r="AB35" s="77">
        <f t="shared" si="133"/>
        <v>0</v>
      </c>
      <c r="AC35" s="77">
        <f t="shared" si="133"/>
        <v>183</v>
      </c>
      <c r="AD35" s="77">
        <f t="shared" si="133"/>
        <v>91</v>
      </c>
      <c r="AE35" s="77">
        <f t="shared" si="133"/>
        <v>9</v>
      </c>
      <c r="AF35" s="77">
        <f t="shared" si="133"/>
        <v>46</v>
      </c>
      <c r="AG35" s="77">
        <f t="shared" si="133"/>
        <v>45</v>
      </c>
      <c r="AH35" s="77">
        <f t="shared" si="133"/>
        <v>0</v>
      </c>
      <c r="AI35" s="77">
        <f t="shared" si="133"/>
        <v>0</v>
      </c>
      <c r="AJ35" s="77">
        <f t="shared" si="133"/>
        <v>14</v>
      </c>
      <c r="AK35" s="77">
        <f t="shared" si="133"/>
        <v>4</v>
      </c>
      <c r="AL35" s="77">
        <f>Q35+T35+W35+Z35+AC35+AF35+AI35</f>
        <v>603</v>
      </c>
      <c r="AM35" s="77">
        <f t="shared" ref="AM35" si="134">R35+U35+X35+AA35+AD35+AG35+AJ35</f>
        <v>538</v>
      </c>
      <c r="AN35" s="77">
        <f t="shared" ref="AN35" si="135">AL35+AM35</f>
        <v>1141</v>
      </c>
      <c r="AO35" s="77">
        <f>S35+V35+Y35+AB35+AE35+AH35+AK35</f>
        <v>27</v>
      </c>
      <c r="AP35" s="188">
        <f t="shared" si="121"/>
        <v>2.4945770065075923</v>
      </c>
      <c r="AQ35" s="188">
        <f t="shared" si="122"/>
        <v>2.9284164859002169</v>
      </c>
      <c r="AR35" s="188">
        <f t="shared" si="123"/>
        <v>2.366345311130587</v>
      </c>
      <c r="AS35" s="88">
        <f t="shared" si="124"/>
        <v>52.848378615249779</v>
      </c>
      <c r="AT35" s="88">
        <f t="shared" si="125"/>
        <v>47.151621384750221</v>
      </c>
      <c r="AU35" s="88">
        <f t="shared" si="126"/>
        <v>3.7037037037037033</v>
      </c>
      <c r="AV35" s="88">
        <f t="shared" si="127"/>
        <v>29.629629629629626</v>
      </c>
      <c r="AW35" s="88">
        <f t="shared" si="128"/>
        <v>18.518518518518519</v>
      </c>
      <c r="AX35" s="88">
        <f t="shared" si="129"/>
        <v>0</v>
      </c>
      <c r="AY35" s="88">
        <f t="shared" si="130"/>
        <v>33.333333333333329</v>
      </c>
      <c r="AZ35" s="88">
        <f t="shared" si="131"/>
        <v>0</v>
      </c>
      <c r="BA35" s="88">
        <f t="shared" si="132"/>
        <v>14.814814814814813</v>
      </c>
    </row>
    <row r="36" spans="1:53" s="63" customFormat="1" ht="20.25" customHeight="1">
      <c r="A36" s="62"/>
      <c r="B36" s="416"/>
      <c r="C36" s="231" t="s">
        <v>131</v>
      </c>
      <c r="D36" s="252">
        <v>1267</v>
      </c>
      <c r="E36" s="177">
        <v>45761</v>
      </c>
      <c r="F36" s="164">
        <v>45764</v>
      </c>
      <c r="G36" s="120">
        <v>265</v>
      </c>
      <c r="H36" s="120">
        <v>0</v>
      </c>
      <c r="I36" s="247">
        <f t="shared" si="115"/>
        <v>265</v>
      </c>
      <c r="J36" s="120">
        <v>6</v>
      </c>
      <c r="K36" s="120">
        <v>0</v>
      </c>
      <c r="L36" s="247">
        <f t="shared" si="116"/>
        <v>271</v>
      </c>
      <c r="M36" s="120">
        <v>0</v>
      </c>
      <c r="N36" s="120">
        <v>0</v>
      </c>
      <c r="O36" s="120">
        <v>265</v>
      </c>
      <c r="P36" s="120">
        <v>9</v>
      </c>
      <c r="Q36" s="120">
        <v>0</v>
      </c>
      <c r="R36" s="120">
        <v>1</v>
      </c>
      <c r="S36" s="120">
        <v>1</v>
      </c>
      <c r="T36" s="120">
        <v>11</v>
      </c>
      <c r="U36" s="120">
        <v>19</v>
      </c>
      <c r="V36" s="120">
        <v>3</v>
      </c>
      <c r="W36" s="120">
        <v>114</v>
      </c>
      <c r="X36" s="120">
        <v>89</v>
      </c>
      <c r="Y36" s="120">
        <v>1</v>
      </c>
      <c r="Z36" s="120">
        <v>0</v>
      </c>
      <c r="AA36" s="120">
        <v>0</v>
      </c>
      <c r="AB36" s="120">
        <v>0</v>
      </c>
      <c r="AC36" s="120">
        <v>90</v>
      </c>
      <c r="AD36" s="120">
        <v>48</v>
      </c>
      <c r="AE36" s="120">
        <v>4</v>
      </c>
      <c r="AF36" s="120">
        <v>24</v>
      </c>
      <c r="AG36" s="120">
        <v>14</v>
      </c>
      <c r="AH36" s="120">
        <v>0</v>
      </c>
      <c r="AI36" s="120">
        <v>0</v>
      </c>
      <c r="AJ36" s="120">
        <v>0</v>
      </c>
      <c r="AK36" s="120">
        <v>4</v>
      </c>
      <c r="AL36" s="247">
        <f t="shared" ref="AL36" si="136">Q36+T36+W36+Z36+AC36+AF36+AI36</f>
        <v>239</v>
      </c>
      <c r="AM36" s="247">
        <f t="shared" ref="AM36" si="137">R36+U36+X36+AA36+AD36+AG36+AJ36</f>
        <v>171</v>
      </c>
      <c r="AN36" s="247">
        <f t="shared" ref="AN36" si="138">R36+U36+X36+AA36+AD36+AG36+AJ36</f>
        <v>171</v>
      </c>
      <c r="AO36" s="247">
        <f t="shared" ref="AO36" si="139">S36+V36+Y36+AB36+AE36+AH36+AK36</f>
        <v>13</v>
      </c>
      <c r="AP36" s="81">
        <f t="shared" si="121"/>
        <v>3.3962264150943398</v>
      </c>
      <c r="AQ36" s="81">
        <f t="shared" si="122"/>
        <v>4.9056603773584913</v>
      </c>
      <c r="AR36" s="81">
        <f t="shared" si="123"/>
        <v>7.6023391812865491</v>
      </c>
      <c r="AS36" s="81">
        <f t="shared" si="124"/>
        <v>139.76608187134502</v>
      </c>
      <c r="AT36" s="81">
        <f t="shared" si="125"/>
        <v>100</v>
      </c>
      <c r="AU36" s="108">
        <f t="shared" si="126"/>
        <v>7.6923076923076925</v>
      </c>
      <c r="AV36" s="108">
        <f t="shared" si="127"/>
        <v>23.076923076923077</v>
      </c>
      <c r="AW36" s="108">
        <f t="shared" si="128"/>
        <v>7.6923076923076925</v>
      </c>
      <c r="AX36" s="108">
        <f t="shared" si="129"/>
        <v>0</v>
      </c>
      <c r="AY36" s="108">
        <f t="shared" si="130"/>
        <v>30.76923076923077</v>
      </c>
      <c r="AZ36" s="108">
        <f t="shared" si="131"/>
        <v>0</v>
      </c>
      <c r="BA36" s="108">
        <f t="shared" si="132"/>
        <v>30.76923076923077</v>
      </c>
    </row>
    <row r="37" spans="1:53" s="63" customFormat="1" ht="20.25" customHeight="1">
      <c r="A37" s="62"/>
      <c r="B37" s="416"/>
      <c r="C37" s="4" t="s">
        <v>133</v>
      </c>
      <c r="D37" s="252">
        <v>528</v>
      </c>
      <c r="E37" s="177">
        <v>45763</v>
      </c>
      <c r="F37" s="164">
        <v>45769</v>
      </c>
      <c r="G37" s="120">
        <v>137</v>
      </c>
      <c r="H37" s="120">
        <v>0</v>
      </c>
      <c r="I37" s="247">
        <f t="shared" si="115"/>
        <v>137</v>
      </c>
      <c r="J37" s="120">
        <v>3</v>
      </c>
      <c r="K37" s="120">
        <v>0</v>
      </c>
      <c r="L37" s="247">
        <f t="shared" si="116"/>
        <v>140</v>
      </c>
      <c r="M37" s="120">
        <v>0</v>
      </c>
      <c r="N37" s="120">
        <v>0</v>
      </c>
      <c r="O37" s="120">
        <v>137</v>
      </c>
      <c r="P37" s="120">
        <v>2</v>
      </c>
      <c r="Q37" s="120">
        <v>0</v>
      </c>
      <c r="R37" s="120">
        <v>0</v>
      </c>
      <c r="S37" s="120">
        <v>0</v>
      </c>
      <c r="T37" s="120">
        <v>0</v>
      </c>
      <c r="U37" s="120">
        <v>10</v>
      </c>
      <c r="V37" s="120">
        <v>0</v>
      </c>
      <c r="W37" s="120">
        <v>52</v>
      </c>
      <c r="X37" s="120">
        <v>50</v>
      </c>
      <c r="Y37" s="120">
        <v>0</v>
      </c>
      <c r="Z37" s="120">
        <v>0</v>
      </c>
      <c r="AA37" s="120">
        <v>0</v>
      </c>
      <c r="AB37" s="120">
        <v>0</v>
      </c>
      <c r="AC37" s="120">
        <v>12</v>
      </c>
      <c r="AD37" s="120">
        <v>8</v>
      </c>
      <c r="AE37" s="120">
        <v>2</v>
      </c>
      <c r="AF37" s="120">
        <v>2</v>
      </c>
      <c r="AG37" s="120">
        <v>2</v>
      </c>
      <c r="AH37" s="120">
        <v>0</v>
      </c>
      <c r="AI37" s="120">
        <v>0</v>
      </c>
      <c r="AJ37" s="120">
        <v>0</v>
      </c>
      <c r="AK37" s="120">
        <v>0</v>
      </c>
      <c r="AL37" s="247">
        <f t="shared" ref="AL37:AL40" si="140">Q37+T37+W37+Z37+AC37+AF37+AI37</f>
        <v>66</v>
      </c>
      <c r="AM37" s="247">
        <f t="shared" ref="AM37:AM40" si="141">R37+U37+X37+AA37+AD37+AG37+AJ37</f>
        <v>70</v>
      </c>
      <c r="AN37" s="247">
        <f t="shared" ref="AN37:AN40" si="142">R37+U37+X37+AA37+AD37+AG37+AJ37</f>
        <v>70</v>
      </c>
      <c r="AO37" s="247">
        <f t="shared" ref="AO37:AO40" si="143">S37+V37+Y37+AB37+AE37+AH37+AK37</f>
        <v>2</v>
      </c>
      <c r="AP37" s="81">
        <f t="shared" ref="AP37:AP40" si="144">P37/I37*100</f>
        <v>1.4598540145985401</v>
      </c>
      <c r="AQ37" s="81">
        <f t="shared" ref="AQ37:AQ40" si="145">AO37/I37*100</f>
        <v>1.4598540145985401</v>
      </c>
      <c r="AR37" s="81">
        <f t="shared" ref="AR37:AR40" si="146">AO37/AN37*100</f>
        <v>2.8571428571428572</v>
      </c>
      <c r="AS37" s="81">
        <f t="shared" ref="AS37:AS40" si="147">AL37/AN37*100</f>
        <v>94.285714285714278</v>
      </c>
      <c r="AT37" s="81">
        <f t="shared" ref="AT37:AT40" si="148">AM37/AN37*100</f>
        <v>100</v>
      </c>
      <c r="AU37" s="108">
        <f t="shared" ref="AU37:AU40" si="149">S37/AO37*100</f>
        <v>0</v>
      </c>
      <c r="AV37" s="108">
        <f t="shared" ref="AV37:AV40" si="150">V37/AO37*100</f>
        <v>0</v>
      </c>
      <c r="AW37" s="108">
        <f t="shared" ref="AW37:AW40" si="151">Y37/AO37*100</f>
        <v>0</v>
      </c>
      <c r="AX37" s="108">
        <f t="shared" ref="AX37:AX40" si="152">AB37/AO37*100</f>
        <v>0</v>
      </c>
      <c r="AY37" s="108">
        <f t="shared" ref="AY37:AY40" si="153">AE37/AO37*100</f>
        <v>100</v>
      </c>
      <c r="AZ37" s="108">
        <f t="shared" ref="AZ37:AZ40" si="154">AH37/AO37*100</f>
        <v>0</v>
      </c>
      <c r="BA37" s="108">
        <f t="shared" ref="BA37:BA40" si="155">AK37/AO37*100</f>
        <v>0</v>
      </c>
    </row>
    <row r="38" spans="1:53" s="63" customFormat="1" ht="20.25" customHeight="1">
      <c r="A38" s="62"/>
      <c r="B38" s="416"/>
      <c r="C38" s="4" t="s">
        <v>132</v>
      </c>
      <c r="D38" s="252">
        <v>867</v>
      </c>
      <c r="E38" s="177">
        <v>45770</v>
      </c>
      <c r="F38" s="164">
        <v>45772</v>
      </c>
      <c r="G38" s="120">
        <v>244</v>
      </c>
      <c r="H38" s="120">
        <v>0</v>
      </c>
      <c r="I38" s="247">
        <f t="shared" si="115"/>
        <v>244</v>
      </c>
      <c r="J38" s="120">
        <v>7</v>
      </c>
      <c r="K38" s="120">
        <v>0</v>
      </c>
      <c r="L38" s="247">
        <f t="shared" si="116"/>
        <v>251</v>
      </c>
      <c r="M38" s="120">
        <v>0</v>
      </c>
      <c r="N38" s="120">
        <v>0</v>
      </c>
      <c r="O38" s="120">
        <v>251</v>
      </c>
      <c r="P38" s="120">
        <v>6</v>
      </c>
      <c r="Q38" s="120">
        <v>1</v>
      </c>
      <c r="R38" s="120">
        <v>1</v>
      </c>
      <c r="S38" s="120">
        <v>0</v>
      </c>
      <c r="T38" s="120">
        <v>8</v>
      </c>
      <c r="U38" s="120">
        <v>20</v>
      </c>
      <c r="V38" s="120">
        <v>3</v>
      </c>
      <c r="W38" s="120">
        <v>98</v>
      </c>
      <c r="X38" s="120">
        <v>94</v>
      </c>
      <c r="Y38" s="120">
        <v>2</v>
      </c>
      <c r="Z38" s="120">
        <v>1</v>
      </c>
      <c r="AA38" s="120">
        <v>0</v>
      </c>
      <c r="AB38" s="120">
        <v>0</v>
      </c>
      <c r="AC38" s="120">
        <v>41</v>
      </c>
      <c r="AD38" s="120">
        <v>14</v>
      </c>
      <c r="AE38" s="120">
        <v>1</v>
      </c>
      <c r="AF38" s="120">
        <v>6</v>
      </c>
      <c r="AG38" s="120">
        <v>11</v>
      </c>
      <c r="AH38" s="120">
        <v>0</v>
      </c>
      <c r="AI38" s="120">
        <v>0</v>
      </c>
      <c r="AJ38" s="120">
        <v>8</v>
      </c>
      <c r="AK38" s="120">
        <v>0</v>
      </c>
      <c r="AL38" s="247">
        <f t="shared" si="140"/>
        <v>155</v>
      </c>
      <c r="AM38" s="247">
        <f t="shared" si="141"/>
        <v>148</v>
      </c>
      <c r="AN38" s="247">
        <f t="shared" si="142"/>
        <v>148</v>
      </c>
      <c r="AO38" s="247">
        <f t="shared" si="143"/>
        <v>6</v>
      </c>
      <c r="AP38" s="81">
        <f t="shared" si="144"/>
        <v>2.459016393442623</v>
      </c>
      <c r="AQ38" s="81">
        <f t="shared" si="145"/>
        <v>2.459016393442623</v>
      </c>
      <c r="AR38" s="81">
        <f t="shared" si="146"/>
        <v>4.0540540540540544</v>
      </c>
      <c r="AS38" s="81">
        <f t="shared" si="147"/>
        <v>104.72972972972974</v>
      </c>
      <c r="AT38" s="81">
        <f t="shared" si="148"/>
        <v>100</v>
      </c>
      <c r="AU38" s="108">
        <f t="shared" si="149"/>
        <v>0</v>
      </c>
      <c r="AV38" s="108">
        <f t="shared" si="150"/>
        <v>50</v>
      </c>
      <c r="AW38" s="108">
        <f t="shared" si="151"/>
        <v>33.333333333333329</v>
      </c>
      <c r="AX38" s="108">
        <f t="shared" si="152"/>
        <v>0</v>
      </c>
      <c r="AY38" s="108">
        <f t="shared" si="153"/>
        <v>16.666666666666664</v>
      </c>
      <c r="AZ38" s="108">
        <f t="shared" si="154"/>
        <v>0</v>
      </c>
      <c r="BA38" s="108">
        <f t="shared" si="155"/>
        <v>0</v>
      </c>
    </row>
    <row r="39" spans="1:53" s="63" customFormat="1" ht="20.25" customHeight="1">
      <c r="A39" s="62"/>
      <c r="B39" s="416"/>
      <c r="C39" s="4" t="s">
        <v>134</v>
      </c>
      <c r="D39" s="252">
        <v>1032</v>
      </c>
      <c r="E39" s="177">
        <v>45774</v>
      </c>
      <c r="F39" s="164">
        <v>45777</v>
      </c>
      <c r="G39" s="120">
        <v>234</v>
      </c>
      <c r="H39" s="120">
        <v>0</v>
      </c>
      <c r="I39" s="247">
        <f t="shared" si="115"/>
        <v>234</v>
      </c>
      <c r="J39" s="120">
        <v>2</v>
      </c>
      <c r="K39" s="120">
        <v>0</v>
      </c>
      <c r="L39" s="247">
        <f t="shared" si="116"/>
        <v>236</v>
      </c>
      <c r="M39" s="120">
        <v>0</v>
      </c>
      <c r="N39" s="120">
        <v>0</v>
      </c>
      <c r="O39" s="120">
        <v>234</v>
      </c>
      <c r="P39" s="120">
        <v>6</v>
      </c>
      <c r="Q39" s="120">
        <v>0</v>
      </c>
      <c r="R39" s="120">
        <v>2</v>
      </c>
      <c r="S39" s="120">
        <v>0</v>
      </c>
      <c r="T39" s="120">
        <v>3</v>
      </c>
      <c r="U39" s="120">
        <v>24</v>
      </c>
      <c r="V39" s="120">
        <v>2</v>
      </c>
      <c r="W39" s="120">
        <v>83</v>
      </c>
      <c r="X39" s="120">
        <v>70</v>
      </c>
      <c r="Y39" s="120">
        <v>2</v>
      </c>
      <c r="Z39" s="120">
        <v>0</v>
      </c>
      <c r="AA39" s="120">
        <v>0</v>
      </c>
      <c r="AB39" s="120">
        <v>0</v>
      </c>
      <c r="AC39" s="120">
        <v>37</v>
      </c>
      <c r="AD39" s="120">
        <v>19</v>
      </c>
      <c r="AE39" s="120">
        <v>2</v>
      </c>
      <c r="AF39" s="120">
        <v>10</v>
      </c>
      <c r="AG39" s="120">
        <v>13</v>
      </c>
      <c r="AH39" s="120">
        <v>0</v>
      </c>
      <c r="AI39" s="120">
        <v>0</v>
      </c>
      <c r="AJ39" s="120">
        <v>6</v>
      </c>
      <c r="AK39" s="120">
        <v>0</v>
      </c>
      <c r="AL39" s="247">
        <f t="shared" si="140"/>
        <v>133</v>
      </c>
      <c r="AM39" s="247">
        <f t="shared" si="141"/>
        <v>134</v>
      </c>
      <c r="AN39" s="247">
        <f t="shared" si="142"/>
        <v>134</v>
      </c>
      <c r="AO39" s="247">
        <f t="shared" si="143"/>
        <v>6</v>
      </c>
      <c r="AP39" s="81">
        <f t="shared" si="144"/>
        <v>2.5641025641025639</v>
      </c>
      <c r="AQ39" s="81">
        <f t="shared" si="145"/>
        <v>2.5641025641025639</v>
      </c>
      <c r="AR39" s="81">
        <f t="shared" si="146"/>
        <v>4.4776119402985071</v>
      </c>
      <c r="AS39" s="81">
        <f t="shared" si="147"/>
        <v>99.253731343283576</v>
      </c>
      <c r="AT39" s="81">
        <f t="shared" si="148"/>
        <v>100</v>
      </c>
      <c r="AU39" s="108">
        <f t="shared" si="149"/>
        <v>0</v>
      </c>
      <c r="AV39" s="108">
        <f t="shared" si="150"/>
        <v>33.333333333333329</v>
      </c>
      <c r="AW39" s="108">
        <f t="shared" si="151"/>
        <v>33.333333333333329</v>
      </c>
      <c r="AX39" s="108">
        <f t="shared" si="152"/>
        <v>0</v>
      </c>
      <c r="AY39" s="108">
        <f t="shared" si="153"/>
        <v>33.333333333333329</v>
      </c>
      <c r="AZ39" s="108">
        <f t="shared" si="154"/>
        <v>0</v>
      </c>
      <c r="BA39" s="108">
        <f t="shared" si="155"/>
        <v>0</v>
      </c>
    </row>
    <row r="40" spans="1:53" s="63" customFormat="1" ht="20.25" customHeight="1">
      <c r="A40" s="62"/>
      <c r="B40" s="417"/>
      <c r="C40" s="4" t="s">
        <v>130</v>
      </c>
      <c r="D40" s="252">
        <v>144</v>
      </c>
      <c r="E40" s="177">
        <v>45777</v>
      </c>
      <c r="F40" s="164">
        <v>45777</v>
      </c>
      <c r="G40" s="120">
        <v>42</v>
      </c>
      <c r="H40" s="120">
        <v>0</v>
      </c>
      <c r="I40" s="247">
        <f t="shared" si="115"/>
        <v>42</v>
      </c>
      <c r="J40" s="120">
        <v>2</v>
      </c>
      <c r="K40" s="120">
        <v>0</v>
      </c>
      <c r="L40" s="247">
        <f t="shared" si="116"/>
        <v>44</v>
      </c>
      <c r="M40" s="120">
        <v>0</v>
      </c>
      <c r="N40" s="120">
        <v>0</v>
      </c>
      <c r="O40" s="120">
        <v>42</v>
      </c>
      <c r="P40" s="120">
        <v>0</v>
      </c>
      <c r="Q40" s="120">
        <v>0</v>
      </c>
      <c r="R40" s="120">
        <v>0</v>
      </c>
      <c r="S40" s="120">
        <v>0</v>
      </c>
      <c r="T40" s="120">
        <v>0</v>
      </c>
      <c r="U40" s="120">
        <v>4</v>
      </c>
      <c r="V40" s="120">
        <v>0</v>
      </c>
      <c r="W40" s="120">
        <v>3</v>
      </c>
      <c r="X40" s="120">
        <v>4</v>
      </c>
      <c r="Y40" s="120">
        <v>0</v>
      </c>
      <c r="Z40" s="120">
        <v>0</v>
      </c>
      <c r="AA40" s="120">
        <v>0</v>
      </c>
      <c r="AB40" s="120">
        <v>0</v>
      </c>
      <c r="AC40" s="120">
        <v>3</v>
      </c>
      <c r="AD40" s="120">
        <v>2</v>
      </c>
      <c r="AE40" s="120">
        <v>0</v>
      </c>
      <c r="AF40" s="120">
        <v>4</v>
      </c>
      <c r="AG40" s="120">
        <v>5</v>
      </c>
      <c r="AH40" s="120">
        <v>0</v>
      </c>
      <c r="AI40" s="120">
        <v>0</v>
      </c>
      <c r="AJ40" s="120">
        <v>0</v>
      </c>
      <c r="AK40" s="120">
        <v>0</v>
      </c>
      <c r="AL40" s="247">
        <f t="shared" si="140"/>
        <v>10</v>
      </c>
      <c r="AM40" s="247">
        <f t="shared" si="141"/>
        <v>15</v>
      </c>
      <c r="AN40" s="247">
        <f t="shared" si="142"/>
        <v>15</v>
      </c>
      <c r="AO40" s="247">
        <f t="shared" si="143"/>
        <v>0</v>
      </c>
      <c r="AP40" s="81">
        <f t="shared" si="144"/>
        <v>0</v>
      </c>
      <c r="AQ40" s="81">
        <f t="shared" si="145"/>
        <v>0</v>
      </c>
      <c r="AR40" s="81">
        <f t="shared" si="146"/>
        <v>0</v>
      </c>
      <c r="AS40" s="81">
        <f t="shared" si="147"/>
        <v>66.666666666666657</v>
      </c>
      <c r="AT40" s="81">
        <f t="shared" si="148"/>
        <v>100</v>
      </c>
      <c r="AU40" s="108" t="e">
        <f t="shared" si="149"/>
        <v>#DIV/0!</v>
      </c>
      <c r="AV40" s="108" t="e">
        <f t="shared" si="150"/>
        <v>#DIV/0!</v>
      </c>
      <c r="AW40" s="108" t="e">
        <f t="shared" si="151"/>
        <v>#DIV/0!</v>
      </c>
      <c r="AX40" s="108" t="e">
        <f t="shared" si="152"/>
        <v>#DIV/0!</v>
      </c>
      <c r="AY40" s="108" t="e">
        <f t="shared" si="153"/>
        <v>#DIV/0!</v>
      </c>
      <c r="AZ40" s="108" t="e">
        <f t="shared" si="154"/>
        <v>#DIV/0!</v>
      </c>
      <c r="BA40" s="108" t="e">
        <f t="shared" si="155"/>
        <v>#DIV/0!</v>
      </c>
    </row>
    <row r="41" spans="1:53" s="40" customFormat="1" ht="20.25" customHeight="1">
      <c r="A41" s="207" t="s">
        <v>66</v>
      </c>
      <c r="B41" s="83" t="s">
        <v>254</v>
      </c>
      <c r="C41" s="83">
        <f>COUNTA(C27:C40)</f>
        <v>14</v>
      </c>
      <c r="D41" s="83">
        <f>D28</f>
        <v>1966</v>
      </c>
      <c r="E41" s="84">
        <f>MIN(E35:E40)</f>
        <v>45761</v>
      </c>
      <c r="F41" s="84">
        <f>MAX(F35:F40)</f>
        <v>45777</v>
      </c>
      <c r="G41" s="83">
        <f>G35</f>
        <v>922</v>
      </c>
      <c r="H41" s="83">
        <f t="shared" ref="H41:AK41" si="156">H35</f>
        <v>0</v>
      </c>
      <c r="I41" s="83">
        <f t="shared" si="156"/>
        <v>922</v>
      </c>
      <c r="J41" s="83">
        <f t="shared" si="156"/>
        <v>20</v>
      </c>
      <c r="K41" s="83">
        <f t="shared" si="156"/>
        <v>0</v>
      </c>
      <c r="L41" s="83">
        <f t="shared" si="156"/>
        <v>942</v>
      </c>
      <c r="M41" s="83">
        <f t="shared" si="156"/>
        <v>0</v>
      </c>
      <c r="N41" s="83">
        <f t="shared" si="156"/>
        <v>0</v>
      </c>
      <c r="O41" s="83">
        <f t="shared" si="156"/>
        <v>929</v>
      </c>
      <c r="P41" s="83">
        <f t="shared" si="156"/>
        <v>23</v>
      </c>
      <c r="Q41" s="83">
        <f t="shared" si="156"/>
        <v>1</v>
      </c>
      <c r="R41" s="83">
        <f t="shared" si="156"/>
        <v>4</v>
      </c>
      <c r="S41" s="83">
        <f t="shared" si="156"/>
        <v>1</v>
      </c>
      <c r="T41" s="83">
        <f t="shared" si="156"/>
        <v>22</v>
      </c>
      <c r="U41" s="83">
        <f t="shared" si="156"/>
        <v>77</v>
      </c>
      <c r="V41" s="83">
        <f t="shared" si="156"/>
        <v>8</v>
      </c>
      <c r="W41" s="83">
        <f t="shared" si="156"/>
        <v>350</v>
      </c>
      <c r="X41" s="83">
        <f t="shared" si="156"/>
        <v>307</v>
      </c>
      <c r="Y41" s="83">
        <f t="shared" si="156"/>
        <v>5</v>
      </c>
      <c r="Z41" s="83">
        <f t="shared" si="156"/>
        <v>1</v>
      </c>
      <c r="AA41" s="83">
        <f t="shared" si="156"/>
        <v>0</v>
      </c>
      <c r="AB41" s="83">
        <f t="shared" si="156"/>
        <v>0</v>
      </c>
      <c r="AC41" s="83">
        <f t="shared" si="156"/>
        <v>183</v>
      </c>
      <c r="AD41" s="83">
        <f t="shared" si="156"/>
        <v>91</v>
      </c>
      <c r="AE41" s="83">
        <f t="shared" si="156"/>
        <v>9</v>
      </c>
      <c r="AF41" s="83">
        <f t="shared" si="156"/>
        <v>46</v>
      </c>
      <c r="AG41" s="83">
        <f t="shared" si="156"/>
        <v>45</v>
      </c>
      <c r="AH41" s="83">
        <f t="shared" si="156"/>
        <v>0</v>
      </c>
      <c r="AI41" s="83">
        <f t="shared" si="156"/>
        <v>0</v>
      </c>
      <c r="AJ41" s="83">
        <f t="shared" si="156"/>
        <v>14</v>
      </c>
      <c r="AK41" s="83">
        <f t="shared" si="156"/>
        <v>4</v>
      </c>
      <c r="AL41" s="83">
        <f>Q41+T41+W41+Z41+AC41+AF41+AI41</f>
        <v>603</v>
      </c>
      <c r="AM41" s="83">
        <f>R41+U41+X41+AA41+AD41+AG41+AJ41</f>
        <v>538</v>
      </c>
      <c r="AN41" s="83">
        <f>AL41+AM41</f>
        <v>1141</v>
      </c>
      <c r="AO41" s="83">
        <f>S41+V41+Y41+AB41+AE41+AH41+AK41</f>
        <v>27</v>
      </c>
      <c r="AP41" s="190">
        <f t="shared" ref="AP41:AP48" si="157">P41/I41*100</f>
        <v>2.4945770065075923</v>
      </c>
      <c r="AQ41" s="190">
        <f t="shared" ref="AQ41:AQ48" si="158">AO41/I41*100</f>
        <v>2.9284164859002169</v>
      </c>
      <c r="AR41" s="190">
        <f t="shared" ref="AR41:AR48" si="159">AO41/AN41*100</f>
        <v>2.366345311130587</v>
      </c>
      <c r="AS41" s="85">
        <f t="shared" ref="AS41:AS48" si="160">AL41/AN41*100</f>
        <v>52.848378615249779</v>
      </c>
      <c r="AT41" s="85">
        <f t="shared" ref="AT41:AT48" si="161">AM41/AN41*100</f>
        <v>47.151621384750221</v>
      </c>
      <c r="AU41" s="85">
        <f t="shared" ref="AU41:AU48" si="162">S41/AO41*100</f>
        <v>3.7037037037037033</v>
      </c>
      <c r="AV41" s="85">
        <f t="shared" ref="AV41:AV48" si="163">V41/AO41*100</f>
        <v>29.629629629629626</v>
      </c>
      <c r="AW41" s="85">
        <f t="shared" ref="AW41:AW48" si="164">Y41/AO41*100</f>
        <v>18.518518518518519</v>
      </c>
      <c r="AX41" s="85">
        <f t="shared" ref="AX41:AX48" si="165">AB41/AO41*100</f>
        <v>0</v>
      </c>
      <c r="AY41" s="85">
        <f t="shared" ref="AY41:AY48" si="166">AE41/AO41*100</f>
        <v>33.333333333333329</v>
      </c>
      <c r="AZ41" s="85">
        <f t="shared" ref="AZ41:AZ48" si="167">AH41/AO41*100</f>
        <v>0</v>
      </c>
      <c r="BA41" s="85">
        <f t="shared" ref="BA41:BA48" si="168">AK41/AO41*100</f>
        <v>14.814814814814813</v>
      </c>
    </row>
    <row r="42" spans="1:53" s="40" customFormat="1" ht="20.25" customHeight="1">
      <c r="A42" s="207"/>
      <c r="B42" s="325" t="s">
        <v>275</v>
      </c>
      <c r="C42" s="83"/>
      <c r="D42" s="83"/>
      <c r="E42" s="84"/>
      <c r="F42" s="84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190"/>
      <c r="AQ42" s="190"/>
      <c r="AR42" s="190"/>
      <c r="AS42" s="85"/>
      <c r="AT42" s="85"/>
      <c r="AU42" s="85"/>
      <c r="AV42" s="85"/>
      <c r="AW42" s="85"/>
      <c r="AX42" s="85"/>
      <c r="AY42" s="85"/>
      <c r="AZ42" s="85"/>
      <c r="BA42" s="85"/>
    </row>
    <row r="43" spans="1:53" s="40" customFormat="1" ht="20.25" customHeight="1">
      <c r="A43" s="207"/>
      <c r="B43" s="325" t="s">
        <v>287</v>
      </c>
      <c r="C43" s="83"/>
      <c r="D43" s="83"/>
      <c r="E43" s="84"/>
      <c r="F43" s="84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190"/>
      <c r="AQ43" s="190"/>
      <c r="AR43" s="190"/>
      <c r="AS43" s="85"/>
      <c r="AT43" s="85"/>
      <c r="AU43" s="85"/>
      <c r="AV43" s="85"/>
      <c r="AW43" s="85"/>
      <c r="AX43" s="85"/>
      <c r="AY43" s="85"/>
      <c r="AZ43" s="85"/>
      <c r="BA43" s="85"/>
    </row>
    <row r="44" spans="1:53" s="40" customFormat="1" ht="20.25" customHeight="1">
      <c r="A44" s="207"/>
      <c r="B44" s="325" t="s">
        <v>288</v>
      </c>
      <c r="C44" s="83"/>
      <c r="D44" s="83"/>
      <c r="E44" s="84"/>
      <c r="F44" s="84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190"/>
      <c r="AQ44" s="190"/>
      <c r="AR44" s="190"/>
      <c r="AS44" s="85"/>
      <c r="AT44" s="85"/>
      <c r="AU44" s="85"/>
      <c r="AV44" s="85"/>
      <c r="AW44" s="85"/>
      <c r="AX44" s="85"/>
      <c r="AY44" s="85"/>
      <c r="AZ44" s="85"/>
      <c r="BA44" s="85"/>
    </row>
    <row r="45" spans="1:53" s="40" customFormat="1" ht="20.25" customHeight="1">
      <c r="A45" s="207"/>
      <c r="B45" s="325" t="s">
        <v>289</v>
      </c>
      <c r="C45" s="83"/>
      <c r="D45" s="83"/>
      <c r="E45" s="84"/>
      <c r="F45" s="84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190"/>
      <c r="AQ45" s="190"/>
      <c r="AR45" s="190"/>
      <c r="AS45" s="85"/>
      <c r="AT45" s="85"/>
      <c r="AU45" s="85"/>
      <c r="AV45" s="85"/>
      <c r="AW45" s="85"/>
      <c r="AX45" s="85"/>
      <c r="AY45" s="85"/>
      <c r="AZ45" s="85"/>
      <c r="BA45" s="85"/>
    </row>
    <row r="46" spans="1:53" s="40" customFormat="1" ht="20.25" customHeight="1">
      <c r="A46" s="207"/>
      <c r="B46" s="325"/>
      <c r="C46" s="83"/>
      <c r="D46" s="83"/>
      <c r="E46" s="84"/>
      <c r="F46" s="84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190"/>
      <c r="AQ46" s="190"/>
      <c r="AR46" s="190"/>
      <c r="AS46" s="85"/>
      <c r="AT46" s="85"/>
      <c r="AU46" s="85"/>
      <c r="AV46" s="85"/>
      <c r="AW46" s="85"/>
      <c r="AX46" s="85"/>
      <c r="AY46" s="85"/>
      <c r="AZ46" s="85"/>
      <c r="BA46" s="85"/>
    </row>
    <row r="47" spans="1:53" s="40" customFormat="1" ht="20.25" customHeight="1">
      <c r="A47" s="207"/>
      <c r="B47" s="415" t="s">
        <v>265</v>
      </c>
      <c r="C47" s="77" t="s">
        <v>141</v>
      </c>
      <c r="D47" s="253">
        <f>SUM(D48:D52)</f>
        <v>638</v>
      </c>
      <c r="E47" s="78">
        <f>MIN(E48:E52)</f>
        <v>45951</v>
      </c>
      <c r="F47" s="78">
        <f>MAX(F48:F52)</f>
        <v>45961</v>
      </c>
      <c r="G47" s="77">
        <f>SUM(G48:G52)</f>
        <v>185</v>
      </c>
      <c r="H47" s="77">
        <f t="shared" ref="H47:AK47" si="169">SUM(H48:H52)</f>
        <v>0</v>
      </c>
      <c r="I47" s="77">
        <f t="shared" si="169"/>
        <v>185</v>
      </c>
      <c r="J47" s="77">
        <f t="shared" si="169"/>
        <v>0</v>
      </c>
      <c r="K47" s="77">
        <f t="shared" si="169"/>
        <v>0</v>
      </c>
      <c r="L47" s="77">
        <f t="shared" si="169"/>
        <v>185</v>
      </c>
      <c r="M47" s="77">
        <f t="shared" si="169"/>
        <v>0</v>
      </c>
      <c r="N47" s="77">
        <f t="shared" si="169"/>
        <v>0</v>
      </c>
      <c r="O47" s="77">
        <f t="shared" si="169"/>
        <v>185</v>
      </c>
      <c r="P47" s="77">
        <f t="shared" si="169"/>
        <v>0</v>
      </c>
      <c r="Q47" s="77">
        <f t="shared" si="169"/>
        <v>0</v>
      </c>
      <c r="R47" s="77">
        <f t="shared" si="169"/>
        <v>0</v>
      </c>
      <c r="S47" s="77">
        <f t="shared" si="169"/>
        <v>0</v>
      </c>
      <c r="T47" s="77">
        <f t="shared" si="169"/>
        <v>9</v>
      </c>
      <c r="U47" s="77">
        <f t="shared" si="169"/>
        <v>43</v>
      </c>
      <c r="V47" s="77">
        <f t="shared" si="169"/>
        <v>0</v>
      </c>
      <c r="W47" s="77">
        <f t="shared" si="169"/>
        <v>29</v>
      </c>
      <c r="X47" s="77">
        <f t="shared" si="169"/>
        <v>57</v>
      </c>
      <c r="Y47" s="77">
        <f t="shared" si="169"/>
        <v>0</v>
      </c>
      <c r="Z47" s="77">
        <f t="shared" si="169"/>
        <v>0</v>
      </c>
      <c r="AA47" s="77">
        <f t="shared" si="169"/>
        <v>0</v>
      </c>
      <c r="AB47" s="77">
        <f t="shared" si="169"/>
        <v>0</v>
      </c>
      <c r="AC47" s="77">
        <f t="shared" si="169"/>
        <v>45</v>
      </c>
      <c r="AD47" s="77">
        <f t="shared" si="169"/>
        <v>24</v>
      </c>
      <c r="AE47" s="77">
        <f t="shared" si="169"/>
        <v>0</v>
      </c>
      <c r="AF47" s="77">
        <f t="shared" si="169"/>
        <v>26</v>
      </c>
      <c r="AG47" s="77">
        <f t="shared" si="169"/>
        <v>13</v>
      </c>
      <c r="AH47" s="77">
        <f t="shared" si="169"/>
        <v>0</v>
      </c>
      <c r="AI47" s="77">
        <f t="shared" si="169"/>
        <v>0</v>
      </c>
      <c r="AJ47" s="77">
        <f t="shared" si="169"/>
        <v>0</v>
      </c>
      <c r="AK47" s="77">
        <f t="shared" si="169"/>
        <v>0</v>
      </c>
      <c r="AL47" s="77">
        <f>Q47+T47+W47+Z47+AC47+AF47+AI47</f>
        <v>109</v>
      </c>
      <c r="AM47" s="77">
        <f t="shared" ref="AM47:AM48" si="170">R47+U47+X47+AA47+AD47+AG47+AJ47</f>
        <v>137</v>
      </c>
      <c r="AN47" s="77">
        <f t="shared" ref="AN47" si="171">AL47+AM47</f>
        <v>246</v>
      </c>
      <c r="AO47" s="77">
        <f>S47+V47+Y47+AB47+AE47+AH47+AK47</f>
        <v>0</v>
      </c>
      <c r="AP47" s="188">
        <f t="shared" si="157"/>
        <v>0</v>
      </c>
      <c r="AQ47" s="188">
        <f t="shared" si="158"/>
        <v>0</v>
      </c>
      <c r="AR47" s="188">
        <f t="shared" si="159"/>
        <v>0</v>
      </c>
      <c r="AS47" s="88">
        <f t="shared" si="160"/>
        <v>44.308943089430898</v>
      </c>
      <c r="AT47" s="88">
        <f t="shared" si="161"/>
        <v>55.691056910569102</v>
      </c>
      <c r="AU47" s="88" t="e">
        <f t="shared" si="162"/>
        <v>#DIV/0!</v>
      </c>
      <c r="AV47" s="88" t="e">
        <f t="shared" si="163"/>
        <v>#DIV/0!</v>
      </c>
      <c r="AW47" s="88" t="e">
        <f t="shared" si="164"/>
        <v>#DIV/0!</v>
      </c>
      <c r="AX47" s="88" t="e">
        <f t="shared" si="165"/>
        <v>#DIV/0!</v>
      </c>
      <c r="AY47" s="88" t="e">
        <f t="shared" si="166"/>
        <v>#DIV/0!</v>
      </c>
      <c r="AZ47" s="88" t="e">
        <f t="shared" si="167"/>
        <v>#DIV/0!</v>
      </c>
      <c r="BA47" s="88" t="e">
        <f t="shared" si="168"/>
        <v>#DIV/0!</v>
      </c>
    </row>
    <row r="48" spans="1:53" s="63" customFormat="1" ht="20.25" customHeight="1">
      <c r="A48" s="291"/>
      <c r="B48" s="416"/>
      <c r="C48" s="231" t="s">
        <v>131</v>
      </c>
      <c r="D48" s="261">
        <v>300</v>
      </c>
      <c r="E48" s="177">
        <v>45951</v>
      </c>
      <c r="F48" s="177">
        <v>45954</v>
      </c>
      <c r="G48" s="261">
        <v>65</v>
      </c>
      <c r="H48" s="261">
        <v>0</v>
      </c>
      <c r="I48" s="290">
        <f t="shared" ref="I48:I52" si="172">G48+H48</f>
        <v>65</v>
      </c>
      <c r="J48" s="261">
        <v>0</v>
      </c>
      <c r="K48" s="261">
        <v>0</v>
      </c>
      <c r="L48" s="290">
        <f t="shared" ref="L48:L52" si="173">I48+K48+J48</f>
        <v>65</v>
      </c>
      <c r="M48" s="261">
        <v>0</v>
      </c>
      <c r="N48" s="261">
        <v>0</v>
      </c>
      <c r="O48" s="261">
        <v>65</v>
      </c>
      <c r="P48" s="261">
        <v>0</v>
      </c>
      <c r="Q48" s="261">
        <v>0</v>
      </c>
      <c r="R48" s="261">
        <v>0</v>
      </c>
      <c r="S48" s="261">
        <v>0</v>
      </c>
      <c r="T48" s="261">
        <v>3</v>
      </c>
      <c r="U48" s="261">
        <v>5</v>
      </c>
      <c r="V48" s="261">
        <v>0</v>
      </c>
      <c r="W48" s="261">
        <v>5</v>
      </c>
      <c r="X48" s="261">
        <v>13</v>
      </c>
      <c r="Y48" s="261">
        <v>0</v>
      </c>
      <c r="Z48" s="261">
        <v>0</v>
      </c>
      <c r="AA48" s="261">
        <v>0</v>
      </c>
      <c r="AB48" s="261">
        <v>0</v>
      </c>
      <c r="AC48" s="261">
        <v>36</v>
      </c>
      <c r="AD48" s="261">
        <v>12</v>
      </c>
      <c r="AE48" s="261">
        <v>0</v>
      </c>
      <c r="AF48" s="261">
        <v>14</v>
      </c>
      <c r="AG48" s="261">
        <v>1</v>
      </c>
      <c r="AH48" s="261">
        <v>0</v>
      </c>
      <c r="AI48" s="261">
        <v>0</v>
      </c>
      <c r="AJ48" s="261">
        <v>0</v>
      </c>
      <c r="AK48" s="261">
        <v>0</v>
      </c>
      <c r="AL48" s="290">
        <f t="shared" ref="AL48" si="174">Q48+T48+W48+Z48+AC48+AF48+AI48</f>
        <v>58</v>
      </c>
      <c r="AM48" s="290">
        <f t="shared" si="170"/>
        <v>31</v>
      </c>
      <c r="AN48" s="290">
        <f t="shared" ref="AN48" si="175">R48+U48+X48+AA48+AD48+AG48+AJ48</f>
        <v>31</v>
      </c>
      <c r="AO48" s="290">
        <f t="shared" ref="AO48" si="176">S48+V48+Y48+AB48+AE48+AH48+AK48</f>
        <v>0</v>
      </c>
      <c r="AP48" s="81">
        <f t="shared" si="157"/>
        <v>0</v>
      </c>
      <c r="AQ48" s="81">
        <f t="shared" si="158"/>
        <v>0</v>
      </c>
      <c r="AR48" s="81">
        <f t="shared" si="159"/>
        <v>0</v>
      </c>
      <c r="AS48" s="81">
        <f t="shared" si="160"/>
        <v>187.09677419354838</v>
      </c>
      <c r="AT48" s="81">
        <f t="shared" si="161"/>
        <v>100</v>
      </c>
      <c r="AU48" s="108" t="e">
        <f t="shared" si="162"/>
        <v>#DIV/0!</v>
      </c>
      <c r="AV48" s="108" t="e">
        <f t="shared" si="163"/>
        <v>#DIV/0!</v>
      </c>
      <c r="AW48" s="108" t="e">
        <f t="shared" si="164"/>
        <v>#DIV/0!</v>
      </c>
      <c r="AX48" s="108" t="e">
        <f t="shared" si="165"/>
        <v>#DIV/0!</v>
      </c>
      <c r="AY48" s="108" t="e">
        <f t="shared" si="166"/>
        <v>#DIV/0!</v>
      </c>
      <c r="AZ48" s="108" t="e">
        <f t="shared" si="167"/>
        <v>#DIV/0!</v>
      </c>
      <c r="BA48" s="108" t="e">
        <f t="shared" si="168"/>
        <v>#DIV/0!</v>
      </c>
    </row>
    <row r="49" spans="1:53" s="63" customFormat="1" ht="20.25" customHeight="1">
      <c r="A49" s="291"/>
      <c r="B49" s="416"/>
      <c r="C49" s="4" t="s">
        <v>134</v>
      </c>
      <c r="D49" s="261">
        <v>57</v>
      </c>
      <c r="E49" s="177">
        <v>45957</v>
      </c>
      <c r="F49" s="177">
        <v>45961</v>
      </c>
      <c r="G49" s="261">
        <v>41</v>
      </c>
      <c r="H49" s="261">
        <v>0</v>
      </c>
      <c r="I49" s="290">
        <f t="shared" si="172"/>
        <v>41</v>
      </c>
      <c r="J49" s="261">
        <v>0</v>
      </c>
      <c r="K49" s="261">
        <v>0</v>
      </c>
      <c r="L49" s="290">
        <f t="shared" si="173"/>
        <v>41</v>
      </c>
      <c r="M49" s="261">
        <v>0</v>
      </c>
      <c r="N49" s="261">
        <v>0</v>
      </c>
      <c r="O49" s="261">
        <v>41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23</v>
      </c>
      <c r="V49" s="261">
        <v>0</v>
      </c>
      <c r="W49" s="261">
        <v>0</v>
      </c>
      <c r="X49" s="261">
        <v>22</v>
      </c>
      <c r="Y49" s="261">
        <v>0</v>
      </c>
      <c r="Z49" s="261">
        <v>0</v>
      </c>
      <c r="AA49" s="261">
        <v>0</v>
      </c>
      <c r="AB49" s="261">
        <v>0</v>
      </c>
      <c r="AC49" s="261">
        <v>0</v>
      </c>
      <c r="AD49" s="261">
        <v>0</v>
      </c>
      <c r="AE49" s="261">
        <v>0</v>
      </c>
      <c r="AF49" s="261">
        <v>0</v>
      </c>
      <c r="AG49" s="261">
        <v>0</v>
      </c>
      <c r="AH49" s="261">
        <v>0</v>
      </c>
      <c r="AI49" s="261">
        <v>0</v>
      </c>
      <c r="AJ49" s="261">
        <v>0</v>
      </c>
      <c r="AK49" s="261">
        <v>0</v>
      </c>
      <c r="AL49" s="290">
        <f t="shared" ref="AL49:AL52" si="177">Q49+T49+W49+Z49+AC49+AF49+AI49</f>
        <v>0</v>
      </c>
      <c r="AM49" s="290">
        <f t="shared" ref="AM49:AM52" si="178">R49+U49+X49+AA49+AD49+AG49+AJ49</f>
        <v>45</v>
      </c>
      <c r="AN49" s="290">
        <f t="shared" ref="AN49:AN52" si="179">R49+U49+X49+AA49+AD49+AG49+AJ49</f>
        <v>45</v>
      </c>
      <c r="AO49" s="290">
        <f t="shared" ref="AO49:AO52" si="180">S49+V49+Y49+AB49+AE49+AH49+AK49</f>
        <v>0</v>
      </c>
      <c r="AP49" s="81">
        <f t="shared" ref="AP49:AP52" si="181">P49/I49*100</f>
        <v>0</v>
      </c>
      <c r="AQ49" s="81">
        <f t="shared" ref="AQ49:AQ52" si="182">AO49/I49*100</f>
        <v>0</v>
      </c>
      <c r="AR49" s="81">
        <f t="shared" ref="AR49:AR52" si="183">AO49/AN49*100</f>
        <v>0</v>
      </c>
      <c r="AS49" s="81">
        <f t="shared" ref="AS49:AS52" si="184">AL49/AN49*100</f>
        <v>0</v>
      </c>
      <c r="AT49" s="81">
        <f t="shared" ref="AT49:AT52" si="185">AM49/AN49*100</f>
        <v>100</v>
      </c>
      <c r="AU49" s="108" t="e">
        <f t="shared" ref="AU49:AU52" si="186">S49/AO49*100</f>
        <v>#DIV/0!</v>
      </c>
      <c r="AV49" s="108" t="e">
        <f t="shared" ref="AV49:AV52" si="187">V49/AO49*100</f>
        <v>#DIV/0!</v>
      </c>
      <c r="AW49" s="108" t="e">
        <f t="shared" ref="AW49:AW52" si="188">Y49/AO49*100</f>
        <v>#DIV/0!</v>
      </c>
      <c r="AX49" s="108" t="e">
        <f t="shared" ref="AX49:AX52" si="189">AB49/AO49*100</f>
        <v>#DIV/0!</v>
      </c>
      <c r="AY49" s="108" t="e">
        <f t="shared" ref="AY49:AY52" si="190">AE49/AO49*100</f>
        <v>#DIV/0!</v>
      </c>
      <c r="AZ49" s="108" t="e">
        <f t="shared" ref="AZ49:AZ52" si="191">AH49/AO49*100</f>
        <v>#DIV/0!</v>
      </c>
      <c r="BA49" s="108" t="e">
        <f t="shared" ref="BA49:BA52" si="192">AK49/AO49*100</f>
        <v>#DIV/0!</v>
      </c>
    </row>
    <row r="50" spans="1:53" s="63" customFormat="1" ht="20.25" customHeight="1">
      <c r="A50" s="291"/>
      <c r="B50" s="416"/>
      <c r="C50" s="4" t="s">
        <v>133</v>
      </c>
      <c r="D50" s="261">
        <v>77</v>
      </c>
      <c r="E50" s="177">
        <v>45957</v>
      </c>
      <c r="F50" s="177">
        <v>45961</v>
      </c>
      <c r="G50" s="261">
        <v>16</v>
      </c>
      <c r="H50" s="261">
        <v>0</v>
      </c>
      <c r="I50" s="290">
        <f t="shared" si="172"/>
        <v>16</v>
      </c>
      <c r="J50" s="261">
        <v>0</v>
      </c>
      <c r="K50" s="261">
        <v>0</v>
      </c>
      <c r="L50" s="290">
        <f t="shared" si="173"/>
        <v>16</v>
      </c>
      <c r="M50" s="261">
        <v>0</v>
      </c>
      <c r="N50" s="261">
        <v>0</v>
      </c>
      <c r="O50" s="261">
        <v>16</v>
      </c>
      <c r="P50" s="261">
        <v>0</v>
      </c>
      <c r="Q50" s="261">
        <v>0</v>
      </c>
      <c r="R50" s="261">
        <v>0</v>
      </c>
      <c r="S50" s="261">
        <v>0</v>
      </c>
      <c r="T50" s="261">
        <v>5</v>
      </c>
      <c r="U50" s="261">
        <v>1</v>
      </c>
      <c r="V50" s="261">
        <v>0</v>
      </c>
      <c r="W50" s="261">
        <v>20</v>
      </c>
      <c r="X50" s="261">
        <v>0</v>
      </c>
      <c r="Y50" s="261">
        <v>0</v>
      </c>
      <c r="Z50" s="261">
        <v>0</v>
      </c>
      <c r="AA50" s="261">
        <v>0</v>
      </c>
      <c r="AB50" s="261">
        <v>0</v>
      </c>
      <c r="AC50" s="261">
        <v>5</v>
      </c>
      <c r="AD50" s="261">
        <v>0</v>
      </c>
      <c r="AE50" s="261">
        <v>0</v>
      </c>
      <c r="AF50" s="261">
        <v>0</v>
      </c>
      <c r="AG50" s="261">
        <v>0</v>
      </c>
      <c r="AH50" s="261">
        <v>0</v>
      </c>
      <c r="AI50" s="261">
        <v>0</v>
      </c>
      <c r="AJ50" s="261">
        <v>0</v>
      </c>
      <c r="AK50" s="261">
        <v>0</v>
      </c>
      <c r="AL50" s="290">
        <f t="shared" si="177"/>
        <v>30</v>
      </c>
      <c r="AM50" s="290">
        <f t="shared" si="178"/>
        <v>1</v>
      </c>
      <c r="AN50" s="290">
        <f t="shared" si="179"/>
        <v>1</v>
      </c>
      <c r="AO50" s="290">
        <f t="shared" si="180"/>
        <v>0</v>
      </c>
      <c r="AP50" s="81">
        <f t="shared" si="181"/>
        <v>0</v>
      </c>
      <c r="AQ50" s="81">
        <f t="shared" si="182"/>
        <v>0</v>
      </c>
      <c r="AR50" s="81">
        <f t="shared" si="183"/>
        <v>0</v>
      </c>
      <c r="AS50" s="81">
        <f t="shared" si="184"/>
        <v>3000</v>
      </c>
      <c r="AT50" s="81">
        <f t="shared" si="185"/>
        <v>100</v>
      </c>
      <c r="AU50" s="108" t="e">
        <f t="shared" si="186"/>
        <v>#DIV/0!</v>
      </c>
      <c r="AV50" s="108" t="e">
        <f t="shared" si="187"/>
        <v>#DIV/0!</v>
      </c>
      <c r="AW50" s="108" t="e">
        <f t="shared" si="188"/>
        <v>#DIV/0!</v>
      </c>
      <c r="AX50" s="108" t="e">
        <f t="shared" si="189"/>
        <v>#DIV/0!</v>
      </c>
      <c r="AY50" s="108" t="e">
        <f t="shared" si="190"/>
        <v>#DIV/0!</v>
      </c>
      <c r="AZ50" s="108" t="e">
        <f t="shared" si="191"/>
        <v>#DIV/0!</v>
      </c>
      <c r="BA50" s="108" t="e">
        <f t="shared" si="192"/>
        <v>#DIV/0!</v>
      </c>
    </row>
    <row r="51" spans="1:53" s="63" customFormat="1" ht="20.25" customHeight="1">
      <c r="A51" s="291"/>
      <c r="B51" s="416"/>
      <c r="C51" s="4" t="s">
        <v>132</v>
      </c>
      <c r="D51" s="261">
        <v>163</v>
      </c>
      <c r="E51" s="177">
        <v>45957</v>
      </c>
      <c r="F51" s="177">
        <v>45961</v>
      </c>
      <c r="G51" s="261">
        <v>53</v>
      </c>
      <c r="H51" s="261">
        <v>0</v>
      </c>
      <c r="I51" s="290">
        <f t="shared" si="172"/>
        <v>53</v>
      </c>
      <c r="J51" s="261">
        <v>0</v>
      </c>
      <c r="K51" s="261">
        <v>0</v>
      </c>
      <c r="L51" s="290">
        <f t="shared" si="173"/>
        <v>53</v>
      </c>
      <c r="M51" s="261">
        <v>0</v>
      </c>
      <c r="N51" s="261">
        <v>0</v>
      </c>
      <c r="O51" s="261">
        <v>53</v>
      </c>
      <c r="P51" s="261">
        <v>0</v>
      </c>
      <c r="Q51" s="261">
        <v>0</v>
      </c>
      <c r="R51" s="261">
        <v>0</v>
      </c>
      <c r="S51" s="261">
        <v>0</v>
      </c>
      <c r="T51" s="261">
        <v>1</v>
      </c>
      <c r="U51" s="261">
        <v>10</v>
      </c>
      <c r="V51" s="261">
        <v>0</v>
      </c>
      <c r="W51" s="261">
        <v>4</v>
      </c>
      <c r="X51" s="261">
        <v>17</v>
      </c>
      <c r="Y51" s="261">
        <v>0</v>
      </c>
      <c r="Z51" s="261">
        <v>0</v>
      </c>
      <c r="AA51" s="261">
        <v>0</v>
      </c>
      <c r="AB51" s="261">
        <v>0</v>
      </c>
      <c r="AC51" s="261">
        <v>4</v>
      </c>
      <c r="AD51" s="261">
        <v>12</v>
      </c>
      <c r="AE51" s="261">
        <v>0</v>
      </c>
      <c r="AF51" s="261">
        <v>12</v>
      </c>
      <c r="AG51" s="261">
        <v>12</v>
      </c>
      <c r="AH51" s="261">
        <v>0</v>
      </c>
      <c r="AI51" s="261">
        <v>0</v>
      </c>
      <c r="AJ51" s="261">
        <v>0</v>
      </c>
      <c r="AK51" s="261">
        <v>0</v>
      </c>
      <c r="AL51" s="290">
        <f t="shared" si="177"/>
        <v>21</v>
      </c>
      <c r="AM51" s="290">
        <f t="shared" si="178"/>
        <v>51</v>
      </c>
      <c r="AN51" s="290">
        <f t="shared" si="179"/>
        <v>51</v>
      </c>
      <c r="AO51" s="290">
        <f t="shared" si="180"/>
        <v>0</v>
      </c>
      <c r="AP51" s="81">
        <f t="shared" si="181"/>
        <v>0</v>
      </c>
      <c r="AQ51" s="81">
        <f t="shared" si="182"/>
        <v>0</v>
      </c>
      <c r="AR51" s="81">
        <f t="shared" si="183"/>
        <v>0</v>
      </c>
      <c r="AS51" s="81">
        <f t="shared" si="184"/>
        <v>41.17647058823529</v>
      </c>
      <c r="AT51" s="81">
        <f t="shared" si="185"/>
        <v>100</v>
      </c>
      <c r="AU51" s="108" t="e">
        <f t="shared" si="186"/>
        <v>#DIV/0!</v>
      </c>
      <c r="AV51" s="108" t="e">
        <f t="shared" si="187"/>
        <v>#DIV/0!</v>
      </c>
      <c r="AW51" s="108" t="e">
        <f t="shared" si="188"/>
        <v>#DIV/0!</v>
      </c>
      <c r="AX51" s="108" t="e">
        <f t="shared" si="189"/>
        <v>#DIV/0!</v>
      </c>
      <c r="AY51" s="108" t="e">
        <f t="shared" si="190"/>
        <v>#DIV/0!</v>
      </c>
      <c r="AZ51" s="108" t="e">
        <f t="shared" si="191"/>
        <v>#DIV/0!</v>
      </c>
      <c r="BA51" s="108" t="e">
        <f t="shared" si="192"/>
        <v>#DIV/0!</v>
      </c>
    </row>
    <row r="52" spans="1:53" s="63" customFormat="1" ht="20.25" customHeight="1">
      <c r="A52" s="291"/>
      <c r="B52" s="417"/>
      <c r="C52" s="4" t="s">
        <v>130</v>
      </c>
      <c r="D52" s="261">
        <v>41</v>
      </c>
      <c r="E52" s="177">
        <v>45961</v>
      </c>
      <c r="F52" s="177">
        <v>45961</v>
      </c>
      <c r="G52" s="261">
        <v>10</v>
      </c>
      <c r="H52" s="261">
        <v>0</v>
      </c>
      <c r="I52" s="290">
        <f t="shared" si="172"/>
        <v>10</v>
      </c>
      <c r="J52" s="261">
        <v>0</v>
      </c>
      <c r="K52" s="261">
        <v>0</v>
      </c>
      <c r="L52" s="290">
        <f t="shared" si="173"/>
        <v>10</v>
      </c>
      <c r="M52" s="261">
        <v>0</v>
      </c>
      <c r="N52" s="261">
        <v>0</v>
      </c>
      <c r="O52" s="261">
        <v>10</v>
      </c>
      <c r="P52" s="261">
        <v>0</v>
      </c>
      <c r="Q52" s="261">
        <v>0</v>
      </c>
      <c r="R52" s="261">
        <v>0</v>
      </c>
      <c r="S52" s="261">
        <v>0</v>
      </c>
      <c r="T52" s="261">
        <v>0</v>
      </c>
      <c r="U52" s="261">
        <v>4</v>
      </c>
      <c r="V52" s="261">
        <v>0</v>
      </c>
      <c r="W52" s="261">
        <v>0</v>
      </c>
      <c r="X52" s="261">
        <v>5</v>
      </c>
      <c r="Y52" s="261">
        <v>0</v>
      </c>
      <c r="Z52" s="261">
        <v>0</v>
      </c>
      <c r="AA52" s="261">
        <v>0</v>
      </c>
      <c r="AB52" s="261">
        <v>0</v>
      </c>
      <c r="AC52" s="261">
        <v>0</v>
      </c>
      <c r="AD52" s="261">
        <v>0</v>
      </c>
      <c r="AE52" s="261">
        <v>0</v>
      </c>
      <c r="AF52" s="261">
        <v>0</v>
      </c>
      <c r="AG52" s="261">
        <v>0</v>
      </c>
      <c r="AH52" s="261">
        <v>0</v>
      </c>
      <c r="AI52" s="261">
        <v>0</v>
      </c>
      <c r="AJ52" s="261">
        <v>0</v>
      </c>
      <c r="AK52" s="261">
        <v>0</v>
      </c>
      <c r="AL52" s="290">
        <f t="shared" si="177"/>
        <v>0</v>
      </c>
      <c r="AM52" s="290">
        <f t="shared" si="178"/>
        <v>9</v>
      </c>
      <c r="AN52" s="290">
        <f t="shared" si="179"/>
        <v>9</v>
      </c>
      <c r="AO52" s="290">
        <f t="shared" si="180"/>
        <v>0</v>
      </c>
      <c r="AP52" s="81">
        <f t="shared" si="181"/>
        <v>0</v>
      </c>
      <c r="AQ52" s="81">
        <f t="shared" si="182"/>
        <v>0</v>
      </c>
      <c r="AR52" s="81">
        <f t="shared" si="183"/>
        <v>0</v>
      </c>
      <c r="AS52" s="81">
        <f t="shared" si="184"/>
        <v>0</v>
      </c>
      <c r="AT52" s="81">
        <f t="shared" si="185"/>
        <v>100</v>
      </c>
      <c r="AU52" s="108" t="e">
        <f t="shared" si="186"/>
        <v>#DIV/0!</v>
      </c>
      <c r="AV52" s="108" t="e">
        <f t="shared" si="187"/>
        <v>#DIV/0!</v>
      </c>
      <c r="AW52" s="108" t="e">
        <f t="shared" si="188"/>
        <v>#DIV/0!</v>
      </c>
      <c r="AX52" s="108" t="e">
        <f t="shared" si="189"/>
        <v>#DIV/0!</v>
      </c>
      <c r="AY52" s="108" t="e">
        <f t="shared" si="190"/>
        <v>#DIV/0!</v>
      </c>
      <c r="AZ52" s="108" t="e">
        <f t="shared" si="191"/>
        <v>#DIV/0!</v>
      </c>
      <c r="BA52" s="108" t="e">
        <f t="shared" si="192"/>
        <v>#DIV/0!</v>
      </c>
    </row>
    <row r="53" spans="1:53" s="40" customFormat="1" ht="20.25" customHeight="1">
      <c r="A53" s="207" t="s">
        <v>66</v>
      </c>
      <c r="B53" s="83" t="s">
        <v>291</v>
      </c>
      <c r="C53" s="83">
        <f>COUNTA(C48:C52)</f>
        <v>5</v>
      </c>
      <c r="D53" s="87">
        <f>D47</f>
        <v>638</v>
      </c>
      <c r="E53" s="84">
        <f>MIN(E47:E52)</f>
        <v>45951</v>
      </c>
      <c r="F53" s="84">
        <f>MAX(F47:F52)</f>
        <v>45961</v>
      </c>
      <c r="G53" s="87">
        <f>G47</f>
        <v>185</v>
      </c>
      <c r="H53" s="87">
        <f t="shared" ref="H53:AK53" si="193">H47</f>
        <v>0</v>
      </c>
      <c r="I53" s="87">
        <f t="shared" si="193"/>
        <v>185</v>
      </c>
      <c r="J53" s="87">
        <f t="shared" si="193"/>
        <v>0</v>
      </c>
      <c r="K53" s="87">
        <f t="shared" si="193"/>
        <v>0</v>
      </c>
      <c r="L53" s="87">
        <f t="shared" si="193"/>
        <v>185</v>
      </c>
      <c r="M53" s="87">
        <f t="shared" si="193"/>
        <v>0</v>
      </c>
      <c r="N53" s="87">
        <f t="shared" si="193"/>
        <v>0</v>
      </c>
      <c r="O53" s="87">
        <f t="shared" si="193"/>
        <v>185</v>
      </c>
      <c r="P53" s="87">
        <f t="shared" si="193"/>
        <v>0</v>
      </c>
      <c r="Q53" s="87">
        <f t="shared" si="193"/>
        <v>0</v>
      </c>
      <c r="R53" s="87">
        <f t="shared" si="193"/>
        <v>0</v>
      </c>
      <c r="S53" s="87">
        <f t="shared" si="193"/>
        <v>0</v>
      </c>
      <c r="T53" s="87">
        <f t="shared" si="193"/>
        <v>9</v>
      </c>
      <c r="U53" s="87">
        <f t="shared" si="193"/>
        <v>43</v>
      </c>
      <c r="V53" s="87">
        <f t="shared" si="193"/>
        <v>0</v>
      </c>
      <c r="W53" s="87">
        <f t="shared" si="193"/>
        <v>29</v>
      </c>
      <c r="X53" s="87">
        <f t="shared" si="193"/>
        <v>57</v>
      </c>
      <c r="Y53" s="87">
        <f t="shared" si="193"/>
        <v>0</v>
      </c>
      <c r="Z53" s="87">
        <f t="shared" si="193"/>
        <v>0</v>
      </c>
      <c r="AA53" s="87">
        <f t="shared" si="193"/>
        <v>0</v>
      </c>
      <c r="AB53" s="87">
        <f t="shared" si="193"/>
        <v>0</v>
      </c>
      <c r="AC53" s="87">
        <f t="shared" si="193"/>
        <v>45</v>
      </c>
      <c r="AD53" s="87">
        <f t="shared" si="193"/>
        <v>24</v>
      </c>
      <c r="AE53" s="87">
        <f t="shared" si="193"/>
        <v>0</v>
      </c>
      <c r="AF53" s="87">
        <f t="shared" si="193"/>
        <v>26</v>
      </c>
      <c r="AG53" s="87">
        <f t="shared" si="193"/>
        <v>13</v>
      </c>
      <c r="AH53" s="87">
        <f t="shared" si="193"/>
        <v>0</v>
      </c>
      <c r="AI53" s="87">
        <f t="shared" si="193"/>
        <v>0</v>
      </c>
      <c r="AJ53" s="87">
        <f t="shared" si="193"/>
        <v>0</v>
      </c>
      <c r="AK53" s="87">
        <f t="shared" si="193"/>
        <v>0</v>
      </c>
      <c r="AL53" s="83">
        <f>Q53+T53+W53+Z53+AC53+AF53+AI53</f>
        <v>109</v>
      </c>
      <c r="AM53" s="83">
        <f>R53+U53+X53+AA53+AD53+AG53+AJ53</f>
        <v>137</v>
      </c>
      <c r="AN53" s="83">
        <f>AL53+AM53</f>
        <v>246</v>
      </c>
      <c r="AO53" s="83">
        <f>S53+V53+Y53+AB53+AE53+AH53+AK53</f>
        <v>0</v>
      </c>
      <c r="AP53" s="190">
        <f t="shared" ref="AP53:AP55" si="194">P53/I53*100</f>
        <v>0</v>
      </c>
      <c r="AQ53" s="190">
        <f t="shared" ref="AQ53:AQ55" si="195">AO53/I53*100</f>
        <v>0</v>
      </c>
      <c r="AR53" s="190">
        <f t="shared" ref="AR53:AR55" si="196">AO53/AN53*100</f>
        <v>0</v>
      </c>
      <c r="AS53" s="85">
        <f t="shared" ref="AS53:AS55" si="197">AL53/AN53*100</f>
        <v>44.308943089430898</v>
      </c>
      <c r="AT53" s="85">
        <f t="shared" ref="AT53:AT55" si="198">AM53/AN53*100</f>
        <v>55.691056910569102</v>
      </c>
      <c r="AU53" s="85" t="e">
        <f t="shared" ref="AU53:AU55" si="199">S53/AO53*100</f>
        <v>#DIV/0!</v>
      </c>
      <c r="AV53" s="85" t="e">
        <f t="shared" ref="AV53:AV55" si="200">V53/AO53*100</f>
        <v>#DIV/0!</v>
      </c>
      <c r="AW53" s="85" t="e">
        <f t="shared" ref="AW53:AW55" si="201">Y53/AO53*100</f>
        <v>#DIV/0!</v>
      </c>
      <c r="AX53" s="85" t="e">
        <f t="shared" ref="AX53:AX55" si="202">AB53/AO53*100</f>
        <v>#DIV/0!</v>
      </c>
      <c r="AY53" s="85" t="e">
        <f t="shared" ref="AY53:AY55" si="203">AE53/AO53*100</f>
        <v>#DIV/0!</v>
      </c>
      <c r="AZ53" s="85" t="e">
        <f t="shared" ref="AZ53:AZ55" si="204">AH53/AO53*100</f>
        <v>#DIV/0!</v>
      </c>
      <c r="BA53" s="85" t="e">
        <f t="shared" ref="BA53:BA55" si="205">AK53/AO53*100</f>
        <v>#DIV/0!</v>
      </c>
    </row>
    <row r="54" spans="1:53" s="40" customFormat="1" ht="20.25" customHeight="1">
      <c r="A54" s="207"/>
      <c r="B54" s="415" t="s">
        <v>265</v>
      </c>
      <c r="C54" s="77" t="s">
        <v>141</v>
      </c>
      <c r="D54" s="253">
        <f>SUM(D55:D59)</f>
        <v>1198</v>
      </c>
      <c r="E54" s="78">
        <f>MIN(E55:E59)</f>
        <v>45985</v>
      </c>
      <c r="F54" s="78">
        <f>MAX(F55:F59)</f>
        <v>45988</v>
      </c>
      <c r="G54" s="253">
        <f>SUM(G55:G59)</f>
        <v>239</v>
      </c>
      <c r="H54" s="77">
        <f t="shared" ref="H54:AK54" si="206">SUM(H55:H59)</f>
        <v>0</v>
      </c>
      <c r="I54" s="77">
        <f t="shared" si="206"/>
        <v>239</v>
      </c>
      <c r="J54" s="77">
        <f t="shared" si="206"/>
        <v>0</v>
      </c>
      <c r="K54" s="77">
        <f t="shared" si="206"/>
        <v>0</v>
      </c>
      <c r="L54" s="77">
        <f t="shared" si="206"/>
        <v>239</v>
      </c>
      <c r="M54" s="77">
        <f t="shared" si="206"/>
        <v>0</v>
      </c>
      <c r="N54" s="77">
        <f t="shared" si="206"/>
        <v>0</v>
      </c>
      <c r="O54" s="77">
        <f t="shared" si="206"/>
        <v>239</v>
      </c>
      <c r="P54" s="77">
        <f t="shared" si="206"/>
        <v>5</v>
      </c>
      <c r="Q54" s="77">
        <f t="shared" si="206"/>
        <v>0</v>
      </c>
      <c r="R54" s="77">
        <f t="shared" si="206"/>
        <v>3</v>
      </c>
      <c r="S54" s="77">
        <f t="shared" si="206"/>
        <v>0</v>
      </c>
      <c r="T54" s="77">
        <f t="shared" si="206"/>
        <v>4</v>
      </c>
      <c r="U54" s="77">
        <f t="shared" si="206"/>
        <v>59</v>
      </c>
      <c r="V54" s="77">
        <f t="shared" si="206"/>
        <v>1</v>
      </c>
      <c r="W54" s="77">
        <f t="shared" si="206"/>
        <v>62</v>
      </c>
      <c r="X54" s="77">
        <f t="shared" si="206"/>
        <v>58</v>
      </c>
      <c r="Y54" s="77">
        <f t="shared" si="206"/>
        <v>1</v>
      </c>
      <c r="Z54" s="77">
        <f t="shared" si="206"/>
        <v>0</v>
      </c>
      <c r="AA54" s="77">
        <f t="shared" si="206"/>
        <v>5</v>
      </c>
      <c r="AB54" s="77">
        <f t="shared" si="206"/>
        <v>0</v>
      </c>
      <c r="AC54" s="77">
        <f t="shared" si="206"/>
        <v>96</v>
      </c>
      <c r="AD54" s="77">
        <f t="shared" si="206"/>
        <v>35</v>
      </c>
      <c r="AE54" s="77">
        <f t="shared" si="206"/>
        <v>2</v>
      </c>
      <c r="AF54" s="77">
        <f t="shared" si="206"/>
        <v>44</v>
      </c>
      <c r="AG54" s="77">
        <f t="shared" si="206"/>
        <v>24</v>
      </c>
      <c r="AH54" s="77">
        <f t="shared" si="206"/>
        <v>1</v>
      </c>
      <c r="AI54" s="77">
        <f t="shared" si="206"/>
        <v>0</v>
      </c>
      <c r="AJ54" s="77">
        <f t="shared" si="206"/>
        <v>0</v>
      </c>
      <c r="AK54" s="77">
        <f t="shared" si="206"/>
        <v>0</v>
      </c>
      <c r="AL54" s="77">
        <f>Q54+T54+W54+Z54+AC54+AF54+AI54</f>
        <v>206</v>
      </c>
      <c r="AM54" s="77">
        <f t="shared" ref="AM54:AM55" si="207">R54+U54+X54+AA54+AD54+AG54+AJ54</f>
        <v>184</v>
      </c>
      <c r="AN54" s="77">
        <f t="shared" ref="AN54" si="208">AL54+AM54</f>
        <v>390</v>
      </c>
      <c r="AO54" s="77">
        <f>S54+V54+Y54+AB54+AE54+AH54+AK54</f>
        <v>5</v>
      </c>
      <c r="AP54" s="188">
        <f t="shared" si="194"/>
        <v>2.0920502092050208</v>
      </c>
      <c r="AQ54" s="188">
        <f t="shared" si="195"/>
        <v>2.0920502092050208</v>
      </c>
      <c r="AR54" s="188">
        <f t="shared" si="196"/>
        <v>1.2820512820512819</v>
      </c>
      <c r="AS54" s="88">
        <f t="shared" si="197"/>
        <v>52.820512820512825</v>
      </c>
      <c r="AT54" s="88">
        <f t="shared" si="198"/>
        <v>47.179487179487175</v>
      </c>
      <c r="AU54" s="88">
        <f t="shared" si="199"/>
        <v>0</v>
      </c>
      <c r="AV54" s="88">
        <f t="shared" si="200"/>
        <v>20</v>
      </c>
      <c r="AW54" s="88">
        <f t="shared" si="201"/>
        <v>20</v>
      </c>
      <c r="AX54" s="88">
        <f t="shared" si="202"/>
        <v>0</v>
      </c>
      <c r="AY54" s="88">
        <f t="shared" si="203"/>
        <v>40</v>
      </c>
      <c r="AZ54" s="88">
        <f t="shared" si="204"/>
        <v>20</v>
      </c>
      <c r="BA54" s="88">
        <f t="shared" si="205"/>
        <v>0</v>
      </c>
    </row>
    <row r="55" spans="1:53" s="63" customFormat="1" ht="20.25" customHeight="1">
      <c r="A55" s="291"/>
      <c r="B55" s="416"/>
      <c r="C55" s="231" t="s">
        <v>131</v>
      </c>
      <c r="D55" s="252">
        <v>467</v>
      </c>
      <c r="E55" s="177">
        <v>45985</v>
      </c>
      <c r="F55" s="177">
        <v>45985</v>
      </c>
      <c r="G55" s="252">
        <v>76</v>
      </c>
      <c r="H55" s="252">
        <v>0</v>
      </c>
      <c r="I55" s="298">
        <f t="shared" ref="I55:I59" si="209">G55+H55</f>
        <v>76</v>
      </c>
      <c r="J55" s="252">
        <v>0</v>
      </c>
      <c r="K55" s="252">
        <v>0</v>
      </c>
      <c r="L55" s="298">
        <f t="shared" ref="L55:L59" si="210">I55+K55+J55</f>
        <v>76</v>
      </c>
      <c r="M55" s="252">
        <v>0</v>
      </c>
      <c r="N55" s="252">
        <v>0</v>
      </c>
      <c r="O55" s="252">
        <v>76</v>
      </c>
      <c r="P55" s="252">
        <v>3</v>
      </c>
      <c r="Q55" s="252">
        <v>0</v>
      </c>
      <c r="R55" s="252">
        <v>0</v>
      </c>
      <c r="S55" s="252">
        <v>0</v>
      </c>
      <c r="T55" s="252">
        <v>3</v>
      </c>
      <c r="U55" s="252">
        <v>28</v>
      </c>
      <c r="V55" s="252">
        <v>0</v>
      </c>
      <c r="W55" s="252">
        <v>28</v>
      </c>
      <c r="X55" s="252">
        <v>19</v>
      </c>
      <c r="Y55" s="252">
        <v>0</v>
      </c>
      <c r="Z55" s="252">
        <v>0</v>
      </c>
      <c r="AA55" s="252">
        <v>0</v>
      </c>
      <c r="AB55" s="252">
        <v>0</v>
      </c>
      <c r="AC55" s="252">
        <v>43</v>
      </c>
      <c r="AD55" s="252">
        <v>15</v>
      </c>
      <c r="AE55" s="252">
        <v>2</v>
      </c>
      <c r="AF55" s="252">
        <v>21</v>
      </c>
      <c r="AG55" s="252">
        <v>1</v>
      </c>
      <c r="AH55" s="252">
        <v>1</v>
      </c>
      <c r="AI55" s="252">
        <v>0</v>
      </c>
      <c r="AJ55" s="252">
        <v>0</v>
      </c>
      <c r="AK55" s="252">
        <v>0</v>
      </c>
      <c r="AL55" s="298">
        <f t="shared" ref="AL55" si="211">Q55+T55+W55+Z55+AC55+AF55+AI55</f>
        <v>95</v>
      </c>
      <c r="AM55" s="298">
        <f t="shared" si="207"/>
        <v>63</v>
      </c>
      <c r="AN55" s="298">
        <f t="shared" ref="AN55" si="212">R55+U55+X55+AA55+AD55+AG55+AJ55</f>
        <v>63</v>
      </c>
      <c r="AO55" s="298">
        <f t="shared" ref="AO55" si="213">S55+V55+Y55+AB55+AE55+AH55+AK55</f>
        <v>3</v>
      </c>
      <c r="AP55" s="81">
        <f t="shared" si="194"/>
        <v>3.9473684210526314</v>
      </c>
      <c r="AQ55" s="81">
        <f t="shared" si="195"/>
        <v>3.9473684210526314</v>
      </c>
      <c r="AR55" s="81">
        <f t="shared" si="196"/>
        <v>4.7619047619047619</v>
      </c>
      <c r="AS55" s="81">
        <f t="shared" si="197"/>
        <v>150.79365079365078</v>
      </c>
      <c r="AT55" s="81">
        <f t="shared" si="198"/>
        <v>100</v>
      </c>
      <c r="AU55" s="108">
        <f t="shared" si="199"/>
        <v>0</v>
      </c>
      <c r="AV55" s="108">
        <f t="shared" si="200"/>
        <v>0</v>
      </c>
      <c r="AW55" s="108">
        <f t="shared" si="201"/>
        <v>0</v>
      </c>
      <c r="AX55" s="108">
        <f t="shared" si="202"/>
        <v>0</v>
      </c>
      <c r="AY55" s="108">
        <f t="shared" si="203"/>
        <v>66.666666666666657</v>
      </c>
      <c r="AZ55" s="108">
        <f t="shared" si="204"/>
        <v>33.333333333333329</v>
      </c>
      <c r="BA55" s="108">
        <f t="shared" si="205"/>
        <v>0</v>
      </c>
    </row>
    <row r="56" spans="1:53" s="63" customFormat="1" ht="20.25" customHeight="1">
      <c r="A56" s="291"/>
      <c r="B56" s="416"/>
      <c r="C56" s="4" t="s">
        <v>133</v>
      </c>
      <c r="D56" s="252">
        <v>145</v>
      </c>
      <c r="E56" s="177">
        <v>45986</v>
      </c>
      <c r="F56" s="177">
        <v>45986</v>
      </c>
      <c r="G56" s="252">
        <v>35</v>
      </c>
      <c r="H56" s="252">
        <v>0</v>
      </c>
      <c r="I56" s="298">
        <f t="shared" si="209"/>
        <v>35</v>
      </c>
      <c r="J56" s="252">
        <v>0</v>
      </c>
      <c r="K56" s="252">
        <v>0</v>
      </c>
      <c r="L56" s="298">
        <f t="shared" si="210"/>
        <v>35</v>
      </c>
      <c r="M56" s="252">
        <v>0</v>
      </c>
      <c r="N56" s="252">
        <v>0</v>
      </c>
      <c r="O56" s="252">
        <v>35</v>
      </c>
      <c r="P56" s="252">
        <v>1</v>
      </c>
      <c r="Q56" s="252">
        <v>0</v>
      </c>
      <c r="R56" s="252">
        <v>0</v>
      </c>
      <c r="S56" s="252">
        <v>0</v>
      </c>
      <c r="T56" s="252">
        <v>1</v>
      </c>
      <c r="U56" s="252">
        <v>10</v>
      </c>
      <c r="V56" s="252">
        <v>1</v>
      </c>
      <c r="W56" s="252">
        <v>6</v>
      </c>
      <c r="X56" s="252">
        <v>7</v>
      </c>
      <c r="Y56" s="252">
        <v>0</v>
      </c>
      <c r="Z56" s="252">
        <v>0</v>
      </c>
      <c r="AA56" s="252">
        <v>0</v>
      </c>
      <c r="AB56" s="252">
        <v>0</v>
      </c>
      <c r="AC56" s="252">
        <v>13</v>
      </c>
      <c r="AD56" s="252">
        <v>7</v>
      </c>
      <c r="AE56" s="252">
        <v>0</v>
      </c>
      <c r="AF56" s="252">
        <v>4</v>
      </c>
      <c r="AG56" s="252">
        <v>1</v>
      </c>
      <c r="AH56" s="252">
        <v>0</v>
      </c>
      <c r="AI56" s="252">
        <v>0</v>
      </c>
      <c r="AJ56" s="252">
        <v>0</v>
      </c>
      <c r="AK56" s="252">
        <v>0</v>
      </c>
      <c r="AL56" s="298">
        <f t="shared" ref="AL56:AL59" si="214">Q56+T56+W56+Z56+AC56+AF56+AI56</f>
        <v>24</v>
      </c>
      <c r="AM56" s="298">
        <f t="shared" ref="AM56:AM59" si="215">R56+U56+X56+AA56+AD56+AG56+AJ56</f>
        <v>25</v>
      </c>
      <c r="AN56" s="298">
        <f t="shared" ref="AN56:AN59" si="216">R56+U56+X56+AA56+AD56+AG56+AJ56</f>
        <v>25</v>
      </c>
      <c r="AO56" s="298">
        <f t="shared" ref="AO56:AO59" si="217">S56+V56+Y56+AB56+AE56+AH56+AK56</f>
        <v>1</v>
      </c>
      <c r="AP56" s="81">
        <f t="shared" ref="AP56:AP59" si="218">P56/I56*100</f>
        <v>2.8571428571428572</v>
      </c>
      <c r="AQ56" s="81">
        <f t="shared" ref="AQ56:AQ59" si="219">AO56/I56*100</f>
        <v>2.8571428571428572</v>
      </c>
      <c r="AR56" s="81">
        <f t="shared" ref="AR56:AR59" si="220">AO56/AN56*100</f>
        <v>4</v>
      </c>
      <c r="AS56" s="81">
        <f t="shared" ref="AS56:AS59" si="221">AL56/AN56*100</f>
        <v>96</v>
      </c>
      <c r="AT56" s="81">
        <f t="shared" ref="AT56:AT59" si="222">AM56/AN56*100</f>
        <v>100</v>
      </c>
      <c r="AU56" s="108">
        <f t="shared" ref="AU56:AU59" si="223">S56/AO56*100</f>
        <v>0</v>
      </c>
      <c r="AV56" s="108">
        <f t="shared" ref="AV56:AV59" si="224">V56/AO56*100</f>
        <v>100</v>
      </c>
      <c r="AW56" s="108">
        <f t="shared" ref="AW56:AW59" si="225">Y56/AO56*100</f>
        <v>0</v>
      </c>
      <c r="AX56" s="108">
        <f t="shared" ref="AX56:AX59" si="226">AB56/AO56*100</f>
        <v>0</v>
      </c>
      <c r="AY56" s="108">
        <f t="shared" ref="AY56:AY59" si="227">AE56/AO56*100</f>
        <v>0</v>
      </c>
      <c r="AZ56" s="108">
        <f t="shared" ref="AZ56:AZ59" si="228">AH56/AO56*100</f>
        <v>0</v>
      </c>
      <c r="BA56" s="108">
        <f t="shared" ref="BA56:BA59" si="229">AK56/AO56*100</f>
        <v>0</v>
      </c>
    </row>
    <row r="57" spans="1:53" s="63" customFormat="1" ht="20.25" customHeight="1">
      <c r="A57" s="291"/>
      <c r="B57" s="416"/>
      <c r="C57" s="4" t="s">
        <v>132</v>
      </c>
      <c r="D57" s="252">
        <v>268</v>
      </c>
      <c r="E57" s="177">
        <v>45987</v>
      </c>
      <c r="F57" s="177">
        <v>45987</v>
      </c>
      <c r="G57" s="252">
        <v>59</v>
      </c>
      <c r="H57" s="252">
        <v>0</v>
      </c>
      <c r="I57" s="298">
        <f t="shared" si="209"/>
        <v>59</v>
      </c>
      <c r="J57" s="252">
        <v>0</v>
      </c>
      <c r="K57" s="252">
        <v>0</v>
      </c>
      <c r="L57" s="298">
        <f t="shared" si="210"/>
        <v>59</v>
      </c>
      <c r="M57" s="252">
        <v>0</v>
      </c>
      <c r="N57" s="252">
        <v>0</v>
      </c>
      <c r="O57" s="252">
        <v>59</v>
      </c>
      <c r="P57" s="252">
        <v>1</v>
      </c>
      <c r="Q57" s="252">
        <v>0</v>
      </c>
      <c r="R57" s="252">
        <v>0</v>
      </c>
      <c r="S57" s="252">
        <v>0</v>
      </c>
      <c r="T57" s="252">
        <v>0</v>
      </c>
      <c r="U57" s="252">
        <v>10</v>
      </c>
      <c r="V57" s="252">
        <v>0</v>
      </c>
      <c r="W57" s="252">
        <v>19</v>
      </c>
      <c r="X57" s="252">
        <v>12</v>
      </c>
      <c r="Y57" s="252">
        <v>1</v>
      </c>
      <c r="Z57" s="252">
        <v>0</v>
      </c>
      <c r="AA57" s="252">
        <v>3</v>
      </c>
      <c r="AB57" s="252">
        <v>0</v>
      </c>
      <c r="AC57" s="252">
        <v>24</v>
      </c>
      <c r="AD57" s="252">
        <v>7</v>
      </c>
      <c r="AE57" s="252">
        <v>0</v>
      </c>
      <c r="AF57" s="252">
        <v>7</v>
      </c>
      <c r="AG57" s="252">
        <v>9</v>
      </c>
      <c r="AH57" s="252">
        <v>0</v>
      </c>
      <c r="AI57" s="252">
        <v>0</v>
      </c>
      <c r="AJ57" s="252">
        <v>0</v>
      </c>
      <c r="AK57" s="252">
        <v>0</v>
      </c>
      <c r="AL57" s="298">
        <f t="shared" si="214"/>
        <v>50</v>
      </c>
      <c r="AM57" s="298">
        <f t="shared" si="215"/>
        <v>41</v>
      </c>
      <c r="AN57" s="298">
        <f t="shared" si="216"/>
        <v>41</v>
      </c>
      <c r="AO57" s="298">
        <f t="shared" si="217"/>
        <v>1</v>
      </c>
      <c r="AP57" s="81">
        <f t="shared" si="218"/>
        <v>1.6949152542372881</v>
      </c>
      <c r="AQ57" s="81">
        <f t="shared" si="219"/>
        <v>1.6949152542372881</v>
      </c>
      <c r="AR57" s="81">
        <f t="shared" si="220"/>
        <v>2.4390243902439024</v>
      </c>
      <c r="AS57" s="81">
        <f t="shared" si="221"/>
        <v>121.95121951219512</v>
      </c>
      <c r="AT57" s="81">
        <f t="shared" si="222"/>
        <v>100</v>
      </c>
      <c r="AU57" s="108">
        <f t="shared" si="223"/>
        <v>0</v>
      </c>
      <c r="AV57" s="108">
        <f t="shared" si="224"/>
        <v>0</v>
      </c>
      <c r="AW57" s="108">
        <f t="shared" si="225"/>
        <v>100</v>
      </c>
      <c r="AX57" s="108">
        <f t="shared" si="226"/>
        <v>0</v>
      </c>
      <c r="AY57" s="108">
        <f t="shared" si="227"/>
        <v>0</v>
      </c>
      <c r="AZ57" s="108">
        <f t="shared" si="228"/>
        <v>0</v>
      </c>
      <c r="BA57" s="108">
        <f t="shared" si="229"/>
        <v>0</v>
      </c>
    </row>
    <row r="58" spans="1:53" s="63" customFormat="1" ht="20.25" customHeight="1">
      <c r="A58" s="291"/>
      <c r="B58" s="416"/>
      <c r="C58" s="4" t="s">
        <v>134</v>
      </c>
      <c r="D58" s="252">
        <v>271</v>
      </c>
      <c r="E58" s="177">
        <v>45988</v>
      </c>
      <c r="F58" s="177">
        <v>45988</v>
      </c>
      <c r="G58" s="252">
        <v>59</v>
      </c>
      <c r="H58" s="252">
        <v>0</v>
      </c>
      <c r="I58" s="298">
        <f t="shared" si="209"/>
        <v>59</v>
      </c>
      <c r="J58" s="252">
        <v>0</v>
      </c>
      <c r="K58" s="252">
        <v>0</v>
      </c>
      <c r="L58" s="298">
        <f t="shared" si="210"/>
        <v>59</v>
      </c>
      <c r="M58" s="252">
        <v>0</v>
      </c>
      <c r="N58" s="252">
        <v>0</v>
      </c>
      <c r="O58" s="252">
        <v>59</v>
      </c>
      <c r="P58" s="252">
        <v>0</v>
      </c>
      <c r="Q58" s="252">
        <v>0</v>
      </c>
      <c r="R58" s="252">
        <v>3</v>
      </c>
      <c r="S58" s="252">
        <v>0</v>
      </c>
      <c r="T58" s="252">
        <v>0</v>
      </c>
      <c r="U58" s="252">
        <v>11</v>
      </c>
      <c r="V58" s="252">
        <v>0</v>
      </c>
      <c r="W58" s="252">
        <v>6</v>
      </c>
      <c r="X58" s="252">
        <v>19</v>
      </c>
      <c r="Y58" s="252">
        <v>0</v>
      </c>
      <c r="Z58" s="252">
        <v>0</v>
      </c>
      <c r="AA58" s="252">
        <v>2</v>
      </c>
      <c r="AB58" s="252">
        <v>0</v>
      </c>
      <c r="AC58" s="252">
        <v>14</v>
      </c>
      <c r="AD58" s="252">
        <v>2</v>
      </c>
      <c r="AE58" s="252">
        <v>0</v>
      </c>
      <c r="AF58" s="252">
        <v>10</v>
      </c>
      <c r="AG58" s="252">
        <v>12</v>
      </c>
      <c r="AH58" s="252">
        <v>0</v>
      </c>
      <c r="AI58" s="252">
        <v>0</v>
      </c>
      <c r="AJ58" s="252">
        <v>0</v>
      </c>
      <c r="AK58" s="252">
        <v>0</v>
      </c>
      <c r="AL58" s="298">
        <f t="shared" si="214"/>
        <v>30</v>
      </c>
      <c r="AM58" s="298">
        <f t="shared" si="215"/>
        <v>49</v>
      </c>
      <c r="AN58" s="298">
        <f t="shared" si="216"/>
        <v>49</v>
      </c>
      <c r="AO58" s="298">
        <f t="shared" si="217"/>
        <v>0</v>
      </c>
      <c r="AP58" s="81">
        <f t="shared" si="218"/>
        <v>0</v>
      </c>
      <c r="AQ58" s="81">
        <f t="shared" si="219"/>
        <v>0</v>
      </c>
      <c r="AR58" s="81">
        <f t="shared" si="220"/>
        <v>0</v>
      </c>
      <c r="AS58" s="81">
        <f t="shared" si="221"/>
        <v>61.224489795918366</v>
      </c>
      <c r="AT58" s="81">
        <f t="shared" si="222"/>
        <v>100</v>
      </c>
      <c r="AU58" s="108" t="e">
        <f t="shared" si="223"/>
        <v>#DIV/0!</v>
      </c>
      <c r="AV58" s="108" t="e">
        <f t="shared" si="224"/>
        <v>#DIV/0!</v>
      </c>
      <c r="AW58" s="108" t="e">
        <f t="shared" si="225"/>
        <v>#DIV/0!</v>
      </c>
      <c r="AX58" s="108" t="e">
        <f t="shared" si="226"/>
        <v>#DIV/0!</v>
      </c>
      <c r="AY58" s="108" t="e">
        <f t="shared" si="227"/>
        <v>#DIV/0!</v>
      </c>
      <c r="AZ58" s="108" t="e">
        <f t="shared" si="228"/>
        <v>#DIV/0!</v>
      </c>
      <c r="BA58" s="108" t="e">
        <f t="shared" si="229"/>
        <v>#DIV/0!</v>
      </c>
    </row>
    <row r="59" spans="1:53" s="63" customFormat="1" ht="20.25" customHeight="1">
      <c r="A59" s="291"/>
      <c r="B59" s="417"/>
      <c r="C59" s="4" t="s">
        <v>130</v>
      </c>
      <c r="D59" s="252">
        <v>47</v>
      </c>
      <c r="E59" s="177">
        <v>45988</v>
      </c>
      <c r="F59" s="177">
        <v>45988</v>
      </c>
      <c r="G59" s="252">
        <v>10</v>
      </c>
      <c r="H59" s="252">
        <v>0</v>
      </c>
      <c r="I59" s="298">
        <f t="shared" si="209"/>
        <v>10</v>
      </c>
      <c r="J59" s="252">
        <v>0</v>
      </c>
      <c r="K59" s="252">
        <v>0</v>
      </c>
      <c r="L59" s="298">
        <f t="shared" si="210"/>
        <v>10</v>
      </c>
      <c r="M59" s="252">
        <v>0</v>
      </c>
      <c r="N59" s="252">
        <v>0</v>
      </c>
      <c r="O59" s="252">
        <v>10</v>
      </c>
      <c r="P59" s="252">
        <v>0</v>
      </c>
      <c r="Q59" s="252">
        <v>0</v>
      </c>
      <c r="R59" s="252">
        <v>0</v>
      </c>
      <c r="S59" s="252">
        <v>0</v>
      </c>
      <c r="T59" s="252">
        <v>0</v>
      </c>
      <c r="U59" s="252">
        <v>0</v>
      </c>
      <c r="V59" s="252">
        <v>0</v>
      </c>
      <c r="W59" s="252">
        <v>3</v>
      </c>
      <c r="X59" s="252">
        <v>1</v>
      </c>
      <c r="Y59" s="252">
        <v>0</v>
      </c>
      <c r="Z59" s="252">
        <v>0</v>
      </c>
      <c r="AA59" s="252">
        <v>0</v>
      </c>
      <c r="AB59" s="252">
        <v>0</v>
      </c>
      <c r="AC59" s="252">
        <v>2</v>
      </c>
      <c r="AD59" s="252">
        <v>4</v>
      </c>
      <c r="AE59" s="252">
        <v>0</v>
      </c>
      <c r="AF59" s="252">
        <v>2</v>
      </c>
      <c r="AG59" s="252">
        <v>1</v>
      </c>
      <c r="AH59" s="252">
        <v>0</v>
      </c>
      <c r="AI59" s="252">
        <v>0</v>
      </c>
      <c r="AJ59" s="252">
        <v>0</v>
      </c>
      <c r="AK59" s="252">
        <v>0</v>
      </c>
      <c r="AL59" s="298">
        <f t="shared" si="214"/>
        <v>7</v>
      </c>
      <c r="AM59" s="298">
        <f t="shared" si="215"/>
        <v>6</v>
      </c>
      <c r="AN59" s="298">
        <f t="shared" si="216"/>
        <v>6</v>
      </c>
      <c r="AO59" s="298">
        <f t="shared" si="217"/>
        <v>0</v>
      </c>
      <c r="AP59" s="81">
        <f t="shared" si="218"/>
        <v>0</v>
      </c>
      <c r="AQ59" s="81">
        <f t="shared" si="219"/>
        <v>0</v>
      </c>
      <c r="AR59" s="81">
        <f t="shared" si="220"/>
        <v>0</v>
      </c>
      <c r="AS59" s="81">
        <f t="shared" si="221"/>
        <v>116.66666666666667</v>
      </c>
      <c r="AT59" s="81">
        <f t="shared" si="222"/>
        <v>100</v>
      </c>
      <c r="AU59" s="108" t="e">
        <f t="shared" si="223"/>
        <v>#DIV/0!</v>
      </c>
      <c r="AV59" s="108" t="e">
        <f t="shared" si="224"/>
        <v>#DIV/0!</v>
      </c>
      <c r="AW59" s="108" t="e">
        <f t="shared" si="225"/>
        <v>#DIV/0!</v>
      </c>
      <c r="AX59" s="108" t="e">
        <f t="shared" si="226"/>
        <v>#DIV/0!</v>
      </c>
      <c r="AY59" s="108" t="e">
        <f t="shared" si="227"/>
        <v>#DIV/0!</v>
      </c>
      <c r="AZ59" s="108" t="e">
        <f t="shared" si="228"/>
        <v>#DIV/0!</v>
      </c>
      <c r="BA59" s="108" t="e">
        <f t="shared" si="229"/>
        <v>#DIV/0!</v>
      </c>
    </row>
    <row r="60" spans="1:53" s="40" customFormat="1" ht="20.25" customHeight="1">
      <c r="A60" s="207" t="s">
        <v>66</v>
      </c>
      <c r="B60" s="83" t="s">
        <v>295</v>
      </c>
      <c r="C60" s="83">
        <f>COUNTA(C55:C59)</f>
        <v>5</v>
      </c>
      <c r="D60" s="87">
        <f>D54</f>
        <v>1198</v>
      </c>
      <c r="E60" s="84">
        <f>MIN(E54:E59)</f>
        <v>45985</v>
      </c>
      <c r="F60" s="84">
        <f>MAX(F54:F59)</f>
        <v>45988</v>
      </c>
      <c r="G60" s="87">
        <f>G54</f>
        <v>239</v>
      </c>
      <c r="H60" s="87">
        <f t="shared" ref="H60:AK60" si="230">H54</f>
        <v>0</v>
      </c>
      <c r="I60" s="87">
        <f t="shared" si="230"/>
        <v>239</v>
      </c>
      <c r="J60" s="87">
        <f t="shared" si="230"/>
        <v>0</v>
      </c>
      <c r="K60" s="87">
        <f t="shared" si="230"/>
        <v>0</v>
      </c>
      <c r="L60" s="87">
        <f t="shared" si="230"/>
        <v>239</v>
      </c>
      <c r="M60" s="87">
        <f t="shared" si="230"/>
        <v>0</v>
      </c>
      <c r="N60" s="87">
        <f t="shared" si="230"/>
        <v>0</v>
      </c>
      <c r="O60" s="87">
        <f t="shared" si="230"/>
        <v>239</v>
      </c>
      <c r="P60" s="87">
        <f t="shared" si="230"/>
        <v>5</v>
      </c>
      <c r="Q60" s="87">
        <f t="shared" si="230"/>
        <v>0</v>
      </c>
      <c r="R60" s="87">
        <f t="shared" si="230"/>
        <v>3</v>
      </c>
      <c r="S60" s="87">
        <f t="shared" si="230"/>
        <v>0</v>
      </c>
      <c r="T60" s="87">
        <f t="shared" si="230"/>
        <v>4</v>
      </c>
      <c r="U60" s="87">
        <f t="shared" si="230"/>
        <v>59</v>
      </c>
      <c r="V60" s="87">
        <f t="shared" si="230"/>
        <v>1</v>
      </c>
      <c r="W60" s="87">
        <f t="shared" si="230"/>
        <v>62</v>
      </c>
      <c r="X60" s="87">
        <f t="shared" si="230"/>
        <v>58</v>
      </c>
      <c r="Y60" s="87">
        <f t="shared" si="230"/>
        <v>1</v>
      </c>
      <c r="Z60" s="87">
        <f t="shared" si="230"/>
        <v>0</v>
      </c>
      <c r="AA60" s="87">
        <f t="shared" si="230"/>
        <v>5</v>
      </c>
      <c r="AB60" s="87">
        <f t="shared" si="230"/>
        <v>0</v>
      </c>
      <c r="AC60" s="87">
        <f t="shared" si="230"/>
        <v>96</v>
      </c>
      <c r="AD60" s="87">
        <f t="shared" si="230"/>
        <v>35</v>
      </c>
      <c r="AE60" s="87">
        <f t="shared" si="230"/>
        <v>2</v>
      </c>
      <c r="AF60" s="87">
        <f t="shared" si="230"/>
        <v>44</v>
      </c>
      <c r="AG60" s="87">
        <f t="shared" si="230"/>
        <v>24</v>
      </c>
      <c r="AH60" s="87">
        <f t="shared" si="230"/>
        <v>1</v>
      </c>
      <c r="AI60" s="87">
        <f t="shared" si="230"/>
        <v>0</v>
      </c>
      <c r="AJ60" s="87">
        <f t="shared" si="230"/>
        <v>0</v>
      </c>
      <c r="AK60" s="87">
        <f t="shared" si="230"/>
        <v>0</v>
      </c>
      <c r="AL60" s="83">
        <f>Q60+T60+W60+Z60+AC60+AF60+AI60</f>
        <v>206</v>
      </c>
      <c r="AM60" s="83">
        <f>R60+U60+X60+AA60+AD60+AG60+AJ60</f>
        <v>184</v>
      </c>
      <c r="AN60" s="83">
        <f>AL60+AM60</f>
        <v>390</v>
      </c>
      <c r="AO60" s="83">
        <f>S60+V60+Y60+AB60+AE60+AH60+AK60</f>
        <v>5</v>
      </c>
      <c r="AP60" s="190">
        <f t="shared" ref="AP60:AP62" si="231">P60/I60*100</f>
        <v>2.0920502092050208</v>
      </c>
      <c r="AQ60" s="190">
        <f t="shared" ref="AQ60:AQ62" si="232">AO60/I60*100</f>
        <v>2.0920502092050208</v>
      </c>
      <c r="AR60" s="190">
        <f t="shared" ref="AR60:AR62" si="233">AO60/AN60*100</f>
        <v>1.2820512820512819</v>
      </c>
      <c r="AS60" s="85">
        <f t="shared" ref="AS60:AS62" si="234">AL60/AN60*100</f>
        <v>52.820512820512825</v>
      </c>
      <c r="AT60" s="85">
        <f t="shared" ref="AT60:AT62" si="235">AM60/AN60*100</f>
        <v>47.179487179487175</v>
      </c>
      <c r="AU60" s="85">
        <f t="shared" ref="AU60:AU62" si="236">S60/AO60*100</f>
        <v>0</v>
      </c>
      <c r="AV60" s="85">
        <f t="shared" ref="AV60:AV62" si="237">V60/AO60*100</f>
        <v>20</v>
      </c>
      <c r="AW60" s="85">
        <f t="shared" ref="AW60:AW62" si="238">Y60/AO60*100</f>
        <v>20</v>
      </c>
      <c r="AX60" s="85">
        <f t="shared" ref="AX60:AX62" si="239">AB60/AO60*100</f>
        <v>0</v>
      </c>
      <c r="AY60" s="85">
        <f t="shared" ref="AY60:AY62" si="240">AE60/AO60*100</f>
        <v>40</v>
      </c>
      <c r="AZ60" s="85">
        <f t="shared" ref="AZ60:AZ62" si="241">AH60/AO60*100</f>
        <v>20</v>
      </c>
      <c r="BA60" s="85">
        <f t="shared" ref="BA60:BA62" si="242">AK60/AO60*100</f>
        <v>0</v>
      </c>
    </row>
    <row r="61" spans="1:53" s="40" customFormat="1" ht="20.25" customHeight="1">
      <c r="A61" s="207"/>
      <c r="B61" s="415" t="s">
        <v>265</v>
      </c>
      <c r="C61" s="77" t="s">
        <v>141</v>
      </c>
      <c r="D61" s="253">
        <f>SUM(D62:D66)</f>
        <v>720</v>
      </c>
      <c r="E61" s="78">
        <f>MIN(E62:E66)</f>
        <v>46010</v>
      </c>
      <c r="F61" s="78">
        <f>MAX(F62:F66)</f>
        <v>46022</v>
      </c>
      <c r="G61" s="253">
        <f>SUM(G62:G66)</f>
        <v>178</v>
      </c>
      <c r="H61" s="253">
        <f t="shared" ref="H61:AK61" si="243">SUM(H62:H66)</f>
        <v>0</v>
      </c>
      <c r="I61" s="253">
        <f t="shared" si="243"/>
        <v>178</v>
      </c>
      <c r="J61" s="253">
        <f t="shared" si="243"/>
        <v>0</v>
      </c>
      <c r="K61" s="253">
        <f t="shared" si="243"/>
        <v>0</v>
      </c>
      <c r="L61" s="253">
        <f t="shared" si="243"/>
        <v>178</v>
      </c>
      <c r="M61" s="253">
        <f t="shared" si="243"/>
        <v>0</v>
      </c>
      <c r="N61" s="253">
        <f t="shared" si="243"/>
        <v>0</v>
      </c>
      <c r="O61" s="253">
        <f t="shared" si="243"/>
        <v>178</v>
      </c>
      <c r="P61" s="253">
        <f t="shared" si="243"/>
        <v>5</v>
      </c>
      <c r="Q61" s="253">
        <f t="shared" si="243"/>
        <v>0</v>
      </c>
      <c r="R61" s="253">
        <f t="shared" si="243"/>
        <v>0</v>
      </c>
      <c r="S61" s="253">
        <f t="shared" si="243"/>
        <v>0</v>
      </c>
      <c r="T61" s="253">
        <f t="shared" si="243"/>
        <v>6</v>
      </c>
      <c r="U61" s="253">
        <f t="shared" si="243"/>
        <v>69</v>
      </c>
      <c r="V61" s="253">
        <f t="shared" si="243"/>
        <v>2</v>
      </c>
      <c r="W61" s="253">
        <f t="shared" si="243"/>
        <v>9</v>
      </c>
      <c r="X61" s="253">
        <f t="shared" si="243"/>
        <v>56</v>
      </c>
      <c r="Y61" s="253">
        <f t="shared" si="243"/>
        <v>0</v>
      </c>
      <c r="Z61" s="253">
        <f t="shared" si="243"/>
        <v>2</v>
      </c>
      <c r="AA61" s="253">
        <f t="shared" si="243"/>
        <v>2</v>
      </c>
      <c r="AB61" s="253">
        <f t="shared" si="243"/>
        <v>0</v>
      </c>
      <c r="AC61" s="253">
        <f t="shared" si="243"/>
        <v>30</v>
      </c>
      <c r="AD61" s="253">
        <f t="shared" si="243"/>
        <v>43</v>
      </c>
      <c r="AE61" s="253">
        <f t="shared" si="243"/>
        <v>2</v>
      </c>
      <c r="AF61" s="253">
        <f t="shared" si="243"/>
        <v>25</v>
      </c>
      <c r="AG61" s="253">
        <f t="shared" si="243"/>
        <v>13</v>
      </c>
      <c r="AH61" s="253">
        <f t="shared" si="243"/>
        <v>1</v>
      </c>
      <c r="AI61" s="253">
        <f t="shared" si="243"/>
        <v>0</v>
      </c>
      <c r="AJ61" s="253">
        <f t="shared" si="243"/>
        <v>0</v>
      </c>
      <c r="AK61" s="253">
        <f t="shared" si="243"/>
        <v>0</v>
      </c>
      <c r="AL61" s="77">
        <f>Q61+T61+W61+Z61+AC61+AF61+AI61</f>
        <v>72</v>
      </c>
      <c r="AM61" s="77">
        <f t="shared" ref="AM61:AM62" si="244">R61+U61+X61+AA61+AD61+AG61+AJ61</f>
        <v>183</v>
      </c>
      <c r="AN61" s="77">
        <f t="shared" ref="AN61" si="245">AL61+AM61</f>
        <v>255</v>
      </c>
      <c r="AO61" s="77">
        <f>S61+V61+Y61+AB61+AE61+AH61+AK61</f>
        <v>5</v>
      </c>
      <c r="AP61" s="188">
        <f t="shared" si="231"/>
        <v>2.8089887640449436</v>
      </c>
      <c r="AQ61" s="188">
        <f t="shared" si="232"/>
        <v>2.8089887640449436</v>
      </c>
      <c r="AR61" s="188">
        <f t="shared" si="233"/>
        <v>1.9607843137254901</v>
      </c>
      <c r="AS61" s="88">
        <f t="shared" si="234"/>
        <v>28.235294117647058</v>
      </c>
      <c r="AT61" s="88">
        <f t="shared" si="235"/>
        <v>71.764705882352942</v>
      </c>
      <c r="AU61" s="88">
        <f t="shared" si="236"/>
        <v>0</v>
      </c>
      <c r="AV61" s="88">
        <f t="shared" si="237"/>
        <v>40</v>
      </c>
      <c r="AW61" s="88">
        <f t="shared" si="238"/>
        <v>0</v>
      </c>
      <c r="AX61" s="88">
        <f t="shared" si="239"/>
        <v>0</v>
      </c>
      <c r="AY61" s="88">
        <f t="shared" si="240"/>
        <v>40</v>
      </c>
      <c r="AZ61" s="88">
        <f t="shared" si="241"/>
        <v>20</v>
      </c>
      <c r="BA61" s="88">
        <f t="shared" si="242"/>
        <v>0</v>
      </c>
    </row>
    <row r="62" spans="1:53" s="63" customFormat="1" ht="20.25" customHeight="1">
      <c r="A62" s="291"/>
      <c r="B62" s="416"/>
      <c r="C62" s="231" t="s">
        <v>131</v>
      </c>
      <c r="D62" s="252">
        <v>274</v>
      </c>
      <c r="E62" s="177">
        <v>46010</v>
      </c>
      <c r="F62" s="177">
        <v>46014</v>
      </c>
      <c r="G62" s="252">
        <v>68</v>
      </c>
      <c r="H62" s="252">
        <v>0</v>
      </c>
      <c r="I62" s="314">
        <f t="shared" ref="I62:I66" si="246">G62+H62</f>
        <v>68</v>
      </c>
      <c r="J62" s="252">
        <v>0</v>
      </c>
      <c r="K62" s="252">
        <v>0</v>
      </c>
      <c r="L62" s="314">
        <f t="shared" ref="L62:L66" si="247">I62+K62+J62</f>
        <v>68</v>
      </c>
      <c r="M62" s="252">
        <v>0</v>
      </c>
      <c r="N62" s="252">
        <v>0</v>
      </c>
      <c r="O62" s="252">
        <v>68</v>
      </c>
      <c r="P62" s="252">
        <v>2</v>
      </c>
      <c r="Q62" s="252">
        <v>0</v>
      </c>
      <c r="R62" s="252">
        <v>0</v>
      </c>
      <c r="S62" s="252">
        <v>0</v>
      </c>
      <c r="T62" s="252">
        <v>3</v>
      </c>
      <c r="U62" s="252">
        <v>25</v>
      </c>
      <c r="V62" s="252">
        <v>0</v>
      </c>
      <c r="W62" s="252">
        <v>0</v>
      </c>
      <c r="X62" s="252">
        <v>10</v>
      </c>
      <c r="Y62" s="252">
        <v>0</v>
      </c>
      <c r="Z62" s="252">
        <v>0</v>
      </c>
      <c r="AA62" s="252">
        <v>0</v>
      </c>
      <c r="AB62" s="252">
        <v>0</v>
      </c>
      <c r="AC62" s="252">
        <v>11</v>
      </c>
      <c r="AD62" s="252">
        <v>8</v>
      </c>
      <c r="AE62" s="252">
        <v>2</v>
      </c>
      <c r="AF62" s="252">
        <v>14</v>
      </c>
      <c r="AG62" s="252">
        <v>2</v>
      </c>
      <c r="AH62" s="252">
        <v>0</v>
      </c>
      <c r="AI62" s="252">
        <v>0</v>
      </c>
      <c r="AJ62" s="252">
        <v>0</v>
      </c>
      <c r="AK62" s="252">
        <v>0</v>
      </c>
      <c r="AL62" s="314">
        <f t="shared" ref="AL62" si="248">Q62+T62+W62+Z62+AC62+AF62+AI62</f>
        <v>28</v>
      </c>
      <c r="AM62" s="314">
        <f t="shared" si="244"/>
        <v>45</v>
      </c>
      <c r="AN62" s="314">
        <f t="shared" ref="AN62" si="249">R62+U62+X62+AA62+AD62+AG62+AJ62</f>
        <v>45</v>
      </c>
      <c r="AO62" s="314">
        <f t="shared" ref="AO62" si="250">S62+V62+Y62+AB62+AE62+AH62+AK62</f>
        <v>2</v>
      </c>
      <c r="AP62" s="81">
        <f t="shared" si="231"/>
        <v>2.9411764705882351</v>
      </c>
      <c r="AQ62" s="81">
        <f t="shared" si="232"/>
        <v>2.9411764705882351</v>
      </c>
      <c r="AR62" s="81">
        <f t="shared" si="233"/>
        <v>4.4444444444444446</v>
      </c>
      <c r="AS62" s="81">
        <f t="shared" si="234"/>
        <v>62.222222222222221</v>
      </c>
      <c r="AT62" s="81">
        <f t="shared" si="235"/>
        <v>100</v>
      </c>
      <c r="AU62" s="108">
        <f t="shared" si="236"/>
        <v>0</v>
      </c>
      <c r="AV62" s="108">
        <f t="shared" si="237"/>
        <v>0</v>
      </c>
      <c r="AW62" s="108">
        <f t="shared" si="238"/>
        <v>0</v>
      </c>
      <c r="AX62" s="108">
        <f t="shared" si="239"/>
        <v>0</v>
      </c>
      <c r="AY62" s="108">
        <f t="shared" si="240"/>
        <v>100</v>
      </c>
      <c r="AZ62" s="108">
        <f t="shared" si="241"/>
        <v>0</v>
      </c>
      <c r="BA62" s="108">
        <f t="shared" si="242"/>
        <v>0</v>
      </c>
    </row>
    <row r="63" spans="1:53" s="63" customFormat="1" ht="20.25" customHeight="1">
      <c r="A63" s="291"/>
      <c r="B63" s="416"/>
      <c r="C63" s="4" t="s">
        <v>132</v>
      </c>
      <c r="D63" s="252">
        <v>137</v>
      </c>
      <c r="E63" s="177">
        <v>46014</v>
      </c>
      <c r="F63" s="177">
        <v>46015</v>
      </c>
      <c r="G63" s="252">
        <v>32</v>
      </c>
      <c r="H63" s="252">
        <v>0</v>
      </c>
      <c r="I63" s="314">
        <f t="shared" si="246"/>
        <v>32</v>
      </c>
      <c r="J63" s="252">
        <v>0</v>
      </c>
      <c r="K63" s="252">
        <v>0</v>
      </c>
      <c r="L63" s="314">
        <f t="shared" si="247"/>
        <v>32</v>
      </c>
      <c r="M63" s="252">
        <v>0</v>
      </c>
      <c r="N63" s="252">
        <v>0</v>
      </c>
      <c r="O63" s="252">
        <v>32</v>
      </c>
      <c r="P63" s="252">
        <v>1</v>
      </c>
      <c r="Q63" s="252">
        <v>0</v>
      </c>
      <c r="R63" s="252">
        <v>0</v>
      </c>
      <c r="S63" s="252">
        <v>0</v>
      </c>
      <c r="T63" s="252">
        <v>0</v>
      </c>
      <c r="U63" s="252">
        <v>12</v>
      </c>
      <c r="V63" s="252">
        <v>0</v>
      </c>
      <c r="W63" s="252">
        <v>0</v>
      </c>
      <c r="X63" s="252">
        <v>22</v>
      </c>
      <c r="Y63" s="252">
        <v>0</v>
      </c>
      <c r="Z63" s="252">
        <v>0</v>
      </c>
      <c r="AA63" s="252">
        <v>2</v>
      </c>
      <c r="AB63" s="252">
        <v>0</v>
      </c>
      <c r="AC63" s="252">
        <v>0</v>
      </c>
      <c r="AD63" s="252">
        <v>0</v>
      </c>
      <c r="AE63" s="252">
        <v>0</v>
      </c>
      <c r="AF63" s="252">
        <v>0</v>
      </c>
      <c r="AG63" s="252">
        <v>1</v>
      </c>
      <c r="AH63" s="252">
        <v>1</v>
      </c>
      <c r="AI63" s="252">
        <v>0</v>
      </c>
      <c r="AJ63" s="252">
        <v>0</v>
      </c>
      <c r="AK63" s="252">
        <v>0</v>
      </c>
      <c r="AL63" s="314">
        <f t="shared" ref="AL63:AL66" si="251">Q63+T63+W63+Z63+AC63+AF63+AI63</f>
        <v>0</v>
      </c>
      <c r="AM63" s="314">
        <f t="shared" ref="AM63:AM66" si="252">R63+U63+X63+AA63+AD63+AG63+AJ63</f>
        <v>37</v>
      </c>
      <c r="AN63" s="314">
        <f t="shared" ref="AN63:AN66" si="253">R63+U63+X63+AA63+AD63+AG63+AJ63</f>
        <v>37</v>
      </c>
      <c r="AO63" s="314">
        <f t="shared" ref="AO63:AO66" si="254">S63+V63+Y63+AB63+AE63+AH63+AK63</f>
        <v>1</v>
      </c>
      <c r="AP63" s="81">
        <f t="shared" ref="AP63:AP67" si="255">P63/I63*100</f>
        <v>3.125</v>
      </c>
      <c r="AQ63" s="81">
        <f t="shared" ref="AQ63:AQ67" si="256">AO63/I63*100</f>
        <v>3.125</v>
      </c>
      <c r="AR63" s="81">
        <f t="shared" ref="AR63:AR67" si="257">AO63/AN63*100</f>
        <v>2.7027027027027026</v>
      </c>
      <c r="AS63" s="81">
        <f t="shared" ref="AS63:AS67" si="258">AL63/AN63*100</f>
        <v>0</v>
      </c>
      <c r="AT63" s="81">
        <f t="shared" ref="AT63:AT67" si="259">AM63/AN63*100</f>
        <v>100</v>
      </c>
      <c r="AU63" s="108">
        <f t="shared" ref="AU63:AU66" si="260">S63/AO63*100</f>
        <v>0</v>
      </c>
      <c r="AV63" s="108">
        <f t="shared" ref="AV63:AV66" si="261">V63/AO63*100</f>
        <v>0</v>
      </c>
      <c r="AW63" s="108">
        <f t="shared" ref="AW63:AW66" si="262">Y63/AO63*100</f>
        <v>0</v>
      </c>
      <c r="AX63" s="108">
        <f t="shared" ref="AX63:AX66" si="263">AB63/AO63*100</f>
        <v>0</v>
      </c>
      <c r="AY63" s="108">
        <f t="shared" ref="AY63:AY66" si="264">AE63/AO63*100</f>
        <v>0</v>
      </c>
      <c r="AZ63" s="108">
        <f t="shared" ref="AZ63:AZ66" si="265">AH63/AO63*100</f>
        <v>100</v>
      </c>
      <c r="BA63" s="108">
        <f t="shared" ref="BA63:BA66" si="266">AK63/AO63*100</f>
        <v>0</v>
      </c>
    </row>
    <row r="64" spans="1:53" s="63" customFormat="1" ht="20.25" customHeight="1">
      <c r="A64" s="291"/>
      <c r="B64" s="416"/>
      <c r="C64" s="4" t="s">
        <v>133</v>
      </c>
      <c r="D64" s="252">
        <v>86</v>
      </c>
      <c r="E64" s="177" t="s">
        <v>306</v>
      </c>
      <c r="F64" s="177">
        <v>46015</v>
      </c>
      <c r="G64" s="252">
        <v>27</v>
      </c>
      <c r="H64" s="252">
        <v>0</v>
      </c>
      <c r="I64" s="314">
        <f t="shared" si="246"/>
        <v>27</v>
      </c>
      <c r="J64" s="252">
        <v>0</v>
      </c>
      <c r="K64" s="252">
        <v>0</v>
      </c>
      <c r="L64" s="314">
        <f t="shared" si="247"/>
        <v>27</v>
      </c>
      <c r="M64" s="252">
        <v>0</v>
      </c>
      <c r="N64" s="252">
        <v>0</v>
      </c>
      <c r="O64" s="252">
        <v>27</v>
      </c>
      <c r="P64" s="252">
        <v>0</v>
      </c>
      <c r="Q64" s="252">
        <v>0</v>
      </c>
      <c r="R64" s="252">
        <v>0</v>
      </c>
      <c r="S64" s="252">
        <v>0</v>
      </c>
      <c r="T64" s="252">
        <v>0</v>
      </c>
      <c r="U64" s="252">
        <v>6</v>
      </c>
      <c r="V64" s="252">
        <v>0</v>
      </c>
      <c r="W64" s="252">
        <v>5</v>
      </c>
      <c r="X64" s="252">
        <v>8</v>
      </c>
      <c r="Y64" s="252">
        <v>0</v>
      </c>
      <c r="Z64" s="252">
        <v>1</v>
      </c>
      <c r="AA64" s="252">
        <v>0</v>
      </c>
      <c r="AB64" s="252">
        <v>0</v>
      </c>
      <c r="AC64" s="252">
        <v>6</v>
      </c>
      <c r="AD64" s="252">
        <v>14</v>
      </c>
      <c r="AE64" s="252">
        <v>0</v>
      </c>
      <c r="AF64" s="252">
        <v>6</v>
      </c>
      <c r="AG64" s="252">
        <v>3</v>
      </c>
      <c r="AH64" s="252">
        <v>0</v>
      </c>
      <c r="AI64" s="252">
        <v>0</v>
      </c>
      <c r="AJ64" s="252">
        <v>0</v>
      </c>
      <c r="AK64" s="252">
        <v>0</v>
      </c>
      <c r="AL64" s="314">
        <f t="shared" si="251"/>
        <v>18</v>
      </c>
      <c r="AM64" s="314">
        <f t="shared" si="252"/>
        <v>31</v>
      </c>
      <c r="AN64" s="314">
        <f t="shared" si="253"/>
        <v>31</v>
      </c>
      <c r="AO64" s="314">
        <f t="shared" si="254"/>
        <v>0</v>
      </c>
      <c r="AP64" s="81">
        <f t="shared" si="255"/>
        <v>0</v>
      </c>
      <c r="AQ64" s="81">
        <f t="shared" si="256"/>
        <v>0</v>
      </c>
      <c r="AR64" s="81">
        <f t="shared" si="257"/>
        <v>0</v>
      </c>
      <c r="AS64" s="81">
        <f t="shared" si="258"/>
        <v>58.064516129032263</v>
      </c>
      <c r="AT64" s="81">
        <f t="shared" si="259"/>
        <v>100</v>
      </c>
      <c r="AU64" s="108" t="e">
        <f t="shared" si="260"/>
        <v>#DIV/0!</v>
      </c>
      <c r="AV64" s="108" t="e">
        <f t="shared" si="261"/>
        <v>#DIV/0!</v>
      </c>
      <c r="AW64" s="108" t="e">
        <f t="shared" si="262"/>
        <v>#DIV/0!</v>
      </c>
      <c r="AX64" s="108" t="e">
        <f t="shared" si="263"/>
        <v>#DIV/0!</v>
      </c>
      <c r="AY64" s="108" t="e">
        <f t="shared" si="264"/>
        <v>#DIV/0!</v>
      </c>
      <c r="AZ64" s="108" t="e">
        <f t="shared" si="265"/>
        <v>#DIV/0!</v>
      </c>
      <c r="BA64" s="108" t="e">
        <f t="shared" si="266"/>
        <v>#DIV/0!</v>
      </c>
    </row>
    <row r="65" spans="1:53" s="63" customFormat="1" ht="20.25" customHeight="1">
      <c r="A65" s="291"/>
      <c r="B65" s="416"/>
      <c r="C65" s="4" t="s">
        <v>134</v>
      </c>
      <c r="D65" s="252">
        <v>182</v>
      </c>
      <c r="E65" s="177">
        <v>46021</v>
      </c>
      <c r="F65" s="177">
        <v>46022</v>
      </c>
      <c r="G65" s="252">
        <v>41</v>
      </c>
      <c r="H65" s="252">
        <v>0</v>
      </c>
      <c r="I65" s="314">
        <f t="shared" si="246"/>
        <v>41</v>
      </c>
      <c r="J65" s="252">
        <v>0</v>
      </c>
      <c r="K65" s="252">
        <v>0</v>
      </c>
      <c r="L65" s="314">
        <f t="shared" si="247"/>
        <v>41</v>
      </c>
      <c r="M65" s="252">
        <v>0</v>
      </c>
      <c r="N65" s="252">
        <v>0</v>
      </c>
      <c r="O65" s="252">
        <v>41</v>
      </c>
      <c r="P65" s="252">
        <v>2</v>
      </c>
      <c r="Q65" s="252">
        <v>0</v>
      </c>
      <c r="R65" s="252">
        <v>0</v>
      </c>
      <c r="S65" s="252">
        <v>0</v>
      </c>
      <c r="T65" s="252">
        <v>3</v>
      </c>
      <c r="U65" s="252">
        <v>25</v>
      </c>
      <c r="V65" s="252">
        <v>2</v>
      </c>
      <c r="W65" s="252">
        <v>4</v>
      </c>
      <c r="X65" s="252">
        <v>12</v>
      </c>
      <c r="Y65" s="252">
        <v>0</v>
      </c>
      <c r="Z65" s="252">
        <v>0</v>
      </c>
      <c r="AA65" s="252">
        <v>0</v>
      </c>
      <c r="AB65" s="252">
        <v>0</v>
      </c>
      <c r="AC65" s="252">
        <v>13</v>
      </c>
      <c r="AD65" s="252">
        <v>14</v>
      </c>
      <c r="AE65" s="252">
        <v>0</v>
      </c>
      <c r="AF65" s="252">
        <v>5</v>
      </c>
      <c r="AG65" s="252">
        <v>7</v>
      </c>
      <c r="AH65" s="252">
        <v>0</v>
      </c>
      <c r="AI65" s="252">
        <v>0</v>
      </c>
      <c r="AJ65" s="252">
        <v>0</v>
      </c>
      <c r="AK65" s="252">
        <v>0</v>
      </c>
      <c r="AL65" s="314">
        <f t="shared" si="251"/>
        <v>25</v>
      </c>
      <c r="AM65" s="314">
        <f t="shared" si="252"/>
        <v>58</v>
      </c>
      <c r="AN65" s="314">
        <f t="shared" si="253"/>
        <v>58</v>
      </c>
      <c r="AO65" s="314">
        <f t="shared" si="254"/>
        <v>2</v>
      </c>
      <c r="AP65" s="81">
        <f t="shared" si="255"/>
        <v>4.8780487804878048</v>
      </c>
      <c r="AQ65" s="81">
        <f t="shared" si="256"/>
        <v>4.8780487804878048</v>
      </c>
      <c r="AR65" s="81">
        <f t="shared" si="257"/>
        <v>3.4482758620689653</v>
      </c>
      <c r="AS65" s="81">
        <f t="shared" si="258"/>
        <v>43.103448275862064</v>
      </c>
      <c r="AT65" s="81">
        <f t="shared" si="259"/>
        <v>100</v>
      </c>
      <c r="AU65" s="108">
        <f t="shared" si="260"/>
        <v>0</v>
      </c>
      <c r="AV65" s="108">
        <f t="shared" si="261"/>
        <v>100</v>
      </c>
      <c r="AW65" s="108">
        <f t="shared" si="262"/>
        <v>0</v>
      </c>
      <c r="AX65" s="108">
        <f t="shared" si="263"/>
        <v>0</v>
      </c>
      <c r="AY65" s="108">
        <f t="shared" si="264"/>
        <v>0</v>
      </c>
      <c r="AZ65" s="108">
        <f t="shared" si="265"/>
        <v>0</v>
      </c>
      <c r="BA65" s="108">
        <f t="shared" si="266"/>
        <v>0</v>
      </c>
    </row>
    <row r="66" spans="1:53" s="63" customFormat="1" ht="20.25" customHeight="1">
      <c r="A66" s="291"/>
      <c r="B66" s="417"/>
      <c r="C66" s="4" t="s">
        <v>130</v>
      </c>
      <c r="D66" s="252">
        <v>41</v>
      </c>
      <c r="E66" s="177">
        <v>46022</v>
      </c>
      <c r="F66" s="177">
        <v>46022</v>
      </c>
      <c r="G66" s="252">
        <v>10</v>
      </c>
      <c r="H66" s="252">
        <v>0</v>
      </c>
      <c r="I66" s="314">
        <f t="shared" si="246"/>
        <v>10</v>
      </c>
      <c r="J66" s="252">
        <v>0</v>
      </c>
      <c r="K66" s="252">
        <v>0</v>
      </c>
      <c r="L66" s="314">
        <f t="shared" si="247"/>
        <v>10</v>
      </c>
      <c r="M66" s="252">
        <v>0</v>
      </c>
      <c r="N66" s="252">
        <v>0</v>
      </c>
      <c r="O66" s="252">
        <v>10</v>
      </c>
      <c r="P66" s="252">
        <v>0</v>
      </c>
      <c r="Q66" s="252">
        <v>0</v>
      </c>
      <c r="R66" s="252">
        <v>0</v>
      </c>
      <c r="S66" s="252">
        <v>0</v>
      </c>
      <c r="T66" s="252">
        <v>0</v>
      </c>
      <c r="U66" s="252">
        <v>1</v>
      </c>
      <c r="V66" s="252">
        <v>0</v>
      </c>
      <c r="W66" s="252">
        <v>0</v>
      </c>
      <c r="X66" s="252">
        <v>4</v>
      </c>
      <c r="Y66" s="252">
        <v>0</v>
      </c>
      <c r="Z66" s="252">
        <v>1</v>
      </c>
      <c r="AA66" s="252">
        <v>0</v>
      </c>
      <c r="AB66" s="252">
        <v>0</v>
      </c>
      <c r="AC66" s="252">
        <v>0</v>
      </c>
      <c r="AD66" s="252">
        <v>7</v>
      </c>
      <c r="AE66" s="252">
        <v>0</v>
      </c>
      <c r="AF66" s="252">
        <v>0</v>
      </c>
      <c r="AG66" s="252">
        <v>0</v>
      </c>
      <c r="AH66" s="252">
        <v>0</v>
      </c>
      <c r="AI66" s="252">
        <v>0</v>
      </c>
      <c r="AJ66" s="252">
        <v>0</v>
      </c>
      <c r="AK66" s="252">
        <v>0</v>
      </c>
      <c r="AL66" s="314">
        <f t="shared" si="251"/>
        <v>1</v>
      </c>
      <c r="AM66" s="314">
        <f t="shared" si="252"/>
        <v>12</v>
      </c>
      <c r="AN66" s="314">
        <f t="shared" si="253"/>
        <v>12</v>
      </c>
      <c r="AO66" s="314">
        <f t="shared" si="254"/>
        <v>0</v>
      </c>
      <c r="AP66" s="81">
        <f t="shared" si="255"/>
        <v>0</v>
      </c>
      <c r="AQ66" s="81">
        <f t="shared" si="256"/>
        <v>0</v>
      </c>
      <c r="AR66" s="81">
        <f t="shared" si="257"/>
        <v>0</v>
      </c>
      <c r="AS66" s="81">
        <f t="shared" si="258"/>
        <v>8.3333333333333321</v>
      </c>
      <c r="AT66" s="81">
        <f t="shared" si="259"/>
        <v>100</v>
      </c>
      <c r="AU66" s="108" t="e">
        <f t="shared" si="260"/>
        <v>#DIV/0!</v>
      </c>
      <c r="AV66" s="108" t="e">
        <f t="shared" si="261"/>
        <v>#DIV/0!</v>
      </c>
      <c r="AW66" s="108" t="e">
        <f t="shared" si="262"/>
        <v>#DIV/0!</v>
      </c>
      <c r="AX66" s="108" t="e">
        <f t="shared" si="263"/>
        <v>#DIV/0!</v>
      </c>
      <c r="AY66" s="108" t="e">
        <f t="shared" si="264"/>
        <v>#DIV/0!</v>
      </c>
      <c r="AZ66" s="108" t="e">
        <f t="shared" si="265"/>
        <v>#DIV/0!</v>
      </c>
      <c r="BA66" s="108" t="e">
        <f t="shared" si="266"/>
        <v>#DIV/0!</v>
      </c>
    </row>
    <row r="67" spans="1:53" s="40" customFormat="1" ht="20.25" customHeight="1">
      <c r="A67" s="207"/>
      <c r="B67" s="83" t="s">
        <v>305</v>
      </c>
      <c r="C67" s="83">
        <f>COUNTA(C62:C66)</f>
        <v>5</v>
      </c>
      <c r="D67" s="87">
        <f>D61</f>
        <v>720</v>
      </c>
      <c r="E67" s="84">
        <f>MIN(E61:E66)</f>
        <v>46010</v>
      </c>
      <c r="F67" s="84">
        <f>MAX(F61:F66)</f>
        <v>46022</v>
      </c>
      <c r="G67" s="87">
        <f>G61</f>
        <v>178</v>
      </c>
      <c r="H67" s="87">
        <f t="shared" ref="H67:AK67" si="267">H61</f>
        <v>0</v>
      </c>
      <c r="I67" s="87">
        <f t="shared" si="267"/>
        <v>178</v>
      </c>
      <c r="J67" s="87">
        <f t="shared" si="267"/>
        <v>0</v>
      </c>
      <c r="K67" s="87">
        <f t="shared" si="267"/>
        <v>0</v>
      </c>
      <c r="L67" s="87">
        <f t="shared" si="267"/>
        <v>178</v>
      </c>
      <c r="M67" s="87">
        <f t="shared" si="267"/>
        <v>0</v>
      </c>
      <c r="N67" s="87">
        <f t="shared" si="267"/>
        <v>0</v>
      </c>
      <c r="O67" s="87">
        <f t="shared" si="267"/>
        <v>178</v>
      </c>
      <c r="P67" s="87">
        <f t="shared" si="267"/>
        <v>5</v>
      </c>
      <c r="Q67" s="87">
        <f t="shared" si="267"/>
        <v>0</v>
      </c>
      <c r="R67" s="87">
        <f t="shared" si="267"/>
        <v>0</v>
      </c>
      <c r="S67" s="87">
        <f t="shared" si="267"/>
        <v>0</v>
      </c>
      <c r="T67" s="87">
        <f t="shared" si="267"/>
        <v>6</v>
      </c>
      <c r="U67" s="87">
        <f t="shared" si="267"/>
        <v>69</v>
      </c>
      <c r="V67" s="87">
        <f t="shared" si="267"/>
        <v>2</v>
      </c>
      <c r="W67" s="87">
        <f t="shared" si="267"/>
        <v>9</v>
      </c>
      <c r="X67" s="87">
        <f t="shared" si="267"/>
        <v>56</v>
      </c>
      <c r="Y67" s="87">
        <f t="shared" si="267"/>
        <v>0</v>
      </c>
      <c r="Z67" s="87">
        <f t="shared" si="267"/>
        <v>2</v>
      </c>
      <c r="AA67" s="87">
        <f t="shared" si="267"/>
        <v>2</v>
      </c>
      <c r="AB67" s="87">
        <f t="shared" si="267"/>
        <v>0</v>
      </c>
      <c r="AC67" s="87">
        <f t="shared" si="267"/>
        <v>30</v>
      </c>
      <c r="AD67" s="87">
        <f t="shared" si="267"/>
        <v>43</v>
      </c>
      <c r="AE67" s="87">
        <f t="shared" si="267"/>
        <v>2</v>
      </c>
      <c r="AF67" s="87">
        <f t="shared" si="267"/>
        <v>25</v>
      </c>
      <c r="AG67" s="87">
        <f t="shared" si="267"/>
        <v>13</v>
      </c>
      <c r="AH67" s="87">
        <f t="shared" si="267"/>
        <v>1</v>
      </c>
      <c r="AI67" s="87">
        <f t="shared" si="267"/>
        <v>0</v>
      </c>
      <c r="AJ67" s="87">
        <f t="shared" si="267"/>
        <v>0</v>
      </c>
      <c r="AK67" s="87">
        <f t="shared" si="267"/>
        <v>0</v>
      </c>
      <c r="AL67" s="83">
        <f>Q67+T67+W67+Z67+AC67+AF67+AI67</f>
        <v>72</v>
      </c>
      <c r="AM67" s="83">
        <f>R67+U67+X67+AA67+AD67+AG67+AJ67</f>
        <v>183</v>
      </c>
      <c r="AN67" s="83">
        <f>AL67+AM67</f>
        <v>255</v>
      </c>
      <c r="AO67" s="83">
        <f>S67+V67+Y67+AB67+AE67+AH67+AK67</f>
        <v>5</v>
      </c>
      <c r="AP67" s="190">
        <f t="shared" si="255"/>
        <v>2.8089887640449436</v>
      </c>
      <c r="AQ67" s="190">
        <f t="shared" si="256"/>
        <v>2.8089887640449436</v>
      </c>
      <c r="AR67" s="190">
        <f t="shared" si="257"/>
        <v>1.9607843137254901</v>
      </c>
      <c r="AS67" s="85">
        <f t="shared" si="258"/>
        <v>28.235294117647058</v>
      </c>
      <c r="AT67" s="85">
        <f t="shared" si="259"/>
        <v>71.764705882352942</v>
      </c>
      <c r="AU67" s="85">
        <f t="shared" ref="AU67" si="268">S67/AO67*100</f>
        <v>0</v>
      </c>
      <c r="AV67" s="85">
        <f t="shared" ref="AV67" si="269">V67/AO67*100</f>
        <v>40</v>
      </c>
      <c r="AW67" s="85">
        <f t="shared" ref="AW67" si="270">Y67/AO67*100</f>
        <v>0</v>
      </c>
      <c r="AX67" s="85">
        <f t="shared" ref="AX67" si="271">AB67/AO67*100</f>
        <v>0</v>
      </c>
      <c r="AY67" s="85">
        <f t="shared" ref="AY67" si="272">AE67/AO67*100</f>
        <v>40</v>
      </c>
      <c r="AZ67" s="85">
        <f t="shared" ref="AZ67" si="273">AH67/AO67*100</f>
        <v>20</v>
      </c>
      <c r="BA67" s="85">
        <f t="shared" ref="BA67" si="274">AK67/AO67*100</f>
        <v>0</v>
      </c>
    </row>
    <row r="68" spans="1:53" s="65" customFormat="1" ht="20.25" customHeight="1">
      <c r="A68" s="64" t="s">
        <v>38</v>
      </c>
      <c r="B68" s="70" t="s">
        <v>38</v>
      </c>
      <c r="C68" s="70">
        <f>C12+C27+C34+C41+C53+C60+C67</f>
        <v>60</v>
      </c>
      <c r="D68" s="70">
        <f>D12+D27+D34+D41+D53+D60+D67</f>
        <v>6616</v>
      </c>
      <c r="E68" s="84">
        <f>MIN(E12:E41)</f>
        <v>45672</v>
      </c>
      <c r="F68" s="84">
        <f>MAX(F12:F67)</f>
        <v>46022</v>
      </c>
      <c r="G68" s="71">
        <f>G12+G27+G34+G41+G53+G60+G67</f>
        <v>2006</v>
      </c>
      <c r="H68" s="71">
        <f t="shared" ref="H68:AK68" si="275">H12+H27+H34+H41+H53+H60+H67</f>
        <v>0</v>
      </c>
      <c r="I68" s="71">
        <f t="shared" si="275"/>
        <v>2006</v>
      </c>
      <c r="J68" s="71">
        <f t="shared" si="275"/>
        <v>22</v>
      </c>
      <c r="K68" s="71">
        <f t="shared" si="275"/>
        <v>0</v>
      </c>
      <c r="L68" s="71">
        <f t="shared" si="275"/>
        <v>2028</v>
      </c>
      <c r="M68" s="71">
        <f t="shared" si="275"/>
        <v>0</v>
      </c>
      <c r="N68" s="71">
        <f t="shared" si="275"/>
        <v>0</v>
      </c>
      <c r="O68" s="71">
        <f t="shared" si="275"/>
        <v>1531</v>
      </c>
      <c r="P68" s="71">
        <f t="shared" si="275"/>
        <v>47</v>
      </c>
      <c r="Q68" s="71">
        <f t="shared" si="275"/>
        <v>1</v>
      </c>
      <c r="R68" s="71">
        <f t="shared" si="275"/>
        <v>8</v>
      </c>
      <c r="S68" s="71">
        <f t="shared" si="275"/>
        <v>1</v>
      </c>
      <c r="T68" s="71">
        <f t="shared" si="275"/>
        <v>96</v>
      </c>
      <c r="U68" s="71">
        <f t="shared" si="275"/>
        <v>329</v>
      </c>
      <c r="V68" s="71">
        <f t="shared" si="275"/>
        <v>19</v>
      </c>
      <c r="W68" s="71">
        <f t="shared" si="275"/>
        <v>645</v>
      </c>
      <c r="X68" s="71">
        <f t="shared" si="275"/>
        <v>648</v>
      </c>
      <c r="Y68" s="71">
        <f t="shared" si="275"/>
        <v>9</v>
      </c>
      <c r="Z68" s="71">
        <f t="shared" si="275"/>
        <v>4</v>
      </c>
      <c r="AA68" s="71">
        <f t="shared" si="275"/>
        <v>12</v>
      </c>
      <c r="AB68" s="71">
        <f t="shared" si="275"/>
        <v>0</v>
      </c>
      <c r="AC68" s="71">
        <f t="shared" si="275"/>
        <v>477</v>
      </c>
      <c r="AD68" s="71">
        <f t="shared" si="275"/>
        <v>293</v>
      </c>
      <c r="AE68" s="71">
        <f t="shared" si="275"/>
        <v>16</v>
      </c>
      <c r="AF68" s="71">
        <f t="shared" si="275"/>
        <v>260</v>
      </c>
      <c r="AG68" s="71">
        <f t="shared" si="275"/>
        <v>149</v>
      </c>
      <c r="AH68" s="71">
        <f t="shared" si="275"/>
        <v>2</v>
      </c>
      <c r="AI68" s="71">
        <f t="shared" si="275"/>
        <v>2</v>
      </c>
      <c r="AJ68" s="71">
        <f t="shared" si="275"/>
        <v>14</v>
      </c>
      <c r="AK68" s="71">
        <f t="shared" si="275"/>
        <v>4</v>
      </c>
      <c r="AL68" s="71">
        <f>Q68+T68+W68+Z68+AC68+AF68+AI68</f>
        <v>1485</v>
      </c>
      <c r="AM68" s="71">
        <f>R68+U68+X68+AA68+AD68+AG68+AJ68</f>
        <v>1453</v>
      </c>
      <c r="AN68" s="71">
        <f>AL68+AM68</f>
        <v>2938</v>
      </c>
      <c r="AO68" s="71">
        <f>S68+V68+Y68+AB68+AE68+AH68+AK68</f>
        <v>51</v>
      </c>
      <c r="AP68" s="183">
        <f>P68/I68*100</f>
        <v>2.3429710867397806</v>
      </c>
      <c r="AQ68" s="183">
        <f t="shared" si="101"/>
        <v>2.5423728813559325</v>
      </c>
      <c r="AR68" s="183">
        <f>AO68/AN68*100</f>
        <v>1.7358747447243021</v>
      </c>
      <c r="AS68" s="69">
        <f t="shared" si="103"/>
        <v>50.544588155207627</v>
      </c>
      <c r="AT68" s="69">
        <f t="shared" si="104"/>
        <v>49.455411844792373</v>
      </c>
      <c r="AU68" s="85">
        <f t="shared" ref="AU68" si="276">S68/AO68*100</f>
        <v>1.9607843137254901</v>
      </c>
      <c r="AV68" s="85">
        <f t="shared" ref="AV68" si="277">V68/AO68*100</f>
        <v>37.254901960784316</v>
      </c>
      <c r="AW68" s="85">
        <f t="shared" ref="AW68" si="278">Y68/AO68*100</f>
        <v>17.647058823529413</v>
      </c>
      <c r="AX68" s="85">
        <f t="shared" si="47"/>
        <v>0</v>
      </c>
      <c r="AY68" s="85">
        <f t="shared" ref="AY68" si="279">AE68/AO68*100</f>
        <v>31.372549019607842</v>
      </c>
      <c r="AZ68" s="85">
        <f t="shared" ref="AZ68" si="280">AH68/AO68*100</f>
        <v>3.9215686274509802</v>
      </c>
      <c r="BA68" s="85">
        <f t="shared" ref="BA68" si="281">AK68/AO68*100</f>
        <v>7.8431372549019605</v>
      </c>
    </row>
    <row r="69" spans="1:53" s="132" customFormat="1">
      <c r="A69" s="318" t="s">
        <v>52</v>
      </c>
      <c r="B69" s="324"/>
      <c r="C69" s="319"/>
      <c r="D69" s="320"/>
      <c r="E69" s="319"/>
      <c r="F69" s="319"/>
      <c r="G69" s="320"/>
      <c r="H69" s="319"/>
      <c r="I69" s="319"/>
      <c r="J69" s="319"/>
      <c r="K69" s="319"/>
      <c r="L69" s="319"/>
      <c r="M69" s="319"/>
      <c r="N69" s="319"/>
      <c r="O69" s="320"/>
      <c r="P69" s="320"/>
      <c r="Q69" s="319"/>
      <c r="R69" s="319"/>
      <c r="S69" s="319"/>
      <c r="T69" s="319"/>
      <c r="U69" s="320"/>
      <c r="V69" s="319"/>
      <c r="W69" s="319"/>
      <c r="X69" s="320"/>
      <c r="Y69" s="319"/>
      <c r="Z69" s="319"/>
      <c r="AA69" s="319"/>
      <c r="AB69" s="319"/>
      <c r="AC69" s="320"/>
      <c r="AD69" s="320"/>
      <c r="AE69" s="319"/>
      <c r="AF69" s="320"/>
      <c r="AG69" s="319"/>
      <c r="AH69" s="319"/>
      <c r="AI69" s="319"/>
      <c r="AJ69" s="319"/>
      <c r="AK69" s="319"/>
      <c r="AL69" s="319"/>
      <c r="AM69" s="319"/>
      <c r="AN69" s="319"/>
      <c r="AO69" s="319"/>
      <c r="AP69" s="321"/>
      <c r="AQ69" s="321"/>
      <c r="AR69" s="321"/>
      <c r="AS69" s="322"/>
      <c r="AT69" s="322"/>
      <c r="AU69" s="323"/>
      <c r="AV69" s="323"/>
      <c r="AW69" s="323"/>
      <c r="AX69" s="323"/>
      <c r="AY69" s="323"/>
      <c r="AZ69" s="323"/>
      <c r="BA69" s="323"/>
    </row>
  </sheetData>
  <mergeCells count="58">
    <mergeCell ref="B61:B66"/>
    <mergeCell ref="A1:AQ1"/>
    <mergeCell ref="Q3:V3"/>
    <mergeCell ref="W3:Y3"/>
    <mergeCell ref="Z3:AB3"/>
    <mergeCell ref="AC3:AH3"/>
    <mergeCell ref="AI3:AK3"/>
    <mergeCell ref="AL3:AO3"/>
    <mergeCell ref="AP3:AT3"/>
    <mergeCell ref="M3:N3"/>
    <mergeCell ref="O3:P3"/>
    <mergeCell ref="A3:A5"/>
    <mergeCell ref="D3:D5"/>
    <mergeCell ref="E3:F3"/>
    <mergeCell ref="C3:C5"/>
    <mergeCell ref="G3:K3"/>
    <mergeCell ref="AY4:AY5"/>
    <mergeCell ref="O4:O5"/>
    <mergeCell ref="P4:P5"/>
    <mergeCell ref="E4:E5"/>
    <mergeCell ref="I4:I5"/>
    <mergeCell ref="F4:F5"/>
    <mergeCell ref="K4:K5"/>
    <mergeCell ref="G4:H4"/>
    <mergeCell ref="J4:J5"/>
    <mergeCell ref="AV4:AV5"/>
    <mergeCell ref="AN4:AN5"/>
    <mergeCell ref="AO4:AO5"/>
    <mergeCell ref="AS4:AT4"/>
    <mergeCell ref="AM4:AM5"/>
    <mergeCell ref="AU4:AU5"/>
    <mergeCell ref="AP4:AR4"/>
    <mergeCell ref="B54:B59"/>
    <mergeCell ref="B47:B52"/>
    <mergeCell ref="B28:B33"/>
    <mergeCell ref="A12:A26"/>
    <mergeCell ref="B3:B5"/>
    <mergeCell ref="B6:B11"/>
    <mergeCell ref="B35:B40"/>
    <mergeCell ref="B23:B24"/>
    <mergeCell ref="A29:A33"/>
    <mergeCell ref="B13:B22"/>
    <mergeCell ref="BA4:BA5"/>
    <mergeCell ref="N4:N5"/>
    <mergeCell ref="L3:L5"/>
    <mergeCell ref="AU3:BA3"/>
    <mergeCell ref="Q4:S4"/>
    <mergeCell ref="T4:V4"/>
    <mergeCell ref="W4:Y4"/>
    <mergeCell ref="Z4:AB4"/>
    <mergeCell ref="AC4:AE4"/>
    <mergeCell ref="AF4:AH4"/>
    <mergeCell ref="AI4:AK4"/>
    <mergeCell ref="AL4:AL5"/>
    <mergeCell ref="AZ4:AZ5"/>
    <mergeCell ref="AW4:AW5"/>
    <mergeCell ref="AX4:AX5"/>
    <mergeCell ref="M4:M5"/>
  </mergeCells>
  <pageMargins left="0.7" right="0.7" top="0.75" bottom="0.75" header="0.3" footer="0.3"/>
  <ignoredErrors>
    <ignoredError sqref="F27" formulaRang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Z30"/>
  <sheetViews>
    <sheetView zoomScale="89" zoomScaleNormal="89" workbookViewId="0">
      <pane xSplit="3" ySplit="5" topLeftCell="D40" activePane="bottomRight" state="frozen"/>
      <selection activeCell="C20" sqref="C20"/>
      <selection pane="topRight" activeCell="C20" sqref="C20"/>
      <selection pane="bottomLeft" activeCell="C20" sqref="C20"/>
      <selection pane="bottomRight" activeCell="AT28" sqref="AT28"/>
    </sheetView>
  </sheetViews>
  <sheetFormatPr baseColWidth="10" defaultRowHeight="12.75"/>
  <cols>
    <col min="1" max="1" width="22.5703125" customWidth="1"/>
    <col min="2" max="2" width="29.85546875" customWidth="1"/>
    <col min="3" max="3" width="10.85546875" style="43" customWidth="1"/>
    <col min="4" max="5" width="12.7109375" customWidth="1"/>
    <col min="6" max="6" width="8.140625" customWidth="1"/>
    <col min="7" max="7" width="6.5703125" customWidth="1"/>
    <col min="8" max="8" width="8.42578125" customWidth="1"/>
    <col min="9" max="9" width="5.5703125" customWidth="1"/>
    <col min="10" max="10" width="5.85546875" customWidth="1"/>
    <col min="11" max="11" width="8" customWidth="1"/>
    <col min="12" max="13" width="5.5703125" customWidth="1"/>
    <col min="14" max="14" width="8.7109375" customWidth="1"/>
    <col min="15" max="19" width="6.85546875" customWidth="1"/>
    <col min="20" max="21" width="5.5703125" customWidth="1"/>
    <col min="22" max="22" width="6.42578125" customWidth="1"/>
    <col min="23" max="23" width="6.140625" customWidth="1"/>
    <col min="24" max="25" width="5.5703125" customWidth="1"/>
    <col min="26" max="26" width="6.140625" customWidth="1"/>
    <col min="27" max="29" width="5.5703125" customWidth="1"/>
    <col min="30" max="30" width="6.140625" customWidth="1"/>
    <col min="31" max="31" width="5.5703125" customWidth="1"/>
    <col min="32" max="32" width="6.28515625" customWidth="1"/>
    <col min="33" max="36" width="5.5703125" customWidth="1"/>
    <col min="37" max="40" width="8.42578125" customWidth="1"/>
    <col min="41" max="43" width="9.85546875" style="5" customWidth="1"/>
    <col min="44" max="45" width="9.7109375" style="46" customWidth="1"/>
    <col min="46" max="47" width="7.7109375" style="46" customWidth="1"/>
    <col min="48" max="48" width="8" style="46" customWidth="1"/>
    <col min="49" max="49" width="8.140625" style="46" customWidth="1"/>
    <col min="50" max="52" width="7.85546875" style="46" customWidth="1"/>
  </cols>
  <sheetData>
    <row r="1" spans="1:52" ht="44.25" customHeight="1">
      <c r="A1" s="326" t="s">
        <v>180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  <c r="AO1" s="326"/>
      <c r="AP1" s="326"/>
      <c r="AQ1" s="179"/>
      <c r="AR1" s="48"/>
      <c r="AS1" s="48"/>
    </row>
    <row r="2" spans="1:5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80"/>
      <c r="AP2" s="180"/>
      <c r="AQ2" s="180"/>
      <c r="AR2" s="49"/>
      <c r="AS2" s="49"/>
    </row>
    <row r="3" spans="1:52" s="11" customFormat="1" ht="51" customHeight="1">
      <c r="A3" s="327" t="s">
        <v>46</v>
      </c>
      <c r="B3" s="328" t="s">
        <v>47</v>
      </c>
      <c r="C3" s="329" t="s">
        <v>76</v>
      </c>
      <c r="D3" s="327" t="s">
        <v>0</v>
      </c>
      <c r="E3" s="327"/>
      <c r="F3" s="327" t="s">
        <v>4</v>
      </c>
      <c r="G3" s="327"/>
      <c r="H3" s="327"/>
      <c r="I3" s="327"/>
      <c r="J3" s="327"/>
      <c r="K3" s="332" t="s">
        <v>3</v>
      </c>
      <c r="L3" s="333" t="s">
        <v>8</v>
      </c>
      <c r="M3" s="333"/>
      <c r="N3" s="334" t="s">
        <v>71</v>
      </c>
      <c r="O3" s="334"/>
      <c r="P3" s="335" t="s">
        <v>60</v>
      </c>
      <c r="Q3" s="336"/>
      <c r="R3" s="336"/>
      <c r="S3" s="336"/>
      <c r="T3" s="336"/>
      <c r="U3" s="337"/>
      <c r="V3" s="335" t="s">
        <v>57</v>
      </c>
      <c r="W3" s="336"/>
      <c r="X3" s="337"/>
      <c r="Y3" s="335" t="s">
        <v>58</v>
      </c>
      <c r="Z3" s="336"/>
      <c r="AA3" s="337"/>
      <c r="AB3" s="348" t="s">
        <v>56</v>
      </c>
      <c r="AC3" s="349"/>
      <c r="AD3" s="349"/>
      <c r="AE3" s="349"/>
      <c r="AF3" s="349"/>
      <c r="AG3" s="350"/>
      <c r="AH3" s="335" t="s">
        <v>59</v>
      </c>
      <c r="AI3" s="336"/>
      <c r="AJ3" s="337"/>
      <c r="AK3" s="335" t="s">
        <v>2</v>
      </c>
      <c r="AL3" s="336"/>
      <c r="AM3" s="336"/>
      <c r="AN3" s="337"/>
      <c r="AO3" s="351" t="s">
        <v>90</v>
      </c>
      <c r="AP3" s="352"/>
      <c r="AQ3" s="352"/>
      <c r="AR3" s="352"/>
      <c r="AS3" s="353"/>
      <c r="AT3" s="344" t="s">
        <v>89</v>
      </c>
      <c r="AU3" s="344"/>
      <c r="AV3" s="344"/>
      <c r="AW3" s="344"/>
      <c r="AX3" s="344"/>
      <c r="AY3" s="344"/>
      <c r="AZ3" s="344"/>
    </row>
    <row r="4" spans="1:52" s="11" customFormat="1" ht="23.25" customHeight="1">
      <c r="A4" s="327"/>
      <c r="B4" s="328"/>
      <c r="C4" s="330"/>
      <c r="D4" s="327" t="s">
        <v>10</v>
      </c>
      <c r="E4" s="327" t="s">
        <v>9</v>
      </c>
      <c r="F4" s="345" t="s">
        <v>5</v>
      </c>
      <c r="G4" s="345"/>
      <c r="H4" s="346" t="s">
        <v>2</v>
      </c>
      <c r="I4" s="346" t="s">
        <v>13</v>
      </c>
      <c r="J4" s="346" t="s">
        <v>14</v>
      </c>
      <c r="K4" s="332"/>
      <c r="L4" s="347" t="s">
        <v>7</v>
      </c>
      <c r="M4" s="340" t="s">
        <v>6</v>
      </c>
      <c r="N4" s="347" t="s">
        <v>1</v>
      </c>
      <c r="O4" s="340" t="s">
        <v>6</v>
      </c>
      <c r="P4" s="335" t="s">
        <v>34</v>
      </c>
      <c r="Q4" s="336"/>
      <c r="R4" s="337"/>
      <c r="S4" s="341" t="s">
        <v>35</v>
      </c>
      <c r="T4" s="342"/>
      <c r="U4" s="343"/>
      <c r="V4" s="335" t="s">
        <v>31</v>
      </c>
      <c r="W4" s="336"/>
      <c r="X4" s="337"/>
      <c r="Y4" s="335" t="s">
        <v>32</v>
      </c>
      <c r="Z4" s="336"/>
      <c r="AA4" s="337"/>
      <c r="AB4" s="354" t="s">
        <v>36</v>
      </c>
      <c r="AC4" s="355"/>
      <c r="AD4" s="356"/>
      <c r="AE4" s="335" t="s">
        <v>37</v>
      </c>
      <c r="AF4" s="336"/>
      <c r="AG4" s="337"/>
      <c r="AH4" s="335" t="s">
        <v>33</v>
      </c>
      <c r="AI4" s="336"/>
      <c r="AJ4" s="337"/>
      <c r="AK4" s="357" t="s">
        <v>84</v>
      </c>
      <c r="AL4" s="357" t="s">
        <v>85</v>
      </c>
      <c r="AM4" s="357" t="s">
        <v>86</v>
      </c>
      <c r="AN4" s="338" t="s">
        <v>87</v>
      </c>
      <c r="AO4" s="360" t="s">
        <v>91</v>
      </c>
      <c r="AP4" s="361"/>
      <c r="AQ4" s="362"/>
      <c r="AR4" s="363" t="s">
        <v>92</v>
      </c>
      <c r="AS4" s="364"/>
      <c r="AT4" s="425" t="s">
        <v>97</v>
      </c>
      <c r="AU4" s="425" t="s">
        <v>88</v>
      </c>
      <c r="AV4" s="425" t="s">
        <v>80</v>
      </c>
      <c r="AW4" s="425" t="s">
        <v>81</v>
      </c>
      <c r="AX4" s="425" t="s">
        <v>294</v>
      </c>
      <c r="AY4" s="425" t="s">
        <v>82</v>
      </c>
      <c r="AZ4" s="425" t="s">
        <v>83</v>
      </c>
    </row>
    <row r="5" spans="1:52" s="11" customFormat="1" ht="57" customHeight="1">
      <c r="A5" s="327"/>
      <c r="B5" s="328"/>
      <c r="C5" s="331"/>
      <c r="D5" s="327"/>
      <c r="E5" s="327"/>
      <c r="F5" s="12" t="s">
        <v>11</v>
      </c>
      <c r="G5" s="12" t="s">
        <v>12</v>
      </c>
      <c r="H5" s="346"/>
      <c r="I5" s="346"/>
      <c r="J5" s="346"/>
      <c r="K5" s="332"/>
      <c r="L5" s="347"/>
      <c r="M5" s="340"/>
      <c r="N5" s="347"/>
      <c r="O5" s="340"/>
      <c r="P5" s="41" t="s">
        <v>77</v>
      </c>
      <c r="Q5" s="41" t="s">
        <v>78</v>
      </c>
      <c r="R5" s="45" t="s">
        <v>79</v>
      </c>
      <c r="S5" s="41" t="s">
        <v>77</v>
      </c>
      <c r="T5" s="41" t="s">
        <v>78</v>
      </c>
      <c r="U5" s="45" t="s">
        <v>79</v>
      </c>
      <c r="V5" s="41" t="s">
        <v>77</v>
      </c>
      <c r="W5" s="41" t="s">
        <v>78</v>
      </c>
      <c r="X5" s="45" t="s">
        <v>79</v>
      </c>
      <c r="Y5" s="41" t="s">
        <v>77</v>
      </c>
      <c r="Z5" s="41" t="s">
        <v>78</v>
      </c>
      <c r="AA5" s="45" t="s">
        <v>79</v>
      </c>
      <c r="AB5" s="41" t="s">
        <v>77</v>
      </c>
      <c r="AC5" s="41" t="s">
        <v>78</v>
      </c>
      <c r="AD5" s="45" t="s">
        <v>79</v>
      </c>
      <c r="AE5" s="41" t="s">
        <v>77</v>
      </c>
      <c r="AF5" s="41" t="s">
        <v>78</v>
      </c>
      <c r="AG5" s="45" t="s">
        <v>79</v>
      </c>
      <c r="AH5" s="41" t="s">
        <v>77</v>
      </c>
      <c r="AI5" s="41" t="s">
        <v>78</v>
      </c>
      <c r="AJ5" s="45" t="s">
        <v>79</v>
      </c>
      <c r="AK5" s="358"/>
      <c r="AL5" s="358"/>
      <c r="AM5" s="358"/>
      <c r="AN5" s="339"/>
      <c r="AO5" s="187" t="s">
        <v>93</v>
      </c>
      <c r="AP5" s="187" t="s">
        <v>94</v>
      </c>
      <c r="AQ5" s="187" t="s">
        <v>98</v>
      </c>
      <c r="AR5" s="50" t="s">
        <v>95</v>
      </c>
      <c r="AS5" s="50" t="s">
        <v>96</v>
      </c>
      <c r="AT5" s="425"/>
      <c r="AU5" s="425"/>
      <c r="AV5" s="425"/>
      <c r="AW5" s="425"/>
      <c r="AX5" s="425"/>
      <c r="AY5" s="425"/>
      <c r="AZ5" s="425"/>
    </row>
    <row r="6" spans="1:52" s="11" customFormat="1" ht="24.75" customHeight="1">
      <c r="A6" s="393" t="s">
        <v>145</v>
      </c>
      <c r="B6" s="75" t="s">
        <v>49</v>
      </c>
      <c r="C6" s="130">
        <f>SUM(C7:C8)</f>
        <v>774</v>
      </c>
      <c r="D6" s="89">
        <f>MIN(D7:D8)</f>
        <v>45663</v>
      </c>
      <c r="E6" s="89">
        <f>MAX(E7:E8)</f>
        <v>45688</v>
      </c>
      <c r="F6" s="77">
        <f>SUM(F7:F8)</f>
        <v>262</v>
      </c>
      <c r="G6" s="77">
        <f>SUM(G7:G8)</f>
        <v>0</v>
      </c>
      <c r="H6" s="77">
        <f>SUM(H7:H8)</f>
        <v>262</v>
      </c>
      <c r="I6" s="77">
        <f t="shared" ref="I6:AJ6" si="0">SUM(I7:I8)</f>
        <v>38</v>
      </c>
      <c r="J6" s="77">
        <f t="shared" si="0"/>
        <v>0</v>
      </c>
      <c r="K6" s="77">
        <f t="shared" si="0"/>
        <v>300</v>
      </c>
      <c r="L6" s="77">
        <f t="shared" si="0"/>
        <v>0</v>
      </c>
      <c r="M6" s="77">
        <f t="shared" si="0"/>
        <v>0</v>
      </c>
      <c r="N6" s="77">
        <f t="shared" si="0"/>
        <v>0</v>
      </c>
      <c r="O6" s="77">
        <f>SUM(O7:O8)</f>
        <v>61</v>
      </c>
      <c r="P6" s="77">
        <f t="shared" si="0"/>
        <v>0</v>
      </c>
      <c r="Q6" s="77">
        <f t="shared" si="0"/>
        <v>44</v>
      </c>
      <c r="R6" s="77">
        <f>SUM(R7:R8)</f>
        <v>2</v>
      </c>
      <c r="S6" s="77">
        <f t="shared" si="0"/>
        <v>0</v>
      </c>
      <c r="T6" s="77">
        <f t="shared" si="0"/>
        <v>109</v>
      </c>
      <c r="U6" s="77">
        <f t="shared" si="0"/>
        <v>19</v>
      </c>
      <c r="V6" s="77">
        <f t="shared" si="0"/>
        <v>406</v>
      </c>
      <c r="W6" s="77">
        <f t="shared" si="0"/>
        <v>248</v>
      </c>
      <c r="X6" s="77">
        <f t="shared" si="0"/>
        <v>39</v>
      </c>
      <c r="Y6" s="77">
        <f t="shared" si="0"/>
        <v>111</v>
      </c>
      <c r="Z6" s="77">
        <f t="shared" si="0"/>
        <v>192</v>
      </c>
      <c r="AA6" s="77">
        <f>SUM(AA7:AA8)</f>
        <v>10</v>
      </c>
      <c r="AB6" s="77">
        <f t="shared" si="0"/>
        <v>4</v>
      </c>
      <c r="AC6" s="77">
        <f t="shared" si="0"/>
        <v>68</v>
      </c>
      <c r="AD6" s="77">
        <f>SUM(AD7:AD8)</f>
        <v>27</v>
      </c>
      <c r="AE6" s="77">
        <f t="shared" si="0"/>
        <v>28</v>
      </c>
      <c r="AF6" s="77">
        <f t="shared" si="0"/>
        <v>0</v>
      </c>
      <c r="AG6" s="77">
        <f>SUM(AG7:AG8)</f>
        <v>0</v>
      </c>
      <c r="AH6" s="77">
        <f t="shared" si="0"/>
        <v>0</v>
      </c>
      <c r="AI6" s="77">
        <f t="shared" si="0"/>
        <v>0</v>
      </c>
      <c r="AJ6" s="77">
        <f t="shared" si="0"/>
        <v>0</v>
      </c>
      <c r="AK6" s="77">
        <f>P6+S6+V6+Y6+AB6+AE6+AH6</f>
        <v>549</v>
      </c>
      <c r="AL6" s="77">
        <f>Q6+T6+W6+Z6+AC6+AF6+AI6</f>
        <v>661</v>
      </c>
      <c r="AM6" s="77">
        <f>AK6+AL6</f>
        <v>1210</v>
      </c>
      <c r="AN6" s="77">
        <f>R6+U6+X6+AA6+AD6+AG6+AJ6</f>
        <v>97</v>
      </c>
      <c r="AO6" s="188">
        <f t="shared" ref="AO6" si="1">O6/H6*100</f>
        <v>23.282442748091604</v>
      </c>
      <c r="AP6" s="188">
        <f t="shared" ref="AP6" si="2">AN6/H6*100</f>
        <v>37.022900763358777</v>
      </c>
      <c r="AQ6" s="188">
        <f>AN6/AM6*100</f>
        <v>8.0165289256198342</v>
      </c>
      <c r="AR6" s="88">
        <f>AK6/AM6*100</f>
        <v>45.371900826446279</v>
      </c>
      <c r="AS6" s="88">
        <f>AL6/AM6*100</f>
        <v>54.628099173553721</v>
      </c>
      <c r="AT6" s="80">
        <f t="shared" ref="AT6" si="3">R6/AN6*100</f>
        <v>2.0618556701030926</v>
      </c>
      <c r="AU6" s="80">
        <f>U6/AN6*100</f>
        <v>19.587628865979383</v>
      </c>
      <c r="AV6" s="80">
        <f>X6/AN6*100</f>
        <v>40.206185567010309</v>
      </c>
      <c r="AW6" s="80">
        <f>AA6/AN6*100</f>
        <v>10.309278350515463</v>
      </c>
      <c r="AX6" s="80">
        <f>AD6/AN6*100</f>
        <v>27.835051546391753</v>
      </c>
      <c r="AY6" s="80">
        <f>AG6/AN6*100</f>
        <v>0</v>
      </c>
      <c r="AZ6" s="80">
        <f>AJ6/AN6*100</f>
        <v>0</v>
      </c>
    </row>
    <row r="7" spans="1:52" s="40" customFormat="1" ht="20.25" customHeight="1">
      <c r="A7" s="391"/>
      <c r="B7" s="42" t="s">
        <v>171</v>
      </c>
      <c r="C7" s="126">
        <v>262</v>
      </c>
      <c r="D7" s="107">
        <v>45663</v>
      </c>
      <c r="E7" s="107">
        <v>45673</v>
      </c>
      <c r="F7" s="38">
        <v>98</v>
      </c>
      <c r="G7" s="38">
        <v>0</v>
      </c>
      <c r="H7" s="38">
        <f>F7+G7</f>
        <v>98</v>
      </c>
      <c r="I7" s="38">
        <v>18</v>
      </c>
      <c r="J7" s="38">
        <v>0</v>
      </c>
      <c r="K7" s="38">
        <f>H7+I7+J7</f>
        <v>116</v>
      </c>
      <c r="L7" s="38">
        <v>0</v>
      </c>
      <c r="M7" s="38">
        <v>0</v>
      </c>
      <c r="N7" s="38">
        <v>0</v>
      </c>
      <c r="O7" s="38">
        <v>27</v>
      </c>
      <c r="P7" s="38">
        <v>0</v>
      </c>
      <c r="Q7" s="38">
        <v>23</v>
      </c>
      <c r="R7" s="38">
        <v>0</v>
      </c>
      <c r="S7" s="38">
        <v>0</v>
      </c>
      <c r="T7" s="38">
        <v>32</v>
      </c>
      <c r="U7" s="38">
        <v>4</v>
      </c>
      <c r="V7" s="38">
        <v>157</v>
      </c>
      <c r="W7" s="38">
        <v>83</v>
      </c>
      <c r="X7" s="38">
        <v>19</v>
      </c>
      <c r="Y7" s="38">
        <v>70</v>
      </c>
      <c r="Z7" s="38">
        <v>60</v>
      </c>
      <c r="AA7" s="38">
        <v>3</v>
      </c>
      <c r="AB7" s="38">
        <v>0</v>
      </c>
      <c r="AC7" s="38">
        <v>28</v>
      </c>
      <c r="AD7" s="38">
        <v>11</v>
      </c>
      <c r="AE7" s="38">
        <v>0</v>
      </c>
      <c r="AF7" s="38">
        <v>0</v>
      </c>
      <c r="AG7" s="38">
        <v>0</v>
      </c>
      <c r="AH7" s="38">
        <v>0</v>
      </c>
      <c r="AI7" s="38">
        <v>0</v>
      </c>
      <c r="AJ7" s="38">
        <v>0</v>
      </c>
      <c r="AK7" s="38">
        <f>P7+S7+V7+Y7+AB7+AE7+AH7</f>
        <v>227</v>
      </c>
      <c r="AL7" s="38">
        <f>Q7+T7+W7+Z7+AC7+AF7+AI7</f>
        <v>226</v>
      </c>
      <c r="AM7" s="38">
        <f>AK7+AL7</f>
        <v>453</v>
      </c>
      <c r="AN7" s="38">
        <f>R7+U7+X7+AA7+AD7+AG7+AJ7</f>
        <v>37</v>
      </c>
      <c r="AO7" s="189">
        <f t="shared" ref="AO7:AO12" si="4">O7/H7*100</f>
        <v>27.551020408163261</v>
      </c>
      <c r="AP7" s="189">
        <f t="shared" ref="AP7:AP12" si="5">AN7/H7*100</f>
        <v>37.755102040816325</v>
      </c>
      <c r="AQ7" s="189">
        <f>AN7/AM7*100</f>
        <v>8.1677704194260485</v>
      </c>
      <c r="AR7" s="81">
        <f>AK7/AM7*100</f>
        <v>50.110375275938189</v>
      </c>
      <c r="AS7" s="81">
        <f>AL7/AM7*100</f>
        <v>49.889624724061811</v>
      </c>
      <c r="AT7" s="54">
        <f t="shared" ref="AT7:AT8" si="6">R7/AN7*100</f>
        <v>0</v>
      </c>
      <c r="AU7" s="54">
        <f>U7/AN7*100</f>
        <v>10.810810810810811</v>
      </c>
      <c r="AV7" s="54">
        <f>X7/AN7*100</f>
        <v>51.351351351351347</v>
      </c>
      <c r="AW7" s="54">
        <f t="shared" ref="AW7:AW30" si="7">AA7/AN7*100</f>
        <v>8.1081081081081088</v>
      </c>
      <c r="AX7" s="54">
        <f>AD7/AN7*100</f>
        <v>29.72972972972973</v>
      </c>
      <c r="AY7" s="54">
        <f>AG7/AN7*100</f>
        <v>0</v>
      </c>
      <c r="AZ7" s="54">
        <f>AJ7/AN7*100</f>
        <v>0</v>
      </c>
    </row>
    <row r="8" spans="1:52" s="40" customFormat="1" ht="20.25" customHeight="1">
      <c r="A8" s="392"/>
      <c r="B8" s="42" t="s">
        <v>129</v>
      </c>
      <c r="C8" s="38">
        <v>512</v>
      </c>
      <c r="D8" s="107">
        <v>45674</v>
      </c>
      <c r="E8" s="107">
        <v>45688</v>
      </c>
      <c r="F8" s="38">
        <v>164</v>
      </c>
      <c r="G8" s="38">
        <v>0</v>
      </c>
      <c r="H8" s="38">
        <f>F8+G8</f>
        <v>164</v>
      </c>
      <c r="I8" s="38">
        <v>20</v>
      </c>
      <c r="J8" s="38">
        <v>0</v>
      </c>
      <c r="K8" s="38">
        <f>H8+I8+J8</f>
        <v>184</v>
      </c>
      <c r="L8" s="38">
        <v>0</v>
      </c>
      <c r="M8" s="38">
        <v>0</v>
      </c>
      <c r="N8" s="38">
        <v>0</v>
      </c>
      <c r="O8" s="38">
        <v>34</v>
      </c>
      <c r="P8" s="38">
        <v>0</v>
      </c>
      <c r="Q8" s="38">
        <v>21</v>
      </c>
      <c r="R8" s="38">
        <v>2</v>
      </c>
      <c r="S8" s="38">
        <v>0</v>
      </c>
      <c r="T8" s="38">
        <v>77</v>
      </c>
      <c r="U8" s="38">
        <v>15</v>
      </c>
      <c r="V8" s="38">
        <v>249</v>
      </c>
      <c r="W8" s="38">
        <v>165</v>
      </c>
      <c r="X8" s="38">
        <v>20</v>
      </c>
      <c r="Y8" s="38">
        <v>41</v>
      </c>
      <c r="Z8" s="38">
        <v>132</v>
      </c>
      <c r="AA8" s="38">
        <v>7</v>
      </c>
      <c r="AB8" s="38">
        <v>4</v>
      </c>
      <c r="AC8" s="38">
        <v>40</v>
      </c>
      <c r="AD8" s="38">
        <v>16</v>
      </c>
      <c r="AE8" s="38">
        <v>28</v>
      </c>
      <c r="AF8" s="38">
        <v>0</v>
      </c>
      <c r="AG8" s="38">
        <v>0</v>
      </c>
      <c r="AH8" s="38">
        <v>0</v>
      </c>
      <c r="AI8" s="38">
        <v>0</v>
      </c>
      <c r="AJ8" s="38">
        <v>0</v>
      </c>
      <c r="AK8" s="38">
        <f t="shared" ref="AK8:AK9" si="8">P8+S8+V8+Y8+AB8+AE8+AH8</f>
        <v>322</v>
      </c>
      <c r="AL8" s="38">
        <f t="shared" ref="AL8:AL9" si="9">Q8+T8+W8+Z8+AC8+AF8+AI8</f>
        <v>435</v>
      </c>
      <c r="AM8" s="38">
        <f t="shared" ref="AM8:AM9" si="10">AK8+AL8</f>
        <v>757</v>
      </c>
      <c r="AN8" s="38">
        <f t="shared" ref="AN8:AN9" si="11">R8+U8+X8+AA8+AD8+AG8+AJ8</f>
        <v>60</v>
      </c>
      <c r="AO8" s="189">
        <f t="shared" si="4"/>
        <v>20.73170731707317</v>
      </c>
      <c r="AP8" s="189">
        <f t="shared" si="5"/>
        <v>36.585365853658537</v>
      </c>
      <c r="AQ8" s="189">
        <f t="shared" ref="AQ8:AQ12" si="12">AN8/AM8*100</f>
        <v>7.9260237780713343</v>
      </c>
      <c r="AR8" s="81">
        <f t="shared" ref="AR8:AR12" si="13">AK8/AM8*100</f>
        <v>42.53632760898283</v>
      </c>
      <c r="AS8" s="81">
        <f t="shared" ref="AS8:AS12" si="14">AL8/AM8*100</f>
        <v>57.46367239101717</v>
      </c>
      <c r="AT8" s="54">
        <f t="shared" si="6"/>
        <v>3.3333333333333335</v>
      </c>
      <c r="AU8" s="54">
        <f t="shared" ref="AU8:AU12" si="15">U8/AN8*100</f>
        <v>25</v>
      </c>
      <c r="AV8" s="54">
        <f t="shared" ref="AV8:AV12" si="16">X8/AN8*100</f>
        <v>33.333333333333329</v>
      </c>
      <c r="AW8" s="54">
        <f t="shared" si="7"/>
        <v>11.666666666666666</v>
      </c>
      <c r="AX8" s="54">
        <f t="shared" ref="AX8:AX12" si="17">AD8/AN8*100</f>
        <v>26.666666666666668</v>
      </c>
      <c r="AY8" s="54">
        <f t="shared" ref="AY8:AY12" si="18">AG8/AN8*100</f>
        <v>0</v>
      </c>
      <c r="AZ8" s="54">
        <f t="shared" ref="AZ8:AZ12" si="19">AJ8/AN8*100</f>
        <v>0</v>
      </c>
    </row>
    <row r="9" spans="1:52" s="40" customFormat="1" ht="20.25" customHeight="1">
      <c r="A9" s="83" t="s">
        <v>62</v>
      </c>
      <c r="B9" s="83">
        <f>COUNTA(B7:B8)</f>
        <v>2</v>
      </c>
      <c r="C9" s="83">
        <f>C6</f>
        <v>774</v>
      </c>
      <c r="D9" s="84">
        <f>MIN(D7:D8)</f>
        <v>45663</v>
      </c>
      <c r="E9" s="84">
        <f>MAX(E7:E8)</f>
        <v>45688</v>
      </c>
      <c r="F9" s="83">
        <f>F6</f>
        <v>262</v>
      </c>
      <c r="G9" s="83">
        <f t="shared" ref="G9:AJ9" si="20">G6</f>
        <v>0</v>
      </c>
      <c r="H9" s="83">
        <f t="shared" si="20"/>
        <v>262</v>
      </c>
      <c r="I9" s="83">
        <f t="shared" si="20"/>
        <v>38</v>
      </c>
      <c r="J9" s="83">
        <f t="shared" si="20"/>
        <v>0</v>
      </c>
      <c r="K9" s="83">
        <f t="shared" si="20"/>
        <v>300</v>
      </c>
      <c r="L9" s="83">
        <f t="shared" si="20"/>
        <v>0</v>
      </c>
      <c r="M9" s="83">
        <f t="shared" si="20"/>
        <v>0</v>
      </c>
      <c r="N9" s="83">
        <f t="shared" si="20"/>
        <v>0</v>
      </c>
      <c r="O9" s="83">
        <f t="shared" si="20"/>
        <v>61</v>
      </c>
      <c r="P9" s="83">
        <f t="shared" si="20"/>
        <v>0</v>
      </c>
      <c r="Q9" s="83">
        <f t="shared" si="20"/>
        <v>44</v>
      </c>
      <c r="R9" s="83">
        <f t="shared" si="20"/>
        <v>2</v>
      </c>
      <c r="S9" s="83">
        <f t="shared" si="20"/>
        <v>0</v>
      </c>
      <c r="T9" s="83">
        <f t="shared" si="20"/>
        <v>109</v>
      </c>
      <c r="U9" s="83">
        <f t="shared" si="20"/>
        <v>19</v>
      </c>
      <c r="V9" s="83">
        <f t="shared" si="20"/>
        <v>406</v>
      </c>
      <c r="W9" s="83">
        <f t="shared" si="20"/>
        <v>248</v>
      </c>
      <c r="X9" s="83">
        <f t="shared" si="20"/>
        <v>39</v>
      </c>
      <c r="Y9" s="83">
        <f t="shared" si="20"/>
        <v>111</v>
      </c>
      <c r="Z9" s="83">
        <f t="shared" si="20"/>
        <v>192</v>
      </c>
      <c r="AA9" s="83">
        <f t="shared" si="20"/>
        <v>10</v>
      </c>
      <c r="AB9" s="83">
        <f t="shared" si="20"/>
        <v>4</v>
      </c>
      <c r="AC9" s="83">
        <f t="shared" si="20"/>
        <v>68</v>
      </c>
      <c r="AD9" s="83">
        <f t="shared" si="20"/>
        <v>27</v>
      </c>
      <c r="AE9" s="83">
        <f t="shared" si="20"/>
        <v>28</v>
      </c>
      <c r="AF9" s="83">
        <f t="shared" si="20"/>
        <v>0</v>
      </c>
      <c r="AG9" s="83">
        <f t="shared" si="20"/>
        <v>0</v>
      </c>
      <c r="AH9" s="83">
        <f t="shared" si="20"/>
        <v>0</v>
      </c>
      <c r="AI9" s="83">
        <f t="shared" si="20"/>
        <v>0</v>
      </c>
      <c r="AJ9" s="83">
        <f t="shared" si="20"/>
        <v>0</v>
      </c>
      <c r="AK9" s="83">
        <f t="shared" si="8"/>
        <v>549</v>
      </c>
      <c r="AL9" s="83">
        <f t="shared" si="9"/>
        <v>661</v>
      </c>
      <c r="AM9" s="83">
        <f t="shared" si="10"/>
        <v>1210</v>
      </c>
      <c r="AN9" s="83">
        <f t="shared" si="11"/>
        <v>97</v>
      </c>
      <c r="AO9" s="190">
        <f t="shared" si="4"/>
        <v>23.282442748091604</v>
      </c>
      <c r="AP9" s="190">
        <f t="shared" si="5"/>
        <v>37.022900763358777</v>
      </c>
      <c r="AQ9" s="190">
        <f t="shared" si="12"/>
        <v>8.0165289256198342</v>
      </c>
      <c r="AR9" s="85">
        <f t="shared" si="13"/>
        <v>45.371900826446279</v>
      </c>
      <c r="AS9" s="85">
        <f t="shared" si="14"/>
        <v>54.628099173553721</v>
      </c>
      <c r="AT9" s="61">
        <f t="shared" ref="AT9:AT12" si="21">R9/AN9*100</f>
        <v>2.0618556701030926</v>
      </c>
      <c r="AU9" s="61">
        <f t="shared" si="15"/>
        <v>19.587628865979383</v>
      </c>
      <c r="AV9" s="61">
        <f t="shared" si="16"/>
        <v>40.206185567010309</v>
      </c>
      <c r="AW9" s="61">
        <f t="shared" si="7"/>
        <v>10.309278350515463</v>
      </c>
      <c r="AX9" s="61">
        <f t="shared" si="17"/>
        <v>27.835051546391753</v>
      </c>
      <c r="AY9" s="61">
        <f t="shared" si="18"/>
        <v>0</v>
      </c>
      <c r="AZ9" s="61">
        <f t="shared" si="19"/>
        <v>0</v>
      </c>
    </row>
    <row r="10" spans="1:52" s="40" customFormat="1" ht="20.25" customHeight="1">
      <c r="A10" s="397" t="s">
        <v>145</v>
      </c>
      <c r="B10" s="77" t="s">
        <v>49</v>
      </c>
      <c r="C10" s="77">
        <f>SUM(C11:C12)</f>
        <v>589</v>
      </c>
      <c r="D10" s="91">
        <f>MIN(D11:D12)</f>
        <v>45692</v>
      </c>
      <c r="E10" s="91">
        <f>MAX(E11:E12)</f>
        <v>45701</v>
      </c>
      <c r="F10" s="77">
        <f>SUM(F11:F12)</f>
        <v>185</v>
      </c>
      <c r="G10" s="77">
        <f t="shared" ref="G10:AJ10" si="22">SUM(G11:G12)</f>
        <v>0</v>
      </c>
      <c r="H10" s="77">
        <f t="shared" si="22"/>
        <v>185</v>
      </c>
      <c r="I10" s="77">
        <f t="shared" si="22"/>
        <v>31</v>
      </c>
      <c r="J10" s="77">
        <f t="shared" si="22"/>
        <v>0</v>
      </c>
      <c r="K10" s="77">
        <f t="shared" si="22"/>
        <v>216</v>
      </c>
      <c r="L10" s="77">
        <f t="shared" si="22"/>
        <v>0</v>
      </c>
      <c r="M10" s="77">
        <f t="shared" si="22"/>
        <v>0</v>
      </c>
      <c r="N10" s="77">
        <f t="shared" si="22"/>
        <v>185</v>
      </c>
      <c r="O10" s="77">
        <f t="shared" si="22"/>
        <v>24</v>
      </c>
      <c r="P10" s="77">
        <f t="shared" si="22"/>
        <v>0</v>
      </c>
      <c r="Q10" s="77">
        <f t="shared" si="22"/>
        <v>12</v>
      </c>
      <c r="R10" s="77">
        <f t="shared" si="22"/>
        <v>2</v>
      </c>
      <c r="S10" s="77">
        <f t="shared" si="22"/>
        <v>0</v>
      </c>
      <c r="T10" s="77">
        <f t="shared" si="22"/>
        <v>89</v>
      </c>
      <c r="U10" s="77">
        <f t="shared" si="22"/>
        <v>7</v>
      </c>
      <c r="V10" s="77">
        <f t="shared" si="22"/>
        <v>294</v>
      </c>
      <c r="W10" s="77">
        <f t="shared" si="22"/>
        <v>121</v>
      </c>
      <c r="X10" s="77">
        <f t="shared" si="22"/>
        <v>10</v>
      </c>
      <c r="Y10" s="77">
        <f t="shared" si="22"/>
        <v>3</v>
      </c>
      <c r="Z10" s="77">
        <f t="shared" si="22"/>
        <v>28</v>
      </c>
      <c r="AA10" s="77">
        <f t="shared" si="22"/>
        <v>0</v>
      </c>
      <c r="AB10" s="77">
        <f t="shared" si="22"/>
        <v>25</v>
      </c>
      <c r="AC10" s="77">
        <f t="shared" si="22"/>
        <v>60</v>
      </c>
      <c r="AD10" s="77">
        <f t="shared" si="22"/>
        <v>15</v>
      </c>
      <c r="AE10" s="77">
        <f t="shared" si="22"/>
        <v>444</v>
      </c>
      <c r="AF10" s="77">
        <f t="shared" si="22"/>
        <v>0</v>
      </c>
      <c r="AG10" s="77">
        <f t="shared" si="22"/>
        <v>1</v>
      </c>
      <c r="AH10" s="77">
        <f t="shared" si="22"/>
        <v>0</v>
      </c>
      <c r="AI10" s="77">
        <f t="shared" si="22"/>
        <v>0</v>
      </c>
      <c r="AJ10" s="77">
        <f t="shared" si="22"/>
        <v>0</v>
      </c>
      <c r="AK10" s="77">
        <f t="shared" ref="AK10:AK17" si="23">P10+S10+V10+Y10+AB10+AE10+AH10</f>
        <v>766</v>
      </c>
      <c r="AL10" s="77">
        <f t="shared" ref="AL10:AL17" si="24">Q10+T10+W10+Z10+AC10+AF10+AI10</f>
        <v>310</v>
      </c>
      <c r="AM10" s="77">
        <f t="shared" ref="AM10:AM18" si="25">AK10+AL10</f>
        <v>1076</v>
      </c>
      <c r="AN10" s="77">
        <f t="shared" ref="AN10:AN17" si="26">R10+U10+X10+AA10+AD10+AG10+AJ10</f>
        <v>35</v>
      </c>
      <c r="AO10" s="188">
        <f t="shared" ref="AO10" si="27">O10/H10*100</f>
        <v>12.972972972972974</v>
      </c>
      <c r="AP10" s="188">
        <f t="shared" ref="AP10" si="28">AN10/H10*100</f>
        <v>18.918918918918919</v>
      </c>
      <c r="AQ10" s="188">
        <f t="shared" ref="AQ10" si="29">AN10/AM10*100</f>
        <v>3.2527881040892193</v>
      </c>
      <c r="AR10" s="88">
        <f t="shared" ref="AR10" si="30">AK10/AM10*100</f>
        <v>71.189591078066911</v>
      </c>
      <c r="AS10" s="88">
        <f t="shared" ref="AS10" si="31">AL10/AM10*100</f>
        <v>28.810408921933085</v>
      </c>
      <c r="AT10" s="80">
        <f t="shared" ref="AT10" si="32">R10/AN10*100</f>
        <v>5.7142857142857144</v>
      </c>
      <c r="AU10" s="80">
        <f t="shared" ref="AU10" si="33">U10/AN10*100</f>
        <v>20</v>
      </c>
      <c r="AV10" s="80">
        <f t="shared" ref="AV10" si="34">X10/AN10*100</f>
        <v>28.571428571428569</v>
      </c>
      <c r="AW10" s="80">
        <f t="shared" ref="AW10" si="35">AA10/AN10*100</f>
        <v>0</v>
      </c>
      <c r="AX10" s="80">
        <f t="shared" ref="AX10" si="36">AD10/AN10*100</f>
        <v>42.857142857142854</v>
      </c>
      <c r="AY10" s="80">
        <f t="shared" ref="AY10" si="37">AG10/AN10*100</f>
        <v>2.8571428571428572</v>
      </c>
      <c r="AZ10" s="80">
        <f t="shared" ref="AZ10" si="38">AJ10/AN10*100</f>
        <v>0</v>
      </c>
    </row>
    <row r="11" spans="1:52" s="63" customFormat="1" ht="20.25" customHeight="1">
      <c r="A11" s="397"/>
      <c r="B11" s="202" t="s">
        <v>201</v>
      </c>
      <c r="C11" s="140">
        <v>326</v>
      </c>
      <c r="D11" s="103">
        <v>45692</v>
      </c>
      <c r="E11" s="103">
        <v>45698</v>
      </c>
      <c r="F11" s="140">
        <v>107</v>
      </c>
      <c r="G11" s="140">
        <v>0</v>
      </c>
      <c r="H11" s="38">
        <f>F11+G11</f>
        <v>107</v>
      </c>
      <c r="I11" s="38">
        <v>15</v>
      </c>
      <c r="J11" s="139">
        <v>0</v>
      </c>
      <c r="K11" s="38">
        <f>H11+I11+J11</f>
        <v>122</v>
      </c>
      <c r="L11" s="38">
        <v>0</v>
      </c>
      <c r="M11" s="139">
        <v>0</v>
      </c>
      <c r="N11" s="139">
        <v>107</v>
      </c>
      <c r="O11" s="139">
        <v>18</v>
      </c>
      <c r="P11" s="139">
        <v>0</v>
      </c>
      <c r="Q11" s="139">
        <v>6</v>
      </c>
      <c r="R11" s="139">
        <v>1</v>
      </c>
      <c r="S11" s="139">
        <v>0</v>
      </c>
      <c r="T11" s="139">
        <v>45</v>
      </c>
      <c r="U11" s="139">
        <v>5</v>
      </c>
      <c r="V11" s="139">
        <v>152</v>
      </c>
      <c r="W11" s="139">
        <v>93</v>
      </c>
      <c r="X11" s="139">
        <v>6</v>
      </c>
      <c r="Y11" s="139">
        <v>0</v>
      </c>
      <c r="Z11" s="139">
        <v>10</v>
      </c>
      <c r="AA11" s="139">
        <v>0</v>
      </c>
      <c r="AB11" s="139">
        <v>25</v>
      </c>
      <c r="AC11" s="139">
        <v>37</v>
      </c>
      <c r="AD11" s="139">
        <v>14</v>
      </c>
      <c r="AE11" s="139">
        <v>179</v>
      </c>
      <c r="AF11" s="139">
        <v>0</v>
      </c>
      <c r="AG11" s="139">
        <v>0</v>
      </c>
      <c r="AH11" s="139">
        <v>0</v>
      </c>
      <c r="AI11" s="139">
        <v>0</v>
      </c>
      <c r="AJ11" s="139">
        <v>0</v>
      </c>
      <c r="AK11" s="140">
        <f t="shared" si="23"/>
        <v>356</v>
      </c>
      <c r="AL11" s="140">
        <f t="shared" si="24"/>
        <v>191</v>
      </c>
      <c r="AM11" s="140">
        <f t="shared" si="25"/>
        <v>547</v>
      </c>
      <c r="AN11" s="140">
        <f t="shared" si="26"/>
        <v>26</v>
      </c>
      <c r="AO11" s="189">
        <f t="shared" si="4"/>
        <v>16.822429906542055</v>
      </c>
      <c r="AP11" s="189">
        <f t="shared" si="5"/>
        <v>24.299065420560748</v>
      </c>
      <c r="AQ11" s="189">
        <f t="shared" si="12"/>
        <v>4.753199268738574</v>
      </c>
      <c r="AR11" s="81">
        <f t="shared" si="13"/>
        <v>65.082266910420472</v>
      </c>
      <c r="AS11" s="81">
        <f t="shared" si="14"/>
        <v>34.917733089579521</v>
      </c>
      <c r="AT11" s="54">
        <f t="shared" si="21"/>
        <v>3.8461538461538463</v>
      </c>
      <c r="AU11" s="54">
        <f t="shared" si="15"/>
        <v>19.230769230769234</v>
      </c>
      <c r="AV11" s="54">
        <f t="shared" si="16"/>
        <v>23.076923076923077</v>
      </c>
      <c r="AW11" s="54">
        <f t="shared" si="7"/>
        <v>0</v>
      </c>
      <c r="AX11" s="54">
        <f t="shared" si="17"/>
        <v>53.846153846153847</v>
      </c>
      <c r="AY11" s="54">
        <f t="shared" si="18"/>
        <v>0</v>
      </c>
      <c r="AZ11" s="54">
        <f t="shared" si="19"/>
        <v>0</v>
      </c>
    </row>
    <row r="12" spans="1:52" s="63" customFormat="1" ht="20.25" customHeight="1">
      <c r="A12" s="397"/>
      <c r="B12" s="202" t="s">
        <v>202</v>
      </c>
      <c r="C12" s="140">
        <v>263</v>
      </c>
      <c r="D12" s="103">
        <v>45698</v>
      </c>
      <c r="E12" s="103">
        <v>45701</v>
      </c>
      <c r="F12" s="140">
        <v>78</v>
      </c>
      <c r="G12" s="140">
        <v>0</v>
      </c>
      <c r="H12" s="38">
        <v>78</v>
      </c>
      <c r="I12" s="139">
        <v>16</v>
      </c>
      <c r="J12" s="139">
        <v>0</v>
      </c>
      <c r="K12" s="38">
        <f t="shared" ref="K12" si="39">H12+I12+J12</f>
        <v>94</v>
      </c>
      <c r="L12" s="38">
        <v>0</v>
      </c>
      <c r="M12" s="139">
        <v>0</v>
      </c>
      <c r="N12" s="139">
        <v>78</v>
      </c>
      <c r="O12" s="139">
        <v>6</v>
      </c>
      <c r="P12" s="139">
        <v>0</v>
      </c>
      <c r="Q12" s="139">
        <v>6</v>
      </c>
      <c r="R12" s="139">
        <v>1</v>
      </c>
      <c r="S12" s="139">
        <v>0</v>
      </c>
      <c r="T12" s="139">
        <v>44</v>
      </c>
      <c r="U12" s="139">
        <v>2</v>
      </c>
      <c r="V12" s="139">
        <v>142</v>
      </c>
      <c r="W12" s="139">
        <v>28</v>
      </c>
      <c r="X12" s="139">
        <v>4</v>
      </c>
      <c r="Y12" s="139">
        <v>3</v>
      </c>
      <c r="Z12" s="139">
        <v>18</v>
      </c>
      <c r="AA12" s="139">
        <v>0</v>
      </c>
      <c r="AB12" s="139">
        <v>0</v>
      </c>
      <c r="AC12" s="139">
        <v>23</v>
      </c>
      <c r="AD12" s="139">
        <v>1</v>
      </c>
      <c r="AE12" s="139">
        <v>265</v>
      </c>
      <c r="AF12" s="139">
        <v>0</v>
      </c>
      <c r="AG12" s="139">
        <v>1</v>
      </c>
      <c r="AH12" s="139">
        <v>0</v>
      </c>
      <c r="AI12" s="139">
        <v>0</v>
      </c>
      <c r="AJ12" s="139">
        <v>0</v>
      </c>
      <c r="AK12" s="140">
        <f t="shared" si="23"/>
        <v>410</v>
      </c>
      <c r="AL12" s="140">
        <f t="shared" si="24"/>
        <v>119</v>
      </c>
      <c r="AM12" s="140">
        <f t="shared" si="25"/>
        <v>529</v>
      </c>
      <c r="AN12" s="140">
        <f t="shared" si="26"/>
        <v>9</v>
      </c>
      <c r="AO12" s="189">
        <f t="shared" si="4"/>
        <v>7.6923076923076925</v>
      </c>
      <c r="AP12" s="189">
        <f t="shared" si="5"/>
        <v>11.538461538461538</v>
      </c>
      <c r="AQ12" s="189">
        <f t="shared" si="12"/>
        <v>1.7013232514177694</v>
      </c>
      <c r="AR12" s="81">
        <f t="shared" si="13"/>
        <v>77.504725897920608</v>
      </c>
      <c r="AS12" s="81">
        <f t="shared" si="14"/>
        <v>22.495274102079396</v>
      </c>
      <c r="AT12" s="54">
        <f t="shared" si="21"/>
        <v>11.111111111111111</v>
      </c>
      <c r="AU12" s="54">
        <f t="shared" si="15"/>
        <v>22.222222222222221</v>
      </c>
      <c r="AV12" s="54">
        <f t="shared" si="16"/>
        <v>44.444444444444443</v>
      </c>
      <c r="AW12" s="54">
        <f t="shared" si="7"/>
        <v>0</v>
      </c>
      <c r="AX12" s="54">
        <f t="shared" si="17"/>
        <v>11.111111111111111</v>
      </c>
      <c r="AY12" s="54">
        <f t="shared" si="18"/>
        <v>11.111111111111111</v>
      </c>
      <c r="AZ12" s="54">
        <f t="shared" si="19"/>
        <v>0</v>
      </c>
    </row>
    <row r="13" spans="1:52" s="63" customFormat="1" ht="20.25" customHeight="1">
      <c r="A13" s="62" t="s">
        <v>99</v>
      </c>
      <c r="B13" s="83">
        <f>COUNTA(B11:B12)</f>
        <v>2</v>
      </c>
      <c r="C13" s="83">
        <f>C10</f>
        <v>589</v>
      </c>
      <c r="D13" s="84">
        <f>MIN(D11:D12)</f>
        <v>45692</v>
      </c>
      <c r="E13" s="84">
        <f>MAX(E11:E12)</f>
        <v>45701</v>
      </c>
      <c r="F13" s="83">
        <f>F10</f>
        <v>185</v>
      </c>
      <c r="G13" s="83">
        <f t="shared" ref="G13:AJ13" si="40">G10</f>
        <v>0</v>
      </c>
      <c r="H13" s="83">
        <f t="shared" si="40"/>
        <v>185</v>
      </c>
      <c r="I13" s="83">
        <f t="shared" si="40"/>
        <v>31</v>
      </c>
      <c r="J13" s="83">
        <f t="shared" si="40"/>
        <v>0</v>
      </c>
      <c r="K13" s="83">
        <f t="shared" si="40"/>
        <v>216</v>
      </c>
      <c r="L13" s="83">
        <f t="shared" si="40"/>
        <v>0</v>
      </c>
      <c r="M13" s="83">
        <f t="shared" si="40"/>
        <v>0</v>
      </c>
      <c r="N13" s="83">
        <f t="shared" si="40"/>
        <v>185</v>
      </c>
      <c r="O13" s="83">
        <f t="shared" si="40"/>
        <v>24</v>
      </c>
      <c r="P13" s="83">
        <f t="shared" si="40"/>
        <v>0</v>
      </c>
      <c r="Q13" s="83">
        <f t="shared" si="40"/>
        <v>12</v>
      </c>
      <c r="R13" s="83">
        <f t="shared" si="40"/>
        <v>2</v>
      </c>
      <c r="S13" s="83">
        <f t="shared" si="40"/>
        <v>0</v>
      </c>
      <c r="T13" s="83">
        <f t="shared" si="40"/>
        <v>89</v>
      </c>
      <c r="U13" s="83">
        <f t="shared" si="40"/>
        <v>7</v>
      </c>
      <c r="V13" s="83">
        <f t="shared" si="40"/>
        <v>294</v>
      </c>
      <c r="W13" s="83">
        <f t="shared" si="40"/>
        <v>121</v>
      </c>
      <c r="X13" s="83">
        <f t="shared" si="40"/>
        <v>10</v>
      </c>
      <c r="Y13" s="83">
        <f t="shared" si="40"/>
        <v>3</v>
      </c>
      <c r="Z13" s="83">
        <f t="shared" si="40"/>
        <v>28</v>
      </c>
      <c r="AA13" s="83">
        <f t="shared" si="40"/>
        <v>0</v>
      </c>
      <c r="AB13" s="83">
        <f t="shared" si="40"/>
        <v>25</v>
      </c>
      <c r="AC13" s="83">
        <f t="shared" si="40"/>
        <v>60</v>
      </c>
      <c r="AD13" s="83">
        <f t="shared" si="40"/>
        <v>15</v>
      </c>
      <c r="AE13" s="83">
        <f t="shared" si="40"/>
        <v>444</v>
      </c>
      <c r="AF13" s="83">
        <f t="shared" si="40"/>
        <v>0</v>
      </c>
      <c r="AG13" s="83">
        <f t="shared" si="40"/>
        <v>1</v>
      </c>
      <c r="AH13" s="83">
        <f t="shared" si="40"/>
        <v>0</v>
      </c>
      <c r="AI13" s="83">
        <f t="shared" si="40"/>
        <v>0</v>
      </c>
      <c r="AJ13" s="83">
        <f t="shared" si="40"/>
        <v>0</v>
      </c>
      <c r="AK13" s="83">
        <f t="shared" si="23"/>
        <v>766</v>
      </c>
      <c r="AL13" s="83">
        <f t="shared" si="24"/>
        <v>310</v>
      </c>
      <c r="AM13" s="83">
        <f t="shared" si="25"/>
        <v>1076</v>
      </c>
      <c r="AN13" s="83">
        <f t="shared" si="26"/>
        <v>35</v>
      </c>
      <c r="AO13" s="190">
        <f t="shared" ref="AO13:AO17" si="41">O13/H13*100</f>
        <v>12.972972972972974</v>
      </c>
      <c r="AP13" s="190">
        <f t="shared" ref="AP13:AP18" si="42">AN13/H13*100</f>
        <v>18.918918918918919</v>
      </c>
      <c r="AQ13" s="190">
        <f t="shared" ref="AQ13:AQ18" si="43">AN13/AM13*100</f>
        <v>3.2527881040892193</v>
      </c>
      <c r="AR13" s="85">
        <f t="shared" ref="AR13:AR18" si="44">AK13/AM13*100</f>
        <v>71.189591078066911</v>
      </c>
      <c r="AS13" s="85">
        <f t="shared" ref="AS13:AS18" si="45">AL13/AM13*100</f>
        <v>28.810408921933085</v>
      </c>
      <c r="AT13" s="61">
        <f t="shared" ref="AT13:AT18" si="46">R13/AN13*100</f>
        <v>5.7142857142857144</v>
      </c>
      <c r="AU13" s="61">
        <f t="shared" ref="AU13:AU18" si="47">U13/AN13*100</f>
        <v>20</v>
      </c>
      <c r="AV13" s="61">
        <f t="shared" ref="AV13:AV18" si="48">X13/AN13*100</f>
        <v>28.571428571428569</v>
      </c>
      <c r="AW13" s="61">
        <f t="shared" ref="AW13:AW18" si="49">AA13/AN13*100</f>
        <v>0</v>
      </c>
      <c r="AX13" s="61">
        <f t="shared" ref="AX13:AX18" si="50">AD13/AN13*100</f>
        <v>42.857142857142854</v>
      </c>
      <c r="AY13" s="61">
        <f t="shared" ref="AY13:AY18" si="51">AG13/AN13*100</f>
        <v>2.8571428571428572</v>
      </c>
      <c r="AZ13" s="61">
        <f t="shared" ref="AZ13:AZ18" si="52">AJ13/AN13*100</f>
        <v>0</v>
      </c>
    </row>
    <row r="14" spans="1:52" s="63" customFormat="1" ht="20.25" customHeight="1">
      <c r="A14" s="424" t="s">
        <v>145</v>
      </c>
      <c r="B14" s="77" t="s">
        <v>49</v>
      </c>
      <c r="C14" s="77">
        <f>SUM(C15:C17)</f>
        <v>1329</v>
      </c>
      <c r="D14" s="78">
        <f>MIN(D15:D17)</f>
        <v>45706</v>
      </c>
      <c r="E14" s="78">
        <f>MAX(E15:E17)</f>
        <v>45744</v>
      </c>
      <c r="F14" s="77">
        <f>SUM(F15:F17)</f>
        <v>420</v>
      </c>
      <c r="G14" s="77">
        <f t="shared" ref="G14:AJ14" si="53">SUM(G15:G17)</f>
        <v>0</v>
      </c>
      <c r="H14" s="77">
        <f t="shared" si="53"/>
        <v>420</v>
      </c>
      <c r="I14" s="77">
        <f t="shared" si="53"/>
        <v>68</v>
      </c>
      <c r="J14" s="77">
        <f t="shared" si="53"/>
        <v>0</v>
      </c>
      <c r="K14" s="77">
        <f t="shared" si="53"/>
        <v>488</v>
      </c>
      <c r="L14" s="77">
        <f t="shared" si="53"/>
        <v>0</v>
      </c>
      <c r="M14" s="77">
        <f t="shared" si="53"/>
        <v>0</v>
      </c>
      <c r="N14" s="77">
        <f t="shared" si="53"/>
        <v>420</v>
      </c>
      <c r="O14" s="77">
        <f t="shared" si="53"/>
        <v>101</v>
      </c>
      <c r="P14" s="77">
        <f t="shared" si="53"/>
        <v>0</v>
      </c>
      <c r="Q14" s="77">
        <f t="shared" si="53"/>
        <v>62</v>
      </c>
      <c r="R14" s="77">
        <f t="shared" si="53"/>
        <v>4</v>
      </c>
      <c r="S14" s="77">
        <f t="shared" si="53"/>
        <v>1</v>
      </c>
      <c r="T14" s="77">
        <f t="shared" si="53"/>
        <v>175</v>
      </c>
      <c r="U14" s="77">
        <f t="shared" si="53"/>
        <v>42</v>
      </c>
      <c r="V14" s="77">
        <f t="shared" si="53"/>
        <v>782</v>
      </c>
      <c r="W14" s="77">
        <f t="shared" si="53"/>
        <v>481</v>
      </c>
      <c r="X14" s="77">
        <f t="shared" si="53"/>
        <v>72</v>
      </c>
      <c r="Y14" s="77">
        <f t="shared" si="53"/>
        <v>14</v>
      </c>
      <c r="Z14" s="77">
        <f t="shared" si="53"/>
        <v>255</v>
      </c>
      <c r="AA14" s="77">
        <f t="shared" si="53"/>
        <v>8</v>
      </c>
      <c r="AB14" s="77">
        <f t="shared" si="53"/>
        <v>69</v>
      </c>
      <c r="AC14" s="77">
        <f t="shared" si="53"/>
        <v>85</v>
      </c>
      <c r="AD14" s="77">
        <f t="shared" si="53"/>
        <v>65</v>
      </c>
      <c r="AE14" s="77">
        <f t="shared" si="53"/>
        <v>756</v>
      </c>
      <c r="AF14" s="77">
        <f t="shared" si="53"/>
        <v>4</v>
      </c>
      <c r="AG14" s="77">
        <f t="shared" si="53"/>
        <v>7</v>
      </c>
      <c r="AH14" s="77">
        <f t="shared" si="53"/>
        <v>0</v>
      </c>
      <c r="AI14" s="77">
        <f t="shared" si="53"/>
        <v>0</v>
      </c>
      <c r="AJ14" s="77">
        <f t="shared" si="53"/>
        <v>0</v>
      </c>
      <c r="AK14" s="77">
        <f>P14+S14+V14+Y14+AB14+AE14+AH14</f>
        <v>1622</v>
      </c>
      <c r="AL14" s="77">
        <f>Q14+T14+W14+Z14+AC14+AF14+AI14</f>
        <v>1062</v>
      </c>
      <c r="AM14" s="77">
        <f>AK14+AL14</f>
        <v>2684</v>
      </c>
      <c r="AN14" s="77">
        <f>R14+U14+X14+AA14+AD14+AG14+AJ14</f>
        <v>198</v>
      </c>
      <c r="AO14" s="188">
        <f t="shared" si="41"/>
        <v>24.047619047619047</v>
      </c>
      <c r="AP14" s="188">
        <f t="shared" si="42"/>
        <v>47.142857142857139</v>
      </c>
      <c r="AQ14" s="188">
        <f t="shared" si="43"/>
        <v>7.3770491803278686</v>
      </c>
      <c r="AR14" s="88">
        <f t="shared" si="44"/>
        <v>60.432190760059612</v>
      </c>
      <c r="AS14" s="88">
        <f t="shared" si="45"/>
        <v>39.567809239940388</v>
      </c>
      <c r="AT14" s="80">
        <f t="shared" si="46"/>
        <v>2.0202020202020203</v>
      </c>
      <c r="AU14" s="80">
        <f t="shared" si="47"/>
        <v>21.212121212121211</v>
      </c>
      <c r="AV14" s="80">
        <f t="shared" si="48"/>
        <v>36.363636363636367</v>
      </c>
      <c r="AW14" s="80">
        <f t="shared" si="49"/>
        <v>4.0404040404040407</v>
      </c>
      <c r="AX14" s="80">
        <f t="shared" si="50"/>
        <v>32.828282828282831</v>
      </c>
      <c r="AY14" s="80">
        <f t="shared" si="51"/>
        <v>3.535353535353535</v>
      </c>
      <c r="AZ14" s="80">
        <f t="shared" si="52"/>
        <v>0</v>
      </c>
    </row>
    <row r="15" spans="1:52" s="63" customFormat="1" ht="20.25" customHeight="1">
      <c r="A15" s="424"/>
      <c r="B15" s="296" t="s">
        <v>223</v>
      </c>
      <c r="C15" s="120">
        <v>459</v>
      </c>
      <c r="D15" s="177">
        <v>45706</v>
      </c>
      <c r="E15" s="177">
        <v>45723</v>
      </c>
      <c r="F15" s="120">
        <v>138</v>
      </c>
      <c r="G15" s="120">
        <v>0</v>
      </c>
      <c r="H15" s="204">
        <f>F15+G15</f>
        <v>138</v>
      </c>
      <c r="I15" s="120">
        <v>28</v>
      </c>
      <c r="J15" s="120">
        <v>0</v>
      </c>
      <c r="K15" s="204">
        <f t="shared" ref="K15:K21" si="54">H15+I15+J15</f>
        <v>166</v>
      </c>
      <c r="L15" s="120">
        <v>0</v>
      </c>
      <c r="M15" s="120">
        <v>0</v>
      </c>
      <c r="N15" s="120">
        <v>138</v>
      </c>
      <c r="O15" s="120">
        <v>31</v>
      </c>
      <c r="P15" s="120">
        <v>0</v>
      </c>
      <c r="Q15" s="120">
        <v>30</v>
      </c>
      <c r="R15" s="120">
        <v>2</v>
      </c>
      <c r="S15" s="120">
        <v>0</v>
      </c>
      <c r="T15" s="120">
        <v>77</v>
      </c>
      <c r="U15" s="120">
        <v>13</v>
      </c>
      <c r="V15" s="120">
        <v>265</v>
      </c>
      <c r="W15" s="120">
        <v>85</v>
      </c>
      <c r="X15" s="120">
        <v>21</v>
      </c>
      <c r="Y15" s="120">
        <v>14</v>
      </c>
      <c r="Z15" s="120">
        <v>120</v>
      </c>
      <c r="AA15" s="120">
        <v>4</v>
      </c>
      <c r="AB15" s="120">
        <v>25</v>
      </c>
      <c r="AC15" s="120">
        <v>37</v>
      </c>
      <c r="AD15" s="120">
        <v>24</v>
      </c>
      <c r="AE15" s="120">
        <v>252</v>
      </c>
      <c r="AF15" s="120">
        <v>0</v>
      </c>
      <c r="AG15" s="120">
        <v>5</v>
      </c>
      <c r="AH15" s="120">
        <v>0</v>
      </c>
      <c r="AI15" s="120">
        <v>0</v>
      </c>
      <c r="AJ15" s="120">
        <v>0</v>
      </c>
      <c r="AK15" s="204">
        <f t="shared" si="23"/>
        <v>556</v>
      </c>
      <c r="AL15" s="204">
        <f t="shared" si="24"/>
        <v>349</v>
      </c>
      <c r="AM15" s="204">
        <f t="shared" si="25"/>
        <v>905</v>
      </c>
      <c r="AN15" s="204">
        <f t="shared" si="26"/>
        <v>69</v>
      </c>
      <c r="AO15" s="189">
        <f t="shared" si="41"/>
        <v>22.463768115942027</v>
      </c>
      <c r="AP15" s="189">
        <f t="shared" si="42"/>
        <v>50</v>
      </c>
      <c r="AQ15" s="189">
        <f t="shared" si="43"/>
        <v>7.6243093922651939</v>
      </c>
      <c r="AR15" s="81">
        <f t="shared" si="44"/>
        <v>61.436464088397791</v>
      </c>
      <c r="AS15" s="81">
        <f t="shared" si="45"/>
        <v>38.563535911602209</v>
      </c>
      <c r="AT15" s="131">
        <f t="shared" si="46"/>
        <v>2.8985507246376812</v>
      </c>
      <c r="AU15" s="131">
        <f t="shared" si="47"/>
        <v>18.840579710144929</v>
      </c>
      <c r="AV15" s="131">
        <f t="shared" si="48"/>
        <v>30.434782608695656</v>
      </c>
      <c r="AW15" s="131">
        <f t="shared" si="49"/>
        <v>5.7971014492753623</v>
      </c>
      <c r="AX15" s="131">
        <f t="shared" si="50"/>
        <v>34.782608695652172</v>
      </c>
      <c r="AY15" s="131">
        <f t="shared" si="51"/>
        <v>7.2463768115942031</v>
      </c>
      <c r="AZ15" s="131">
        <f t="shared" si="52"/>
        <v>0</v>
      </c>
    </row>
    <row r="16" spans="1:52" s="63" customFormat="1" ht="20.25" customHeight="1">
      <c r="A16" s="424"/>
      <c r="B16" s="296" t="s">
        <v>224</v>
      </c>
      <c r="C16" s="120">
        <v>203</v>
      </c>
      <c r="D16" s="177">
        <v>45726</v>
      </c>
      <c r="E16" s="177">
        <v>45727</v>
      </c>
      <c r="F16" s="120">
        <v>60</v>
      </c>
      <c r="G16" s="120">
        <v>0</v>
      </c>
      <c r="H16" s="204">
        <f t="shared" ref="H16:H21" si="55">F16+G16</f>
        <v>60</v>
      </c>
      <c r="I16" s="120">
        <v>7</v>
      </c>
      <c r="J16" s="120">
        <v>0</v>
      </c>
      <c r="K16" s="204">
        <f t="shared" si="54"/>
        <v>67</v>
      </c>
      <c r="L16" s="120">
        <v>0</v>
      </c>
      <c r="M16" s="120">
        <v>0</v>
      </c>
      <c r="N16" s="120">
        <v>60</v>
      </c>
      <c r="O16" s="120">
        <v>21</v>
      </c>
      <c r="P16" s="120">
        <v>0</v>
      </c>
      <c r="Q16" s="120">
        <v>11</v>
      </c>
      <c r="R16" s="120">
        <v>1</v>
      </c>
      <c r="S16" s="120">
        <v>0</v>
      </c>
      <c r="T16" s="120">
        <v>31</v>
      </c>
      <c r="U16" s="120">
        <v>10</v>
      </c>
      <c r="V16" s="120">
        <v>148</v>
      </c>
      <c r="W16" s="120">
        <v>109</v>
      </c>
      <c r="X16" s="120">
        <v>8</v>
      </c>
      <c r="Y16" s="120">
        <v>0</v>
      </c>
      <c r="Z16" s="120">
        <v>2</v>
      </c>
      <c r="AA16" s="120">
        <v>0</v>
      </c>
      <c r="AB16" s="120">
        <v>12</v>
      </c>
      <c r="AC16" s="120">
        <v>19</v>
      </c>
      <c r="AD16" s="120">
        <v>18</v>
      </c>
      <c r="AE16" s="120">
        <v>177</v>
      </c>
      <c r="AF16" s="120">
        <v>0</v>
      </c>
      <c r="AG16" s="120">
        <v>0</v>
      </c>
      <c r="AH16" s="120">
        <v>0</v>
      </c>
      <c r="AI16" s="120">
        <v>0</v>
      </c>
      <c r="AJ16" s="120">
        <v>0</v>
      </c>
      <c r="AK16" s="204">
        <f t="shared" si="23"/>
        <v>337</v>
      </c>
      <c r="AL16" s="204">
        <f t="shared" si="24"/>
        <v>172</v>
      </c>
      <c r="AM16" s="204">
        <f t="shared" si="25"/>
        <v>509</v>
      </c>
      <c r="AN16" s="204">
        <f t="shared" si="26"/>
        <v>37</v>
      </c>
      <c r="AO16" s="189">
        <f t="shared" si="41"/>
        <v>35</v>
      </c>
      <c r="AP16" s="189">
        <f t="shared" si="42"/>
        <v>61.666666666666671</v>
      </c>
      <c r="AQ16" s="189">
        <f t="shared" si="43"/>
        <v>7.269155206286837</v>
      </c>
      <c r="AR16" s="81">
        <f t="shared" si="44"/>
        <v>66.208251473477404</v>
      </c>
      <c r="AS16" s="81">
        <f t="shared" si="45"/>
        <v>33.791748526522589</v>
      </c>
      <c r="AT16" s="131">
        <f t="shared" si="46"/>
        <v>2.7027027027027026</v>
      </c>
      <c r="AU16" s="131">
        <f t="shared" si="47"/>
        <v>27.027027027027028</v>
      </c>
      <c r="AV16" s="131">
        <f t="shared" si="48"/>
        <v>21.621621621621621</v>
      </c>
      <c r="AW16" s="131">
        <f t="shared" si="49"/>
        <v>0</v>
      </c>
      <c r="AX16" s="131">
        <f t="shared" si="50"/>
        <v>48.648648648648653</v>
      </c>
      <c r="AY16" s="131">
        <f t="shared" si="51"/>
        <v>0</v>
      </c>
      <c r="AZ16" s="131">
        <f t="shared" si="52"/>
        <v>0</v>
      </c>
    </row>
    <row r="17" spans="1:52" s="63" customFormat="1" ht="20.25" customHeight="1">
      <c r="A17" s="424"/>
      <c r="B17" s="296" t="s">
        <v>225</v>
      </c>
      <c r="C17" s="120">
        <v>667</v>
      </c>
      <c r="D17" s="177">
        <v>45730</v>
      </c>
      <c r="E17" s="177">
        <v>45744</v>
      </c>
      <c r="F17" s="120">
        <v>222</v>
      </c>
      <c r="G17" s="120">
        <v>0</v>
      </c>
      <c r="H17" s="204">
        <f t="shared" si="55"/>
        <v>222</v>
      </c>
      <c r="I17" s="120">
        <v>33</v>
      </c>
      <c r="J17" s="120">
        <v>0</v>
      </c>
      <c r="K17" s="204">
        <f t="shared" si="54"/>
        <v>255</v>
      </c>
      <c r="L17" s="120">
        <v>0</v>
      </c>
      <c r="M17" s="120">
        <v>0</v>
      </c>
      <c r="N17" s="120">
        <v>222</v>
      </c>
      <c r="O17" s="120">
        <v>49</v>
      </c>
      <c r="P17" s="120">
        <v>0</v>
      </c>
      <c r="Q17" s="120">
        <v>21</v>
      </c>
      <c r="R17" s="120">
        <v>1</v>
      </c>
      <c r="S17" s="120">
        <v>1</v>
      </c>
      <c r="T17" s="120">
        <v>67</v>
      </c>
      <c r="U17" s="120">
        <v>19</v>
      </c>
      <c r="V17" s="120">
        <v>369</v>
      </c>
      <c r="W17" s="120">
        <v>287</v>
      </c>
      <c r="X17" s="120">
        <v>43</v>
      </c>
      <c r="Y17" s="120">
        <v>0</v>
      </c>
      <c r="Z17" s="120">
        <v>133</v>
      </c>
      <c r="AA17" s="120">
        <v>4</v>
      </c>
      <c r="AB17" s="120">
        <v>32</v>
      </c>
      <c r="AC17" s="120">
        <v>29</v>
      </c>
      <c r="AD17" s="120">
        <v>23</v>
      </c>
      <c r="AE17" s="120">
        <v>327</v>
      </c>
      <c r="AF17" s="120">
        <v>4</v>
      </c>
      <c r="AG17" s="120">
        <v>2</v>
      </c>
      <c r="AH17" s="120">
        <v>0</v>
      </c>
      <c r="AI17" s="120">
        <v>0</v>
      </c>
      <c r="AJ17" s="120">
        <v>0</v>
      </c>
      <c r="AK17" s="204">
        <f t="shared" si="23"/>
        <v>729</v>
      </c>
      <c r="AL17" s="204">
        <f t="shared" si="24"/>
        <v>541</v>
      </c>
      <c r="AM17" s="204">
        <f t="shared" si="25"/>
        <v>1270</v>
      </c>
      <c r="AN17" s="204">
        <f t="shared" si="26"/>
        <v>92</v>
      </c>
      <c r="AO17" s="189">
        <f t="shared" si="41"/>
        <v>22.072072072072071</v>
      </c>
      <c r="AP17" s="189">
        <f t="shared" si="42"/>
        <v>41.441441441441441</v>
      </c>
      <c r="AQ17" s="189">
        <f t="shared" si="43"/>
        <v>7.2440944881889759</v>
      </c>
      <c r="AR17" s="81">
        <f t="shared" si="44"/>
        <v>57.4015748031496</v>
      </c>
      <c r="AS17" s="81">
        <f t="shared" si="45"/>
        <v>42.598425196850393</v>
      </c>
      <c r="AT17" s="131">
        <f t="shared" si="46"/>
        <v>1.0869565217391304</v>
      </c>
      <c r="AU17" s="131">
        <f t="shared" si="47"/>
        <v>20.652173913043477</v>
      </c>
      <c r="AV17" s="131">
        <f t="shared" si="48"/>
        <v>46.739130434782609</v>
      </c>
      <c r="AW17" s="131">
        <f t="shared" si="49"/>
        <v>4.3478260869565215</v>
      </c>
      <c r="AX17" s="131">
        <f t="shared" si="50"/>
        <v>25</v>
      </c>
      <c r="AY17" s="131">
        <f t="shared" si="51"/>
        <v>2.1739130434782608</v>
      </c>
      <c r="AZ17" s="131">
        <f t="shared" si="52"/>
        <v>0</v>
      </c>
    </row>
    <row r="18" spans="1:52" s="63" customFormat="1" ht="20.25" customHeight="1">
      <c r="A18" s="62" t="s">
        <v>103</v>
      </c>
      <c r="B18" s="83">
        <v>3</v>
      </c>
      <c r="C18" s="83">
        <f>C14</f>
        <v>1329</v>
      </c>
      <c r="D18" s="84">
        <f>MIN(D15:D17)</f>
        <v>45706</v>
      </c>
      <c r="E18" s="84">
        <f>MAX(E15:E17)</f>
        <v>45744</v>
      </c>
      <c r="F18" s="83">
        <f>F14</f>
        <v>420</v>
      </c>
      <c r="G18" s="83">
        <f t="shared" ref="G18:AJ18" si="56">G14</f>
        <v>0</v>
      </c>
      <c r="H18" s="83">
        <f t="shared" si="56"/>
        <v>420</v>
      </c>
      <c r="I18" s="83">
        <f t="shared" si="56"/>
        <v>68</v>
      </c>
      <c r="J18" s="83">
        <f t="shared" si="56"/>
        <v>0</v>
      </c>
      <c r="K18" s="83">
        <f t="shared" si="56"/>
        <v>488</v>
      </c>
      <c r="L18" s="83">
        <f t="shared" si="56"/>
        <v>0</v>
      </c>
      <c r="M18" s="83">
        <f t="shared" si="56"/>
        <v>0</v>
      </c>
      <c r="N18" s="83">
        <f t="shared" si="56"/>
        <v>420</v>
      </c>
      <c r="O18" s="83">
        <f t="shared" si="56"/>
        <v>101</v>
      </c>
      <c r="P18" s="83">
        <f t="shared" si="56"/>
        <v>0</v>
      </c>
      <c r="Q18" s="83">
        <f t="shared" si="56"/>
        <v>62</v>
      </c>
      <c r="R18" s="83">
        <f t="shared" si="56"/>
        <v>4</v>
      </c>
      <c r="S18" s="83">
        <f t="shared" si="56"/>
        <v>1</v>
      </c>
      <c r="T18" s="83">
        <f t="shared" si="56"/>
        <v>175</v>
      </c>
      <c r="U18" s="83">
        <f t="shared" si="56"/>
        <v>42</v>
      </c>
      <c r="V18" s="83">
        <f t="shared" si="56"/>
        <v>782</v>
      </c>
      <c r="W18" s="83">
        <f t="shared" si="56"/>
        <v>481</v>
      </c>
      <c r="X18" s="83">
        <f t="shared" si="56"/>
        <v>72</v>
      </c>
      <c r="Y18" s="83">
        <f t="shared" si="56"/>
        <v>14</v>
      </c>
      <c r="Z18" s="83">
        <f t="shared" si="56"/>
        <v>255</v>
      </c>
      <c r="AA18" s="83">
        <f t="shared" si="56"/>
        <v>8</v>
      </c>
      <c r="AB18" s="83">
        <f t="shared" si="56"/>
        <v>69</v>
      </c>
      <c r="AC18" s="83">
        <f t="shared" si="56"/>
        <v>85</v>
      </c>
      <c r="AD18" s="83">
        <f t="shared" si="56"/>
        <v>65</v>
      </c>
      <c r="AE18" s="83">
        <f t="shared" si="56"/>
        <v>756</v>
      </c>
      <c r="AF18" s="83">
        <f t="shared" si="56"/>
        <v>4</v>
      </c>
      <c r="AG18" s="83">
        <f t="shared" si="56"/>
        <v>7</v>
      </c>
      <c r="AH18" s="83">
        <f t="shared" si="56"/>
        <v>0</v>
      </c>
      <c r="AI18" s="83">
        <f t="shared" si="56"/>
        <v>0</v>
      </c>
      <c r="AJ18" s="83">
        <f t="shared" si="56"/>
        <v>0</v>
      </c>
      <c r="AK18" s="83">
        <f>P18+S18+V18+Y18+AB18+AE18+AH18</f>
        <v>1622</v>
      </c>
      <c r="AL18" s="83">
        <f>Q18+T18+W18+Z18+AC18+AF18+AI18</f>
        <v>1062</v>
      </c>
      <c r="AM18" s="83">
        <f t="shared" si="25"/>
        <v>2684</v>
      </c>
      <c r="AN18" s="83">
        <f>R18+U18+X18+AA18+AD18+AG18+AJ18</f>
        <v>198</v>
      </c>
      <c r="AO18" s="190">
        <f>O18/H18*100</f>
        <v>24.047619047619047</v>
      </c>
      <c r="AP18" s="190">
        <f t="shared" si="42"/>
        <v>47.142857142857139</v>
      </c>
      <c r="AQ18" s="190">
        <f t="shared" si="43"/>
        <v>7.3770491803278686</v>
      </c>
      <c r="AR18" s="85">
        <f t="shared" si="44"/>
        <v>60.432190760059612</v>
      </c>
      <c r="AS18" s="85">
        <f t="shared" si="45"/>
        <v>39.567809239940388</v>
      </c>
      <c r="AT18" s="61">
        <f t="shared" si="46"/>
        <v>2.0202020202020203</v>
      </c>
      <c r="AU18" s="61">
        <f t="shared" si="47"/>
        <v>21.212121212121211</v>
      </c>
      <c r="AV18" s="61">
        <f t="shared" si="48"/>
        <v>36.363636363636367</v>
      </c>
      <c r="AW18" s="61">
        <f t="shared" si="49"/>
        <v>4.0404040404040407</v>
      </c>
      <c r="AX18" s="61">
        <f t="shared" si="50"/>
        <v>32.828282828282831</v>
      </c>
      <c r="AY18" s="61">
        <f t="shared" si="51"/>
        <v>3.535353535353535</v>
      </c>
      <c r="AZ18" s="61">
        <f t="shared" si="52"/>
        <v>0</v>
      </c>
    </row>
    <row r="19" spans="1:52" s="237" customFormat="1" ht="20.25" customHeight="1">
      <c r="A19" s="424" t="s">
        <v>145</v>
      </c>
      <c r="B19" s="77" t="s">
        <v>49</v>
      </c>
      <c r="C19" s="77">
        <f>SUM(C20:C21)</f>
        <v>629</v>
      </c>
      <c r="D19" s="78">
        <f>MIN(D20:D21)</f>
        <v>45750</v>
      </c>
      <c r="E19" s="78">
        <f>MAX(E20:E21)</f>
        <v>45763</v>
      </c>
      <c r="F19" s="77">
        <f>SUM(F20:F21)</f>
        <v>192</v>
      </c>
      <c r="G19" s="77">
        <f t="shared" ref="G19:AJ19" si="57">SUM(G20:G21)</f>
        <v>0</v>
      </c>
      <c r="H19" s="77">
        <f t="shared" si="57"/>
        <v>192</v>
      </c>
      <c r="I19" s="77">
        <f t="shared" si="57"/>
        <v>27</v>
      </c>
      <c r="J19" s="77">
        <f t="shared" si="57"/>
        <v>0</v>
      </c>
      <c r="K19" s="77">
        <f t="shared" si="57"/>
        <v>219</v>
      </c>
      <c r="L19" s="77">
        <f t="shared" si="57"/>
        <v>0</v>
      </c>
      <c r="M19" s="77">
        <f t="shared" si="57"/>
        <v>0</v>
      </c>
      <c r="N19" s="77">
        <f t="shared" si="57"/>
        <v>192</v>
      </c>
      <c r="O19" s="77">
        <f t="shared" si="57"/>
        <v>42</v>
      </c>
      <c r="P19" s="77">
        <f t="shared" si="57"/>
        <v>0</v>
      </c>
      <c r="Q19" s="77">
        <f t="shared" si="57"/>
        <v>9</v>
      </c>
      <c r="R19" s="77">
        <f t="shared" si="57"/>
        <v>0</v>
      </c>
      <c r="S19" s="77">
        <f t="shared" si="57"/>
        <v>0</v>
      </c>
      <c r="T19" s="77">
        <f t="shared" si="57"/>
        <v>73</v>
      </c>
      <c r="U19" s="77">
        <f t="shared" si="57"/>
        <v>12</v>
      </c>
      <c r="V19" s="77">
        <f t="shared" si="57"/>
        <v>170</v>
      </c>
      <c r="W19" s="77">
        <f t="shared" si="57"/>
        <v>159</v>
      </c>
      <c r="X19" s="77">
        <f t="shared" si="57"/>
        <v>36</v>
      </c>
      <c r="Y19" s="77">
        <f t="shared" si="57"/>
        <v>0</v>
      </c>
      <c r="Z19" s="77">
        <f t="shared" si="57"/>
        <v>98</v>
      </c>
      <c r="AA19" s="77">
        <f t="shared" si="57"/>
        <v>4</v>
      </c>
      <c r="AB19" s="77">
        <f t="shared" si="57"/>
        <v>78</v>
      </c>
      <c r="AC19" s="77">
        <f t="shared" si="57"/>
        <v>77</v>
      </c>
      <c r="AD19" s="77">
        <f t="shared" si="57"/>
        <v>39</v>
      </c>
      <c r="AE19" s="77">
        <f t="shared" si="57"/>
        <v>317</v>
      </c>
      <c r="AF19" s="77">
        <f t="shared" si="57"/>
        <v>0</v>
      </c>
      <c r="AG19" s="77">
        <f t="shared" si="57"/>
        <v>1</v>
      </c>
      <c r="AH19" s="77">
        <f t="shared" si="57"/>
        <v>0</v>
      </c>
      <c r="AI19" s="77">
        <f t="shared" si="57"/>
        <v>0</v>
      </c>
      <c r="AJ19" s="77">
        <f t="shared" si="57"/>
        <v>0</v>
      </c>
      <c r="AK19" s="77">
        <f>P19+S19+V19+Y19+AB19+AE19+AH19</f>
        <v>565</v>
      </c>
      <c r="AL19" s="77">
        <f>Q19+T19+W19+Z19+AC19+AF19+AI19</f>
        <v>416</v>
      </c>
      <c r="AM19" s="77">
        <f>AK19+AL19</f>
        <v>981</v>
      </c>
      <c r="AN19" s="77">
        <f>R19+U19+X19+AA19+AD19+AG19+AJ19</f>
        <v>92</v>
      </c>
      <c r="AO19" s="188">
        <f t="shared" ref="AO19" si="58">O19/H19*100</f>
        <v>21.875</v>
      </c>
      <c r="AP19" s="188">
        <f t="shared" ref="AP19" si="59">AN19/H19*100</f>
        <v>47.916666666666671</v>
      </c>
      <c r="AQ19" s="188">
        <f t="shared" ref="AQ19" si="60">AN19/AM19*100</f>
        <v>9.3781855249745156</v>
      </c>
      <c r="AR19" s="88">
        <f t="shared" ref="AR19" si="61">AK19/AM19*100</f>
        <v>57.594291539245667</v>
      </c>
      <c r="AS19" s="88">
        <f t="shared" ref="AS19" si="62">AL19/AM19*100</f>
        <v>42.405708460754333</v>
      </c>
      <c r="AT19" s="80">
        <f t="shared" ref="AT19" si="63">R19/AN19*100</f>
        <v>0</v>
      </c>
      <c r="AU19" s="80">
        <f t="shared" ref="AU19" si="64">U19/AN19*100</f>
        <v>13.043478260869565</v>
      </c>
      <c r="AV19" s="80">
        <f t="shared" ref="AV19" si="65">X19/AN19*100</f>
        <v>39.130434782608695</v>
      </c>
      <c r="AW19" s="80">
        <f t="shared" ref="AW19" si="66">AA19/AN19*100</f>
        <v>4.3478260869565215</v>
      </c>
      <c r="AX19" s="80">
        <f t="shared" ref="AX19" si="67">AD19/AN19*100</f>
        <v>42.391304347826086</v>
      </c>
      <c r="AY19" s="80">
        <f t="shared" ref="AY19" si="68">AG19/AN19*100</f>
        <v>1.0869565217391304</v>
      </c>
      <c r="AZ19" s="80">
        <f t="shared" ref="AZ19" si="69">AJ19/AN19*100</f>
        <v>0</v>
      </c>
    </row>
    <row r="20" spans="1:52" s="63" customFormat="1" ht="20.25" customHeight="1">
      <c r="A20" s="424"/>
      <c r="B20" s="296" t="s">
        <v>272</v>
      </c>
      <c r="C20" s="120">
        <v>146</v>
      </c>
      <c r="D20" s="177">
        <v>45750</v>
      </c>
      <c r="E20" s="177">
        <v>45751</v>
      </c>
      <c r="F20" s="120">
        <v>44</v>
      </c>
      <c r="G20" s="120">
        <v>0</v>
      </c>
      <c r="H20" s="247">
        <f t="shared" si="55"/>
        <v>44</v>
      </c>
      <c r="I20" s="120">
        <v>5</v>
      </c>
      <c r="J20" s="120">
        <v>0</v>
      </c>
      <c r="K20" s="247">
        <f t="shared" si="54"/>
        <v>49</v>
      </c>
      <c r="L20" s="120">
        <v>0</v>
      </c>
      <c r="M20" s="120">
        <v>0</v>
      </c>
      <c r="N20" s="120">
        <v>44</v>
      </c>
      <c r="O20" s="120">
        <v>11</v>
      </c>
      <c r="P20" s="120">
        <v>0</v>
      </c>
      <c r="Q20" s="120">
        <v>4</v>
      </c>
      <c r="R20" s="120">
        <v>0</v>
      </c>
      <c r="S20" s="120">
        <v>0</v>
      </c>
      <c r="T20" s="120">
        <v>11</v>
      </c>
      <c r="U20" s="120">
        <v>0</v>
      </c>
      <c r="V20" s="120">
        <v>45</v>
      </c>
      <c r="W20" s="120">
        <v>40</v>
      </c>
      <c r="X20" s="120">
        <v>9</v>
      </c>
      <c r="Y20" s="120">
        <v>0</v>
      </c>
      <c r="Z20" s="120">
        <v>4</v>
      </c>
      <c r="AA20" s="120">
        <v>1</v>
      </c>
      <c r="AB20" s="120">
        <v>22</v>
      </c>
      <c r="AC20" s="120">
        <v>26</v>
      </c>
      <c r="AD20" s="120">
        <v>9</v>
      </c>
      <c r="AE20" s="120">
        <v>66</v>
      </c>
      <c r="AF20" s="120">
        <v>0</v>
      </c>
      <c r="AG20" s="120">
        <v>1</v>
      </c>
      <c r="AH20" s="120">
        <v>0</v>
      </c>
      <c r="AI20" s="120">
        <v>0</v>
      </c>
      <c r="AJ20" s="120">
        <v>0</v>
      </c>
      <c r="AK20" s="247">
        <f t="shared" ref="AK20:AK27" si="70">P20+S20+V20+Y20+AB20+AE20+AH20</f>
        <v>133</v>
      </c>
      <c r="AL20" s="247">
        <f t="shared" ref="AL20" si="71">Q20+T20+W20+Z20+AC20+AF20+AI20</f>
        <v>85</v>
      </c>
      <c r="AM20" s="247">
        <f t="shared" ref="AM20" si="72">AK20+AL20</f>
        <v>218</v>
      </c>
      <c r="AN20" s="247">
        <f t="shared" ref="AN20" si="73">R20+U20+X20+AA20+AD20+AG20+AJ20</f>
        <v>20</v>
      </c>
      <c r="AO20" s="189">
        <f t="shared" ref="AO20" si="74">O20/H20*100</f>
        <v>25</v>
      </c>
      <c r="AP20" s="189">
        <f t="shared" ref="AP20" si="75">AN20/H20*100</f>
        <v>45.454545454545453</v>
      </c>
      <c r="AQ20" s="189">
        <f t="shared" ref="AQ20" si="76">AN20/AM20*100</f>
        <v>9.1743119266055047</v>
      </c>
      <c r="AR20" s="81">
        <f t="shared" ref="AR20" si="77">AK20/AM20*100</f>
        <v>61.009174311926607</v>
      </c>
      <c r="AS20" s="81">
        <f t="shared" ref="AS20" si="78">AL20/AM20*100</f>
        <v>38.990825688073393</v>
      </c>
      <c r="AT20" s="131">
        <f t="shared" ref="AT20" si="79">R20/AN20*100</f>
        <v>0</v>
      </c>
      <c r="AU20" s="131">
        <f t="shared" ref="AU20" si="80">U20/AN20*100</f>
        <v>0</v>
      </c>
      <c r="AV20" s="131">
        <f t="shared" ref="AV20" si="81">X20/AN20*100</f>
        <v>45</v>
      </c>
      <c r="AW20" s="131">
        <f t="shared" ref="AW20" si="82">AA20/AN20*100</f>
        <v>5</v>
      </c>
      <c r="AX20" s="131">
        <f t="shared" ref="AX20" si="83">AD20/AN20*100</f>
        <v>45</v>
      </c>
      <c r="AY20" s="131">
        <f t="shared" ref="AY20" si="84">AG20/AN20*100</f>
        <v>5</v>
      </c>
      <c r="AZ20" s="131">
        <f t="shared" ref="AZ20" si="85">AJ20/AN20*100</f>
        <v>0</v>
      </c>
    </row>
    <row r="21" spans="1:52" s="63" customFormat="1" ht="20.25" customHeight="1">
      <c r="A21" s="424"/>
      <c r="B21" s="296" t="s">
        <v>267</v>
      </c>
      <c r="C21" s="120">
        <v>483</v>
      </c>
      <c r="D21" s="177">
        <v>45751</v>
      </c>
      <c r="E21" s="177">
        <v>45763</v>
      </c>
      <c r="F21" s="120">
        <v>148</v>
      </c>
      <c r="G21" s="120">
        <v>0</v>
      </c>
      <c r="H21" s="247">
        <f t="shared" si="55"/>
        <v>148</v>
      </c>
      <c r="I21" s="120">
        <v>22</v>
      </c>
      <c r="J21" s="120">
        <v>0</v>
      </c>
      <c r="K21" s="247">
        <f t="shared" si="54"/>
        <v>170</v>
      </c>
      <c r="L21" s="120">
        <v>0</v>
      </c>
      <c r="M21" s="120">
        <v>0</v>
      </c>
      <c r="N21" s="120">
        <v>148</v>
      </c>
      <c r="O21" s="120">
        <v>31</v>
      </c>
      <c r="P21" s="120">
        <v>0</v>
      </c>
      <c r="Q21" s="120">
        <v>5</v>
      </c>
      <c r="R21" s="120">
        <v>0</v>
      </c>
      <c r="S21" s="120">
        <v>0</v>
      </c>
      <c r="T21" s="120">
        <v>62</v>
      </c>
      <c r="U21" s="120">
        <v>12</v>
      </c>
      <c r="V21" s="120">
        <v>125</v>
      </c>
      <c r="W21" s="120">
        <v>119</v>
      </c>
      <c r="X21" s="120">
        <v>27</v>
      </c>
      <c r="Y21" s="120">
        <v>0</v>
      </c>
      <c r="Z21" s="120">
        <v>94</v>
      </c>
      <c r="AA21" s="120">
        <v>3</v>
      </c>
      <c r="AB21" s="120">
        <v>56</v>
      </c>
      <c r="AC21" s="120">
        <v>51</v>
      </c>
      <c r="AD21" s="120">
        <v>30</v>
      </c>
      <c r="AE21" s="120">
        <v>251</v>
      </c>
      <c r="AF21" s="120">
        <v>0</v>
      </c>
      <c r="AG21" s="120">
        <v>0</v>
      </c>
      <c r="AH21" s="120">
        <v>0</v>
      </c>
      <c r="AI21" s="120">
        <v>0</v>
      </c>
      <c r="AJ21" s="120">
        <v>0</v>
      </c>
      <c r="AK21" s="247">
        <f t="shared" si="70"/>
        <v>432</v>
      </c>
      <c r="AL21" s="247">
        <f t="shared" ref="AL21:AL27" si="86">Q21+T21+W21+Z21+AC21+AF21+AI21</f>
        <v>331</v>
      </c>
      <c r="AM21" s="247">
        <f t="shared" ref="AM21" si="87">AK21+AL21</f>
        <v>763</v>
      </c>
      <c r="AN21" s="247">
        <f t="shared" ref="AN21" si="88">R21+U21+X21+AA21+AD21+AG21+AJ21</f>
        <v>72</v>
      </c>
      <c r="AO21" s="189">
        <f t="shared" ref="AO21" si="89">O21/H21*100</f>
        <v>20.945945945945947</v>
      </c>
      <c r="AP21" s="189">
        <f t="shared" ref="AP21" si="90">AN21/H21*100</f>
        <v>48.648648648648653</v>
      </c>
      <c r="AQ21" s="189">
        <f t="shared" ref="AQ21" si="91">AN21/AM21*100</f>
        <v>9.4364351245085185</v>
      </c>
      <c r="AR21" s="81">
        <f t="shared" ref="AR21" si="92">AK21/AM21*100</f>
        <v>56.618610747051115</v>
      </c>
      <c r="AS21" s="81">
        <f t="shared" ref="AS21" si="93">AL21/AM21*100</f>
        <v>43.381389252948885</v>
      </c>
      <c r="AT21" s="131">
        <f t="shared" ref="AT21" si="94">R21/AN21*100</f>
        <v>0</v>
      </c>
      <c r="AU21" s="131">
        <f t="shared" ref="AU21" si="95">U21/AN21*100</f>
        <v>16.666666666666664</v>
      </c>
      <c r="AV21" s="131">
        <f t="shared" ref="AV21" si="96">X21/AN21*100</f>
        <v>37.5</v>
      </c>
      <c r="AW21" s="131">
        <f t="shared" ref="AW21" si="97">AA21/AN21*100</f>
        <v>4.1666666666666661</v>
      </c>
      <c r="AX21" s="131">
        <f t="shared" ref="AX21" si="98">AD21/AN21*100</f>
        <v>41.666666666666671</v>
      </c>
      <c r="AY21" s="131">
        <f t="shared" ref="AY21" si="99">AG21/AN21*100</f>
        <v>0</v>
      </c>
      <c r="AZ21" s="131">
        <f t="shared" ref="AZ21" si="100">AJ21/AN21*100</f>
        <v>0</v>
      </c>
    </row>
    <row r="22" spans="1:52" s="63" customFormat="1" ht="20.25" customHeight="1">
      <c r="A22" s="62" t="s">
        <v>254</v>
      </c>
      <c r="B22" s="83">
        <v>3</v>
      </c>
      <c r="C22" s="83">
        <f>C17</f>
        <v>667</v>
      </c>
      <c r="D22" s="84">
        <f>MIN(D18:D21)</f>
        <v>45706</v>
      </c>
      <c r="E22" s="84">
        <f>MAX(E18:E21)</f>
        <v>45763</v>
      </c>
      <c r="F22" s="83">
        <f>F17</f>
        <v>222</v>
      </c>
      <c r="G22" s="83">
        <f t="shared" ref="G22:AJ22" si="101">G17</f>
        <v>0</v>
      </c>
      <c r="H22" s="83">
        <f t="shared" si="101"/>
        <v>222</v>
      </c>
      <c r="I22" s="83">
        <f t="shared" si="101"/>
        <v>33</v>
      </c>
      <c r="J22" s="83">
        <f t="shared" si="101"/>
        <v>0</v>
      </c>
      <c r="K22" s="83">
        <f t="shared" si="101"/>
        <v>255</v>
      </c>
      <c r="L22" s="83">
        <f t="shared" si="101"/>
        <v>0</v>
      </c>
      <c r="M22" s="83">
        <f t="shared" si="101"/>
        <v>0</v>
      </c>
      <c r="N22" s="83">
        <f t="shared" si="101"/>
        <v>222</v>
      </c>
      <c r="O22" s="83">
        <f t="shared" si="101"/>
        <v>49</v>
      </c>
      <c r="P22" s="83">
        <f t="shared" si="101"/>
        <v>0</v>
      </c>
      <c r="Q22" s="83">
        <f t="shared" si="101"/>
        <v>21</v>
      </c>
      <c r="R22" s="83">
        <f t="shared" si="101"/>
        <v>1</v>
      </c>
      <c r="S22" s="83">
        <f t="shared" si="101"/>
        <v>1</v>
      </c>
      <c r="T22" s="83">
        <f t="shared" si="101"/>
        <v>67</v>
      </c>
      <c r="U22" s="83">
        <f t="shared" si="101"/>
        <v>19</v>
      </c>
      <c r="V22" s="83">
        <f t="shared" si="101"/>
        <v>369</v>
      </c>
      <c r="W22" s="83">
        <f t="shared" si="101"/>
        <v>287</v>
      </c>
      <c r="X22" s="83">
        <f t="shared" si="101"/>
        <v>43</v>
      </c>
      <c r="Y22" s="83">
        <f t="shared" si="101"/>
        <v>0</v>
      </c>
      <c r="Z22" s="83">
        <f t="shared" si="101"/>
        <v>133</v>
      </c>
      <c r="AA22" s="83">
        <f t="shared" si="101"/>
        <v>4</v>
      </c>
      <c r="AB22" s="83">
        <f t="shared" si="101"/>
        <v>32</v>
      </c>
      <c r="AC22" s="83">
        <f t="shared" si="101"/>
        <v>29</v>
      </c>
      <c r="AD22" s="83">
        <f t="shared" si="101"/>
        <v>23</v>
      </c>
      <c r="AE22" s="83">
        <f t="shared" si="101"/>
        <v>327</v>
      </c>
      <c r="AF22" s="83">
        <f t="shared" si="101"/>
        <v>4</v>
      </c>
      <c r="AG22" s="83">
        <f t="shared" si="101"/>
        <v>2</v>
      </c>
      <c r="AH22" s="83">
        <f t="shared" si="101"/>
        <v>0</v>
      </c>
      <c r="AI22" s="83">
        <f t="shared" si="101"/>
        <v>0</v>
      </c>
      <c r="AJ22" s="83">
        <f t="shared" si="101"/>
        <v>0</v>
      </c>
      <c r="AK22" s="83">
        <f t="shared" si="70"/>
        <v>729</v>
      </c>
      <c r="AL22" s="83">
        <f t="shared" si="86"/>
        <v>541</v>
      </c>
      <c r="AM22" s="83">
        <f t="shared" ref="AM22" si="102">AK22+AL22</f>
        <v>1270</v>
      </c>
      <c r="AN22" s="83">
        <f>R22+U22+X22+AA22+AD22+AG22+AJ22</f>
        <v>92</v>
      </c>
      <c r="AO22" s="190">
        <f>O22/H22*100</f>
        <v>22.072072072072071</v>
      </c>
      <c r="AP22" s="190">
        <f t="shared" ref="AP22:AP23" si="103">AN22/H22*100</f>
        <v>41.441441441441441</v>
      </c>
      <c r="AQ22" s="190">
        <f t="shared" ref="AQ22:AQ23" si="104">AN22/AM22*100</f>
        <v>7.2440944881889759</v>
      </c>
      <c r="AR22" s="85">
        <f t="shared" ref="AR22:AR23" si="105">AK22/AM22*100</f>
        <v>57.4015748031496</v>
      </c>
      <c r="AS22" s="85">
        <f t="shared" ref="AS22:AS23" si="106">AL22/AM22*100</f>
        <v>42.598425196850393</v>
      </c>
      <c r="AT22" s="61">
        <f t="shared" ref="AT22:AT23" si="107">R22/AN22*100</f>
        <v>1.0869565217391304</v>
      </c>
      <c r="AU22" s="61">
        <f t="shared" ref="AU22:AU23" si="108">U22/AN22*100</f>
        <v>20.652173913043477</v>
      </c>
      <c r="AV22" s="61">
        <f t="shared" ref="AV22:AV23" si="109">X22/AN22*100</f>
        <v>46.739130434782609</v>
      </c>
      <c r="AW22" s="61">
        <f t="shared" ref="AW22:AW23" si="110">AA22/AN22*100</f>
        <v>4.3478260869565215</v>
      </c>
      <c r="AX22" s="61">
        <f t="shared" ref="AX22:AX23" si="111">AD22/AN22*100</f>
        <v>25</v>
      </c>
      <c r="AY22" s="61">
        <f t="shared" ref="AY22:AY23" si="112">AG22/AN22*100</f>
        <v>2.1739130434782608</v>
      </c>
      <c r="AZ22" s="61">
        <f t="shared" ref="AZ22:AZ23" si="113">AJ22/AN22*100</f>
        <v>0</v>
      </c>
    </row>
    <row r="23" spans="1:52" s="63" customFormat="1" ht="20.25" customHeight="1">
      <c r="A23" s="424" t="s">
        <v>145</v>
      </c>
      <c r="B23" s="77" t="s">
        <v>49</v>
      </c>
      <c r="C23" s="77">
        <f>SUM(C24:C25)</f>
        <v>510</v>
      </c>
      <c r="D23" s="78">
        <f>MIN(D24:D25)</f>
        <v>45974</v>
      </c>
      <c r="E23" s="78">
        <f>MAX(E24:E25)</f>
        <v>45989</v>
      </c>
      <c r="F23" s="77">
        <f>SUM(F24:F25)</f>
        <v>207</v>
      </c>
      <c r="G23" s="77">
        <f t="shared" ref="G23:AJ23" si="114">SUM(G24:G25)</f>
        <v>0</v>
      </c>
      <c r="H23" s="77">
        <f t="shared" si="114"/>
        <v>207</v>
      </c>
      <c r="I23" s="77">
        <f t="shared" si="114"/>
        <v>0</v>
      </c>
      <c r="J23" s="77">
        <f t="shared" si="114"/>
        <v>0</v>
      </c>
      <c r="K23" s="77">
        <f t="shared" si="114"/>
        <v>207</v>
      </c>
      <c r="L23" s="77">
        <f t="shared" si="114"/>
        <v>0</v>
      </c>
      <c r="M23" s="77">
        <f t="shared" si="114"/>
        <v>0</v>
      </c>
      <c r="N23" s="77">
        <f t="shared" si="114"/>
        <v>218</v>
      </c>
      <c r="O23" s="77">
        <f t="shared" si="114"/>
        <v>3</v>
      </c>
      <c r="P23" s="77">
        <f t="shared" si="114"/>
        <v>0</v>
      </c>
      <c r="Q23" s="77">
        <f t="shared" si="114"/>
        <v>2</v>
      </c>
      <c r="R23" s="77">
        <f t="shared" si="114"/>
        <v>0</v>
      </c>
      <c r="S23" s="77">
        <f t="shared" si="114"/>
        <v>3</v>
      </c>
      <c r="T23" s="77">
        <f t="shared" si="114"/>
        <v>135</v>
      </c>
      <c r="U23" s="77">
        <f t="shared" si="114"/>
        <v>5</v>
      </c>
      <c r="V23" s="77">
        <f t="shared" si="114"/>
        <v>136</v>
      </c>
      <c r="W23" s="77">
        <f t="shared" si="114"/>
        <v>58</v>
      </c>
      <c r="X23" s="77">
        <f t="shared" si="114"/>
        <v>0</v>
      </c>
      <c r="Y23" s="77">
        <f t="shared" si="114"/>
        <v>0</v>
      </c>
      <c r="Z23" s="77">
        <f t="shared" si="114"/>
        <v>12</v>
      </c>
      <c r="AA23" s="77">
        <f t="shared" si="114"/>
        <v>0</v>
      </c>
      <c r="AB23" s="77">
        <f t="shared" si="114"/>
        <v>50</v>
      </c>
      <c r="AC23" s="77">
        <f t="shared" si="114"/>
        <v>98</v>
      </c>
      <c r="AD23" s="77">
        <f t="shared" si="114"/>
        <v>0</v>
      </c>
      <c r="AE23" s="77">
        <f t="shared" si="114"/>
        <v>369</v>
      </c>
      <c r="AF23" s="77">
        <f t="shared" si="114"/>
        <v>13</v>
      </c>
      <c r="AG23" s="77">
        <f t="shared" si="114"/>
        <v>0</v>
      </c>
      <c r="AH23" s="77">
        <f t="shared" si="114"/>
        <v>0</v>
      </c>
      <c r="AI23" s="77">
        <f t="shared" si="114"/>
        <v>0</v>
      </c>
      <c r="AJ23" s="77">
        <f t="shared" si="114"/>
        <v>0</v>
      </c>
      <c r="AK23" s="77">
        <f t="shared" si="70"/>
        <v>558</v>
      </c>
      <c r="AL23" s="77">
        <f t="shared" si="86"/>
        <v>318</v>
      </c>
      <c r="AM23" s="77">
        <f>AK23+AL23</f>
        <v>876</v>
      </c>
      <c r="AN23" s="77">
        <f>R23+U23+X23+AA23+AD23+AG23+AJ23</f>
        <v>5</v>
      </c>
      <c r="AO23" s="188">
        <f t="shared" ref="AO23" si="115">O23/H23*100</f>
        <v>1.4492753623188406</v>
      </c>
      <c r="AP23" s="188">
        <f t="shared" si="103"/>
        <v>2.4154589371980677</v>
      </c>
      <c r="AQ23" s="188">
        <f t="shared" si="104"/>
        <v>0.57077625570776247</v>
      </c>
      <c r="AR23" s="88">
        <f t="shared" si="105"/>
        <v>63.698630136986303</v>
      </c>
      <c r="AS23" s="88">
        <f t="shared" si="106"/>
        <v>36.301369863013697</v>
      </c>
      <c r="AT23" s="80">
        <f t="shared" si="107"/>
        <v>0</v>
      </c>
      <c r="AU23" s="80">
        <f t="shared" si="108"/>
        <v>100</v>
      </c>
      <c r="AV23" s="80">
        <f t="shared" si="109"/>
        <v>0</v>
      </c>
      <c r="AW23" s="80">
        <f t="shared" si="110"/>
        <v>0</v>
      </c>
      <c r="AX23" s="80">
        <f t="shared" si="111"/>
        <v>0</v>
      </c>
      <c r="AY23" s="80">
        <f t="shared" si="112"/>
        <v>0</v>
      </c>
      <c r="AZ23" s="80">
        <f t="shared" si="113"/>
        <v>0</v>
      </c>
    </row>
    <row r="24" spans="1:52" s="63" customFormat="1" ht="20.25" customHeight="1">
      <c r="A24" s="424"/>
      <c r="B24" s="202" t="s">
        <v>201</v>
      </c>
      <c r="C24" s="261">
        <v>321</v>
      </c>
      <c r="D24" s="177">
        <v>45974</v>
      </c>
      <c r="E24" s="177">
        <v>45982</v>
      </c>
      <c r="F24" s="261">
        <v>109</v>
      </c>
      <c r="G24" s="261">
        <v>0</v>
      </c>
      <c r="H24" s="298">
        <f t="shared" ref="H24:H25" si="116">F24+G24</f>
        <v>109</v>
      </c>
      <c r="I24" s="261">
        <v>0</v>
      </c>
      <c r="J24" s="261">
        <v>0</v>
      </c>
      <c r="K24" s="298">
        <f t="shared" ref="K24:K25" si="117">H24+I24+J24</f>
        <v>109</v>
      </c>
      <c r="L24" s="261">
        <v>0</v>
      </c>
      <c r="M24" s="261">
        <v>0</v>
      </c>
      <c r="N24" s="261">
        <v>109</v>
      </c>
      <c r="O24" s="261">
        <v>0</v>
      </c>
      <c r="P24" s="261">
        <v>0</v>
      </c>
      <c r="Q24" s="261">
        <v>2</v>
      </c>
      <c r="R24" s="261">
        <v>0</v>
      </c>
      <c r="S24" s="261">
        <v>1</v>
      </c>
      <c r="T24" s="261">
        <v>61</v>
      </c>
      <c r="U24" s="261">
        <v>0</v>
      </c>
      <c r="V24" s="261">
        <v>72</v>
      </c>
      <c r="W24" s="261">
        <v>20</v>
      </c>
      <c r="X24" s="261">
        <v>0</v>
      </c>
      <c r="Y24" s="261">
        <v>0</v>
      </c>
      <c r="Z24" s="261">
        <v>12</v>
      </c>
      <c r="AA24" s="261">
        <v>0</v>
      </c>
      <c r="AB24" s="261">
        <v>35</v>
      </c>
      <c r="AC24" s="261">
        <v>66</v>
      </c>
      <c r="AD24" s="261">
        <v>0</v>
      </c>
      <c r="AE24" s="261">
        <v>194</v>
      </c>
      <c r="AF24" s="261">
        <v>3</v>
      </c>
      <c r="AG24" s="261">
        <v>0</v>
      </c>
      <c r="AH24" s="261">
        <v>0</v>
      </c>
      <c r="AI24" s="261">
        <v>0</v>
      </c>
      <c r="AJ24" s="261">
        <v>0</v>
      </c>
      <c r="AK24" s="314">
        <f t="shared" si="70"/>
        <v>302</v>
      </c>
      <c r="AL24" s="314">
        <f t="shared" si="86"/>
        <v>164</v>
      </c>
      <c r="AM24" s="298">
        <f t="shared" ref="AM24" si="118">AK24+AL24</f>
        <v>466</v>
      </c>
      <c r="AN24" s="298">
        <f>R23+U23+X23+AA23+AD23+AG23+AJ23</f>
        <v>5</v>
      </c>
      <c r="AO24" s="189">
        <f>O23/H23*100</f>
        <v>1.4492753623188406</v>
      </c>
      <c r="AP24" s="189">
        <f>AN24/H23*100</f>
        <v>2.4154589371980677</v>
      </c>
      <c r="AQ24" s="189">
        <f t="shared" ref="AQ24" si="119">AN24/AM24*100</f>
        <v>1.0729613733905579</v>
      </c>
      <c r="AR24" s="81">
        <f t="shared" ref="AR24" si="120">AK24/AM24*100</f>
        <v>64.806866952789704</v>
      </c>
      <c r="AS24" s="81">
        <f t="shared" ref="AS24" si="121">AL24/AM24*100</f>
        <v>35.193133047210303</v>
      </c>
      <c r="AT24" s="131">
        <f>R23/AN24*100</f>
        <v>0</v>
      </c>
      <c r="AU24" s="131">
        <f>U23/AN24*100</f>
        <v>100</v>
      </c>
      <c r="AV24" s="131">
        <f>X23/AN24*100</f>
        <v>0</v>
      </c>
      <c r="AW24" s="131">
        <f>AA23/AN24*100</f>
        <v>0</v>
      </c>
      <c r="AX24" s="131">
        <f>AD23/AN24*100</f>
        <v>0</v>
      </c>
      <c r="AY24" s="131">
        <f>AG23/AN24*100</f>
        <v>0</v>
      </c>
      <c r="AZ24" s="131">
        <f>AJ23/AN24*100</f>
        <v>0</v>
      </c>
    </row>
    <row r="25" spans="1:52" s="63" customFormat="1" ht="20.25" customHeight="1">
      <c r="A25" s="424"/>
      <c r="B25" s="296" t="s">
        <v>296</v>
      </c>
      <c r="C25" s="261">
        <v>189</v>
      </c>
      <c r="D25" s="177">
        <v>45985</v>
      </c>
      <c r="E25" s="177">
        <v>45989</v>
      </c>
      <c r="F25" s="261">
        <v>98</v>
      </c>
      <c r="G25" s="261">
        <v>0</v>
      </c>
      <c r="H25" s="298">
        <f t="shared" si="116"/>
        <v>98</v>
      </c>
      <c r="I25" s="261">
        <v>0</v>
      </c>
      <c r="J25" s="261">
        <v>0</v>
      </c>
      <c r="K25" s="298">
        <f t="shared" si="117"/>
        <v>98</v>
      </c>
      <c r="L25" s="261">
        <v>0</v>
      </c>
      <c r="M25" s="261">
        <v>0</v>
      </c>
      <c r="N25" s="261">
        <v>109</v>
      </c>
      <c r="O25" s="261">
        <v>3</v>
      </c>
      <c r="P25" s="261">
        <v>0</v>
      </c>
      <c r="Q25" s="261">
        <v>0</v>
      </c>
      <c r="R25" s="261">
        <v>0</v>
      </c>
      <c r="S25" s="261">
        <v>2</v>
      </c>
      <c r="T25" s="261">
        <v>74</v>
      </c>
      <c r="U25" s="261">
        <v>5</v>
      </c>
      <c r="V25" s="261">
        <v>64</v>
      </c>
      <c r="W25" s="261">
        <v>38</v>
      </c>
      <c r="X25" s="261">
        <v>0</v>
      </c>
      <c r="Y25" s="261">
        <v>0</v>
      </c>
      <c r="Z25" s="261">
        <v>0</v>
      </c>
      <c r="AA25" s="261">
        <v>0</v>
      </c>
      <c r="AB25" s="261">
        <v>15</v>
      </c>
      <c r="AC25" s="261">
        <v>32</v>
      </c>
      <c r="AD25" s="261">
        <v>0</v>
      </c>
      <c r="AE25" s="261">
        <v>175</v>
      </c>
      <c r="AF25" s="261">
        <v>10</v>
      </c>
      <c r="AG25" s="261">
        <v>0</v>
      </c>
      <c r="AH25" s="261">
        <v>0</v>
      </c>
      <c r="AI25" s="261">
        <v>0</v>
      </c>
      <c r="AJ25" s="261">
        <v>0</v>
      </c>
      <c r="AK25" s="314">
        <f t="shared" si="70"/>
        <v>256</v>
      </c>
      <c r="AL25" s="314">
        <f t="shared" si="86"/>
        <v>154</v>
      </c>
      <c r="AM25" s="298">
        <f t="shared" ref="AM25" si="122">AK25+AL25</f>
        <v>410</v>
      </c>
      <c r="AN25" s="298">
        <f>R24+U24+X24+AA24+AD24+AG24+AJ24</f>
        <v>0</v>
      </c>
      <c r="AO25" s="189">
        <f>O24/H24*100</f>
        <v>0</v>
      </c>
      <c r="AP25" s="189">
        <f>AN25/H24*100</f>
        <v>0</v>
      </c>
      <c r="AQ25" s="189">
        <f t="shared" ref="AQ25" si="123">AN25/AM25*100</f>
        <v>0</v>
      </c>
      <c r="AR25" s="81">
        <f t="shared" ref="AR25" si="124">AK25/AM25*100</f>
        <v>62.439024390243901</v>
      </c>
      <c r="AS25" s="81">
        <f t="shared" ref="AS25" si="125">AL25/AM25*100</f>
        <v>37.560975609756099</v>
      </c>
      <c r="AT25" s="131" t="e">
        <f>R24/AN25*100</f>
        <v>#DIV/0!</v>
      </c>
      <c r="AU25" s="131" t="e">
        <f>U24/AN25*100</f>
        <v>#DIV/0!</v>
      </c>
      <c r="AV25" s="131" t="e">
        <f>X24/AN25*100</f>
        <v>#DIV/0!</v>
      </c>
      <c r="AW25" s="131" t="e">
        <f>AA24/AN25*100</f>
        <v>#DIV/0!</v>
      </c>
      <c r="AX25" s="131" t="e">
        <f>AD24/AN25*100</f>
        <v>#DIV/0!</v>
      </c>
      <c r="AY25" s="131" t="e">
        <f>AG24/AN25*100</f>
        <v>#DIV/0!</v>
      </c>
      <c r="AZ25" s="131" t="e">
        <f>AJ24/AN25*100</f>
        <v>#DIV/0!</v>
      </c>
    </row>
    <row r="26" spans="1:52" s="63" customFormat="1" ht="20.25" customHeight="1">
      <c r="A26" s="62" t="s">
        <v>295</v>
      </c>
      <c r="B26" s="83">
        <v>3</v>
      </c>
      <c r="C26" s="83">
        <f>C23</f>
        <v>510</v>
      </c>
      <c r="D26" s="84">
        <f>D23</f>
        <v>45974</v>
      </c>
      <c r="E26" s="84">
        <f>E23</f>
        <v>45989</v>
      </c>
      <c r="F26" s="83">
        <f>F23</f>
        <v>207</v>
      </c>
      <c r="G26" s="83">
        <f t="shared" ref="G26:AJ26" si="126">G23</f>
        <v>0</v>
      </c>
      <c r="H26" s="83">
        <f t="shared" si="126"/>
        <v>207</v>
      </c>
      <c r="I26" s="83">
        <f t="shared" si="126"/>
        <v>0</v>
      </c>
      <c r="J26" s="83">
        <f t="shared" si="126"/>
        <v>0</v>
      </c>
      <c r="K26" s="83">
        <f t="shared" si="126"/>
        <v>207</v>
      </c>
      <c r="L26" s="83">
        <f t="shared" si="126"/>
        <v>0</v>
      </c>
      <c r="M26" s="83">
        <f t="shared" si="126"/>
        <v>0</v>
      </c>
      <c r="N26" s="83">
        <f t="shared" si="126"/>
        <v>218</v>
      </c>
      <c r="O26" s="83">
        <f t="shared" si="126"/>
        <v>3</v>
      </c>
      <c r="P26" s="83">
        <f t="shared" si="126"/>
        <v>0</v>
      </c>
      <c r="Q26" s="83">
        <f t="shared" si="126"/>
        <v>2</v>
      </c>
      <c r="R26" s="83">
        <f t="shared" si="126"/>
        <v>0</v>
      </c>
      <c r="S26" s="83">
        <f t="shared" si="126"/>
        <v>3</v>
      </c>
      <c r="T26" s="83">
        <f t="shared" si="126"/>
        <v>135</v>
      </c>
      <c r="U26" s="83">
        <f t="shared" si="126"/>
        <v>5</v>
      </c>
      <c r="V26" s="83">
        <f t="shared" si="126"/>
        <v>136</v>
      </c>
      <c r="W26" s="83">
        <f t="shared" si="126"/>
        <v>58</v>
      </c>
      <c r="X26" s="83">
        <f t="shared" si="126"/>
        <v>0</v>
      </c>
      <c r="Y26" s="83">
        <f t="shared" si="126"/>
        <v>0</v>
      </c>
      <c r="Z26" s="83">
        <f t="shared" si="126"/>
        <v>12</v>
      </c>
      <c r="AA26" s="83">
        <f t="shared" si="126"/>
        <v>0</v>
      </c>
      <c r="AB26" s="83">
        <f t="shared" si="126"/>
        <v>50</v>
      </c>
      <c r="AC26" s="83">
        <f t="shared" si="126"/>
        <v>98</v>
      </c>
      <c r="AD26" s="83">
        <f t="shared" si="126"/>
        <v>0</v>
      </c>
      <c r="AE26" s="83">
        <f t="shared" si="126"/>
        <v>369</v>
      </c>
      <c r="AF26" s="83">
        <f t="shared" si="126"/>
        <v>13</v>
      </c>
      <c r="AG26" s="83">
        <f t="shared" si="126"/>
        <v>0</v>
      </c>
      <c r="AH26" s="83">
        <f t="shared" si="126"/>
        <v>0</v>
      </c>
      <c r="AI26" s="83">
        <f t="shared" si="126"/>
        <v>0</v>
      </c>
      <c r="AJ26" s="83">
        <f t="shared" si="126"/>
        <v>0</v>
      </c>
      <c r="AK26" s="83">
        <f t="shared" si="70"/>
        <v>558</v>
      </c>
      <c r="AL26" s="83">
        <f t="shared" si="86"/>
        <v>318</v>
      </c>
      <c r="AM26" s="83">
        <f t="shared" ref="AM26" si="127">AK26+AL26</f>
        <v>876</v>
      </c>
      <c r="AN26" s="83">
        <f>R26+U26+X26+AA26+AD26+AG26+AJ26</f>
        <v>5</v>
      </c>
      <c r="AO26" s="190">
        <f>O26/H26*100</f>
        <v>1.4492753623188406</v>
      </c>
      <c r="AP26" s="190">
        <f t="shared" ref="AP26:AP27" si="128">AN26/H26*100</f>
        <v>2.4154589371980677</v>
      </c>
      <c r="AQ26" s="190">
        <f t="shared" ref="AQ26:AQ28" si="129">AN26/AM26*100</f>
        <v>0.57077625570776247</v>
      </c>
      <c r="AR26" s="85">
        <f t="shared" ref="AR26:AR28" si="130">AK26/AM26*100</f>
        <v>63.698630136986303</v>
      </c>
      <c r="AS26" s="85">
        <f t="shared" ref="AS26:AS28" si="131">AL26/AM26*100</f>
        <v>36.301369863013697</v>
      </c>
      <c r="AT26" s="61">
        <f t="shared" ref="AT26:AT27" si="132">R26/AN26*100</f>
        <v>0</v>
      </c>
      <c r="AU26" s="61">
        <f t="shared" ref="AU26:AU27" si="133">U26/AN26*100</f>
        <v>100</v>
      </c>
      <c r="AV26" s="61">
        <f t="shared" ref="AV26:AV27" si="134">X26/AN26*100</f>
        <v>0</v>
      </c>
      <c r="AW26" s="61">
        <f t="shared" ref="AW26:AW27" si="135">AA26/AN26*100</f>
        <v>0</v>
      </c>
      <c r="AX26" s="61">
        <f t="shared" ref="AX26:AX27" si="136">AD26/AN26*100</f>
        <v>0</v>
      </c>
      <c r="AY26" s="61">
        <f t="shared" ref="AY26:AY27" si="137">AG26/AN26*100</f>
        <v>0</v>
      </c>
      <c r="AZ26" s="61">
        <f t="shared" ref="AZ26:AZ27" si="138">AJ26/AN26*100</f>
        <v>0</v>
      </c>
    </row>
    <row r="27" spans="1:52" s="63" customFormat="1" ht="20.25" customHeight="1">
      <c r="A27" s="415" t="s">
        <v>145</v>
      </c>
      <c r="B27" s="77" t="s">
        <v>49</v>
      </c>
      <c r="C27" s="77">
        <f>SUM(C28)</f>
        <v>282</v>
      </c>
      <c r="D27" s="78">
        <f>MIN(D28)</f>
        <v>46006</v>
      </c>
      <c r="E27" s="78">
        <f>MAX(E28)</f>
        <v>46014</v>
      </c>
      <c r="F27" s="77">
        <f>SUM(F28)</f>
        <v>101</v>
      </c>
      <c r="G27" s="77">
        <f t="shared" ref="G27:AJ27" si="139">SUM(G28)</f>
        <v>0</v>
      </c>
      <c r="H27" s="77">
        <f t="shared" si="139"/>
        <v>101</v>
      </c>
      <c r="I27" s="77">
        <f t="shared" si="139"/>
        <v>15</v>
      </c>
      <c r="J27" s="77">
        <f t="shared" si="139"/>
        <v>0</v>
      </c>
      <c r="K27" s="77">
        <f t="shared" si="139"/>
        <v>116</v>
      </c>
      <c r="L27" s="77">
        <f t="shared" si="139"/>
        <v>0</v>
      </c>
      <c r="M27" s="77">
        <f t="shared" si="139"/>
        <v>0</v>
      </c>
      <c r="N27" s="77">
        <f t="shared" si="139"/>
        <v>101</v>
      </c>
      <c r="O27" s="77">
        <f t="shared" si="139"/>
        <v>2</v>
      </c>
      <c r="P27" s="77">
        <f t="shared" si="139"/>
        <v>0</v>
      </c>
      <c r="Q27" s="77">
        <f t="shared" si="139"/>
        <v>13</v>
      </c>
      <c r="R27" s="77">
        <f t="shared" si="139"/>
        <v>0</v>
      </c>
      <c r="S27" s="77">
        <f t="shared" si="139"/>
        <v>6</v>
      </c>
      <c r="T27" s="77">
        <f t="shared" si="139"/>
        <v>67</v>
      </c>
      <c r="U27" s="77">
        <f t="shared" si="139"/>
        <v>1</v>
      </c>
      <c r="V27" s="77">
        <f t="shared" si="139"/>
        <v>121</v>
      </c>
      <c r="W27" s="77">
        <f t="shared" si="139"/>
        <v>21</v>
      </c>
      <c r="X27" s="77">
        <f t="shared" si="139"/>
        <v>0</v>
      </c>
      <c r="Y27" s="77">
        <f t="shared" si="139"/>
        <v>0</v>
      </c>
      <c r="Z27" s="77">
        <f t="shared" si="139"/>
        <v>65</v>
      </c>
      <c r="AA27" s="77">
        <f t="shared" si="139"/>
        <v>0</v>
      </c>
      <c r="AB27" s="77">
        <f t="shared" si="139"/>
        <v>12</v>
      </c>
      <c r="AC27" s="77">
        <f t="shared" si="139"/>
        <v>18</v>
      </c>
      <c r="AD27" s="77">
        <f t="shared" si="139"/>
        <v>1</v>
      </c>
      <c r="AE27" s="77">
        <f t="shared" si="139"/>
        <v>181</v>
      </c>
      <c r="AF27" s="77">
        <f t="shared" si="139"/>
        <v>0</v>
      </c>
      <c r="AG27" s="77">
        <f t="shared" si="139"/>
        <v>0</v>
      </c>
      <c r="AH27" s="77">
        <f t="shared" si="139"/>
        <v>0</v>
      </c>
      <c r="AI27" s="77">
        <f t="shared" si="139"/>
        <v>0</v>
      </c>
      <c r="AJ27" s="77">
        <f t="shared" si="139"/>
        <v>0</v>
      </c>
      <c r="AK27" s="77">
        <f t="shared" si="70"/>
        <v>320</v>
      </c>
      <c r="AL27" s="77">
        <f t="shared" si="86"/>
        <v>184</v>
      </c>
      <c r="AM27" s="77">
        <f>AK27+AL27</f>
        <v>504</v>
      </c>
      <c r="AN27" s="77">
        <f>R27+U27+X27+AA27+AD27+AG27+AJ27</f>
        <v>2</v>
      </c>
      <c r="AO27" s="188">
        <f t="shared" ref="AO27" si="140">O27/H27*100</f>
        <v>1.9801980198019802</v>
      </c>
      <c r="AP27" s="188">
        <f t="shared" si="128"/>
        <v>1.9801980198019802</v>
      </c>
      <c r="AQ27" s="188">
        <f t="shared" si="129"/>
        <v>0.3968253968253968</v>
      </c>
      <c r="AR27" s="88">
        <f t="shared" si="130"/>
        <v>63.492063492063487</v>
      </c>
      <c r="AS27" s="88">
        <f t="shared" si="131"/>
        <v>36.507936507936506</v>
      </c>
      <c r="AT27" s="80">
        <f t="shared" si="132"/>
        <v>0</v>
      </c>
      <c r="AU27" s="80">
        <f t="shared" si="133"/>
        <v>50</v>
      </c>
      <c r="AV27" s="80">
        <f t="shared" si="134"/>
        <v>0</v>
      </c>
      <c r="AW27" s="80">
        <f t="shared" si="135"/>
        <v>0</v>
      </c>
      <c r="AX27" s="80">
        <f t="shared" si="136"/>
        <v>50</v>
      </c>
      <c r="AY27" s="80">
        <f t="shared" si="137"/>
        <v>0</v>
      </c>
      <c r="AZ27" s="80">
        <f t="shared" si="138"/>
        <v>0</v>
      </c>
    </row>
    <row r="28" spans="1:52" s="63" customFormat="1" ht="20.25" customHeight="1">
      <c r="A28" s="417"/>
      <c r="B28" s="202" t="s">
        <v>171</v>
      </c>
      <c r="C28" s="306">
        <v>282</v>
      </c>
      <c r="D28" s="305">
        <v>46006</v>
      </c>
      <c r="E28" s="305">
        <v>46014</v>
      </c>
      <c r="F28" s="306">
        <v>101</v>
      </c>
      <c r="G28" s="306">
        <v>0</v>
      </c>
      <c r="H28" s="307">
        <f t="shared" ref="H28" si="141">F28+G28</f>
        <v>101</v>
      </c>
      <c r="I28" s="306">
        <v>15</v>
      </c>
      <c r="J28" s="306">
        <v>0</v>
      </c>
      <c r="K28" s="307">
        <f t="shared" ref="K28" si="142">H28+I28+J28</f>
        <v>116</v>
      </c>
      <c r="L28" s="306">
        <v>0</v>
      </c>
      <c r="M28" s="306">
        <v>0</v>
      </c>
      <c r="N28" s="306">
        <v>101</v>
      </c>
      <c r="O28" s="306">
        <v>2</v>
      </c>
      <c r="P28" s="306">
        <v>0</v>
      </c>
      <c r="Q28" s="306">
        <v>13</v>
      </c>
      <c r="R28" s="306">
        <v>0</v>
      </c>
      <c r="S28" s="306">
        <v>6</v>
      </c>
      <c r="T28" s="306">
        <v>67</v>
      </c>
      <c r="U28" s="306">
        <v>1</v>
      </c>
      <c r="V28" s="306">
        <v>121</v>
      </c>
      <c r="W28" s="306">
        <v>21</v>
      </c>
      <c r="X28" s="306">
        <v>0</v>
      </c>
      <c r="Y28" s="306">
        <v>0</v>
      </c>
      <c r="Z28" s="306">
        <v>65</v>
      </c>
      <c r="AA28" s="306">
        <v>0</v>
      </c>
      <c r="AB28" s="306">
        <v>12</v>
      </c>
      <c r="AC28" s="306">
        <v>18</v>
      </c>
      <c r="AD28" s="306">
        <v>1</v>
      </c>
      <c r="AE28" s="306">
        <v>181</v>
      </c>
      <c r="AF28" s="306">
        <v>0</v>
      </c>
      <c r="AG28" s="306">
        <v>0</v>
      </c>
      <c r="AH28" s="306">
        <v>0</v>
      </c>
      <c r="AI28" s="306">
        <v>0</v>
      </c>
      <c r="AJ28" s="306">
        <v>0</v>
      </c>
      <c r="AK28" s="307">
        <f>P27+S27+V27+Y27+AB27+AE27+AH27</f>
        <v>320</v>
      </c>
      <c r="AL28" s="307">
        <f>Q27+T27+W27+Z27+AC27+AF27+AI27</f>
        <v>184</v>
      </c>
      <c r="AM28" s="307">
        <f>AK28+AL28</f>
        <v>504</v>
      </c>
      <c r="AN28" s="307">
        <f>R27+U27+X27+AA27+AD27+AG27+AJ27</f>
        <v>2</v>
      </c>
      <c r="AO28" s="189">
        <f>O27/H27*100</f>
        <v>1.9801980198019802</v>
      </c>
      <c r="AP28" s="189">
        <f>AN28/H27*100</f>
        <v>1.9801980198019802</v>
      </c>
      <c r="AQ28" s="189">
        <f t="shared" si="129"/>
        <v>0.3968253968253968</v>
      </c>
      <c r="AR28" s="81">
        <f t="shared" si="130"/>
        <v>63.492063492063487</v>
      </c>
      <c r="AS28" s="81">
        <f t="shared" si="131"/>
        <v>36.507936507936506</v>
      </c>
      <c r="AT28" s="131">
        <f>R27/AN28*100</f>
        <v>0</v>
      </c>
      <c r="AU28" s="131">
        <f>U27/AN28*100</f>
        <v>50</v>
      </c>
      <c r="AV28" s="131">
        <f>X27/AN28*100</f>
        <v>0</v>
      </c>
      <c r="AW28" s="131">
        <f>AA27/AN28*100</f>
        <v>0</v>
      </c>
      <c r="AX28" s="131">
        <f>AD27/AN28*100</f>
        <v>50</v>
      </c>
      <c r="AY28" s="131">
        <f>AG27/AN28*100</f>
        <v>0</v>
      </c>
      <c r="AZ28" s="131">
        <f>AJ27/AN28*100</f>
        <v>0</v>
      </c>
    </row>
    <row r="29" spans="1:52" s="63" customFormat="1" ht="20.25" customHeight="1">
      <c r="A29" s="62" t="s">
        <v>305</v>
      </c>
      <c r="B29" s="83">
        <v>1</v>
      </c>
      <c r="C29" s="83">
        <f>C27</f>
        <v>282</v>
      </c>
      <c r="D29" s="84">
        <f>D28</f>
        <v>46006</v>
      </c>
      <c r="E29" s="84">
        <f>E28</f>
        <v>46014</v>
      </c>
      <c r="F29" s="83">
        <f>F27</f>
        <v>101</v>
      </c>
      <c r="G29" s="83">
        <f t="shared" ref="G29:AJ29" si="143">G27</f>
        <v>0</v>
      </c>
      <c r="H29" s="83">
        <f t="shared" si="143"/>
        <v>101</v>
      </c>
      <c r="I29" s="83">
        <f t="shared" si="143"/>
        <v>15</v>
      </c>
      <c r="J29" s="83">
        <f t="shared" si="143"/>
        <v>0</v>
      </c>
      <c r="K29" s="83">
        <f t="shared" si="143"/>
        <v>116</v>
      </c>
      <c r="L29" s="83">
        <f t="shared" si="143"/>
        <v>0</v>
      </c>
      <c r="M29" s="83">
        <f t="shared" si="143"/>
        <v>0</v>
      </c>
      <c r="N29" s="83">
        <f t="shared" si="143"/>
        <v>101</v>
      </c>
      <c r="O29" s="83">
        <f t="shared" si="143"/>
        <v>2</v>
      </c>
      <c r="P29" s="83">
        <f t="shared" si="143"/>
        <v>0</v>
      </c>
      <c r="Q29" s="83">
        <f t="shared" si="143"/>
        <v>13</v>
      </c>
      <c r="R29" s="83">
        <f t="shared" si="143"/>
        <v>0</v>
      </c>
      <c r="S29" s="83">
        <f t="shared" si="143"/>
        <v>6</v>
      </c>
      <c r="T29" s="83">
        <f t="shared" si="143"/>
        <v>67</v>
      </c>
      <c r="U29" s="83">
        <f t="shared" si="143"/>
        <v>1</v>
      </c>
      <c r="V29" s="83">
        <f t="shared" si="143"/>
        <v>121</v>
      </c>
      <c r="W29" s="83">
        <f t="shared" si="143"/>
        <v>21</v>
      </c>
      <c r="X29" s="83">
        <f t="shared" si="143"/>
        <v>0</v>
      </c>
      <c r="Y29" s="83">
        <f t="shared" si="143"/>
        <v>0</v>
      </c>
      <c r="Z29" s="83">
        <f t="shared" si="143"/>
        <v>65</v>
      </c>
      <c r="AA29" s="83">
        <f t="shared" si="143"/>
        <v>0</v>
      </c>
      <c r="AB29" s="83">
        <f t="shared" si="143"/>
        <v>12</v>
      </c>
      <c r="AC29" s="83">
        <f t="shared" si="143"/>
        <v>18</v>
      </c>
      <c r="AD29" s="83">
        <f t="shared" si="143"/>
        <v>1</v>
      </c>
      <c r="AE29" s="83">
        <f>AE27</f>
        <v>181</v>
      </c>
      <c r="AF29" s="83">
        <f t="shared" si="143"/>
        <v>0</v>
      </c>
      <c r="AG29" s="83">
        <f t="shared" si="143"/>
        <v>0</v>
      </c>
      <c r="AH29" s="83">
        <f t="shared" si="143"/>
        <v>0</v>
      </c>
      <c r="AI29" s="83">
        <f t="shared" si="143"/>
        <v>0</v>
      </c>
      <c r="AJ29" s="83">
        <f t="shared" si="143"/>
        <v>0</v>
      </c>
      <c r="AK29" s="83">
        <f>P29+S29+V29+Y29+AB29+AE29+AH29</f>
        <v>320</v>
      </c>
      <c r="AL29" s="83">
        <f>Q29+T29+W29+Z29+AC29+AF29+AI29</f>
        <v>184</v>
      </c>
      <c r="AM29" s="83">
        <f>AK29+AL29</f>
        <v>504</v>
      </c>
      <c r="AN29" s="83">
        <f>R29+U29+X29+AA29+AD29+AG29+AJ29</f>
        <v>2</v>
      </c>
      <c r="AO29" s="190">
        <f>O29/H29*100</f>
        <v>1.9801980198019802</v>
      </c>
      <c r="AP29" s="190">
        <f t="shared" ref="AP29" si="144">AN29/H29*100</f>
        <v>1.9801980198019802</v>
      </c>
      <c r="AQ29" s="190">
        <f t="shared" ref="AQ29" si="145">AN29/AM29*100</f>
        <v>0.3968253968253968</v>
      </c>
      <c r="AR29" s="85">
        <f t="shared" ref="AR29" si="146">AK29/AM29*100</f>
        <v>63.492063492063487</v>
      </c>
      <c r="AS29" s="85">
        <f t="shared" ref="AS29" si="147">AL29/AM29*100</f>
        <v>36.507936507936506</v>
      </c>
      <c r="AT29" s="61">
        <f t="shared" ref="AT29" si="148">R29/AN29*100</f>
        <v>0</v>
      </c>
      <c r="AU29" s="61">
        <f t="shared" ref="AU29" si="149">U29/AN29*100</f>
        <v>50</v>
      </c>
      <c r="AV29" s="61">
        <f t="shared" ref="AV29" si="150">X29/AN29*100</f>
        <v>0</v>
      </c>
      <c r="AW29" s="61">
        <f t="shared" ref="AW29" si="151">AA29/AN29*100</f>
        <v>0</v>
      </c>
      <c r="AX29" s="61">
        <f t="shared" ref="AX29" si="152">AD29/AN29*100</f>
        <v>50</v>
      </c>
      <c r="AY29" s="61">
        <f t="shared" ref="AY29" si="153">AG29/AN29*100</f>
        <v>0</v>
      </c>
      <c r="AZ29" s="61">
        <f t="shared" ref="AZ29" si="154">AJ29/AN29*100</f>
        <v>0</v>
      </c>
    </row>
    <row r="30" spans="1:52" s="63" customFormat="1" ht="20.25" customHeight="1">
      <c r="A30" s="83" t="s">
        <v>38</v>
      </c>
      <c r="B30" s="83">
        <f>B9+B13+B18+B22+B26+B29</f>
        <v>14</v>
      </c>
      <c r="C30" s="87">
        <f>C9+C13+C18+C22+C26+C29</f>
        <v>4151</v>
      </c>
      <c r="D30" s="84">
        <f>MIN(D7:D22)</f>
        <v>45663</v>
      </c>
      <c r="E30" s="84">
        <f>MAX(E7:E29)</f>
        <v>46014</v>
      </c>
      <c r="F30" s="87">
        <f>F9+F13+F18+F22+F26+F29</f>
        <v>1397</v>
      </c>
      <c r="G30" s="87">
        <f t="shared" ref="G30:AJ30" si="155">G9+G13+G18+G22+G26+G29</f>
        <v>0</v>
      </c>
      <c r="H30" s="87">
        <f t="shared" si="155"/>
        <v>1397</v>
      </c>
      <c r="I30" s="87">
        <f t="shared" si="155"/>
        <v>185</v>
      </c>
      <c r="J30" s="87">
        <f t="shared" si="155"/>
        <v>0</v>
      </c>
      <c r="K30" s="87">
        <f t="shared" si="155"/>
        <v>1582</v>
      </c>
      <c r="L30" s="87">
        <f t="shared" si="155"/>
        <v>0</v>
      </c>
      <c r="M30" s="87">
        <f t="shared" si="155"/>
        <v>0</v>
      </c>
      <c r="N30" s="87">
        <f t="shared" si="155"/>
        <v>1146</v>
      </c>
      <c r="O30" s="87">
        <f t="shared" si="155"/>
        <v>240</v>
      </c>
      <c r="P30" s="87">
        <f t="shared" si="155"/>
        <v>0</v>
      </c>
      <c r="Q30" s="87">
        <f t="shared" si="155"/>
        <v>154</v>
      </c>
      <c r="R30" s="87">
        <f t="shared" si="155"/>
        <v>9</v>
      </c>
      <c r="S30" s="87">
        <f t="shared" si="155"/>
        <v>11</v>
      </c>
      <c r="T30" s="87">
        <f t="shared" si="155"/>
        <v>642</v>
      </c>
      <c r="U30" s="87">
        <f t="shared" si="155"/>
        <v>93</v>
      </c>
      <c r="V30" s="87">
        <f t="shared" si="155"/>
        <v>2108</v>
      </c>
      <c r="W30" s="87">
        <f t="shared" si="155"/>
        <v>1216</v>
      </c>
      <c r="X30" s="87">
        <f t="shared" si="155"/>
        <v>164</v>
      </c>
      <c r="Y30" s="87">
        <f t="shared" si="155"/>
        <v>128</v>
      </c>
      <c r="Z30" s="87">
        <f t="shared" si="155"/>
        <v>685</v>
      </c>
      <c r="AA30" s="87">
        <f t="shared" si="155"/>
        <v>22</v>
      </c>
      <c r="AB30" s="87">
        <f t="shared" si="155"/>
        <v>192</v>
      </c>
      <c r="AC30" s="87">
        <f>AC9+AC13+AC18+AC22+AC26+AC29</f>
        <v>358</v>
      </c>
      <c r="AD30" s="87">
        <f t="shared" si="155"/>
        <v>131</v>
      </c>
      <c r="AE30" s="87">
        <f t="shared" si="155"/>
        <v>2105</v>
      </c>
      <c r="AF30" s="87">
        <f t="shared" si="155"/>
        <v>21</v>
      </c>
      <c r="AG30" s="87">
        <f t="shared" si="155"/>
        <v>10</v>
      </c>
      <c r="AH30" s="87">
        <f t="shared" si="155"/>
        <v>0</v>
      </c>
      <c r="AI30" s="87">
        <f t="shared" si="155"/>
        <v>0</v>
      </c>
      <c r="AJ30" s="87">
        <f t="shared" si="155"/>
        <v>0</v>
      </c>
      <c r="AK30" s="87">
        <f>P30+S30+V30+Y30+AB30+AE30+AH30</f>
        <v>4544</v>
      </c>
      <c r="AL30" s="87">
        <f>Q30+T30+W30+Z30+AC30+AF30+AI30</f>
        <v>3076</v>
      </c>
      <c r="AM30" s="87">
        <f>AK30+AL30</f>
        <v>7620</v>
      </c>
      <c r="AN30" s="87">
        <f>R30+U30+X30+AA30+AD30+AG30+AJ30</f>
        <v>429</v>
      </c>
      <c r="AO30" s="190">
        <f t="shared" ref="AO30" si="156">O30/H30*100</f>
        <v>17.179670722977811</v>
      </c>
      <c r="AP30" s="190">
        <f t="shared" ref="AP30" si="157">AN30/H30*100</f>
        <v>30.708661417322837</v>
      </c>
      <c r="AQ30" s="190">
        <f t="shared" ref="AQ30" si="158">AN30/AM30*100</f>
        <v>5.6299212598425203</v>
      </c>
      <c r="AR30" s="85">
        <f t="shared" ref="AR30" si="159">AK30/AM30*100</f>
        <v>59.632545931758528</v>
      </c>
      <c r="AS30" s="85">
        <f t="shared" ref="AS30" si="160">AL30/AM30*100</f>
        <v>40.367454068241472</v>
      </c>
      <c r="AT30" s="61">
        <f t="shared" ref="AT30" si="161">R30/AN30*100</f>
        <v>2.0979020979020979</v>
      </c>
      <c r="AU30" s="61">
        <f t="shared" ref="AU30" si="162">U30/AN30*100</f>
        <v>21.678321678321677</v>
      </c>
      <c r="AV30" s="61">
        <f t="shared" ref="AV30" si="163">X30/AN30*100</f>
        <v>38.228438228438229</v>
      </c>
      <c r="AW30" s="61">
        <f t="shared" si="7"/>
        <v>5.1282051282051277</v>
      </c>
      <c r="AX30" s="61">
        <f t="shared" ref="AX30" si="164">AD30/AN30*100</f>
        <v>30.536130536130536</v>
      </c>
      <c r="AY30" s="61">
        <f t="shared" ref="AY30" si="165">AG30/AN30*100</f>
        <v>2.3310023310023311</v>
      </c>
      <c r="AZ30" s="61">
        <f t="shared" ref="AZ30" si="166">AJ30/AN30*100</f>
        <v>0</v>
      </c>
    </row>
  </sheetData>
  <mergeCells count="53">
    <mergeCell ref="A27:A28"/>
    <mergeCell ref="A19:A21"/>
    <mergeCell ref="A1:AP1"/>
    <mergeCell ref="A3:A5"/>
    <mergeCell ref="B3:B5"/>
    <mergeCell ref="C3:C5"/>
    <mergeCell ref="D3:E3"/>
    <mergeCell ref="F3:J3"/>
    <mergeCell ref="K3:K5"/>
    <mergeCell ref="L3:M3"/>
    <mergeCell ref="N3:O3"/>
    <mergeCell ref="P3:U3"/>
    <mergeCell ref="V3:X3"/>
    <mergeCell ref="Y3:AA3"/>
    <mergeCell ref="AL4:AL5"/>
    <mergeCell ref="D4:D5"/>
    <mergeCell ref="E4:E5"/>
    <mergeCell ref="AR4:AS4"/>
    <mergeCell ref="AT3:AZ3"/>
    <mergeCell ref="AH3:AJ3"/>
    <mergeCell ref="AH4:AJ4"/>
    <mergeCell ref="AB3:AG3"/>
    <mergeCell ref="AZ4:AZ5"/>
    <mergeCell ref="AT4:AT5"/>
    <mergeCell ref="AU4:AU5"/>
    <mergeCell ref="AV4:AV5"/>
    <mergeCell ref="AW4:AW5"/>
    <mergeCell ref="AX4:AX5"/>
    <mergeCell ref="AY4:AY5"/>
    <mergeCell ref="AO3:AS3"/>
    <mergeCell ref="AM4:AM5"/>
    <mergeCell ref="AK3:AN3"/>
    <mergeCell ref="L4:L5"/>
    <mergeCell ref="Y4:AA4"/>
    <mergeCell ref="AK4:AK5"/>
    <mergeCell ref="AN4:AN5"/>
    <mergeCell ref="AO4:AQ4"/>
    <mergeCell ref="A23:A25"/>
    <mergeCell ref="A14:A17"/>
    <mergeCell ref="A10:A12"/>
    <mergeCell ref="AE4:AG4"/>
    <mergeCell ref="A6:A8"/>
    <mergeCell ref="AB4:AD4"/>
    <mergeCell ref="V4:X4"/>
    <mergeCell ref="M4:M5"/>
    <mergeCell ref="N4:N5"/>
    <mergeCell ref="O4:O5"/>
    <mergeCell ref="P4:R4"/>
    <mergeCell ref="S4:U4"/>
    <mergeCell ref="F4:G4"/>
    <mergeCell ref="H4:H5"/>
    <mergeCell ref="I4:I5"/>
    <mergeCell ref="J4:J5"/>
  </mergeCells>
  <pageMargins left="0.7" right="0.7" top="0.75" bottom="0.75" header="0.3" footer="0.3"/>
  <pageSetup paperSize="9" scale="95" orientation="portrait" verticalDpi="0" r:id="rId1"/>
  <ignoredErrors>
    <ignoredError sqref="AK28:AP28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Z55"/>
  <sheetViews>
    <sheetView zoomScale="90" zoomScaleNormal="90" workbookViewId="0">
      <pane xSplit="2" ySplit="5" topLeftCell="G51" activePane="bottomRight" state="frozen"/>
      <selection activeCell="C20" sqref="C20"/>
      <selection pane="topRight" activeCell="C20" sqref="C20"/>
      <selection pane="bottomLeft" activeCell="C20" sqref="C20"/>
      <selection pane="bottomRight" activeCell="AT52" sqref="AT52"/>
    </sheetView>
  </sheetViews>
  <sheetFormatPr baseColWidth="10" defaultRowHeight="12.75"/>
  <cols>
    <col min="1" max="1" width="22.5703125" customWidth="1"/>
    <col min="2" max="2" width="29.85546875" customWidth="1"/>
    <col min="3" max="3" width="11.85546875" style="43" customWidth="1"/>
    <col min="4" max="5" width="12.7109375" customWidth="1"/>
    <col min="6" max="7" width="9" customWidth="1"/>
    <col min="8" max="8" width="8.42578125" customWidth="1"/>
    <col min="9" max="9" width="5.5703125" customWidth="1"/>
    <col min="10" max="10" width="5.85546875" customWidth="1"/>
    <col min="11" max="11" width="8" customWidth="1"/>
    <col min="12" max="13" width="5.5703125" customWidth="1"/>
    <col min="14" max="14" width="8.7109375" customWidth="1"/>
    <col min="15" max="15" width="8.140625" customWidth="1"/>
    <col min="16" max="19" width="6.85546875" customWidth="1"/>
    <col min="20" max="22" width="5.5703125" customWidth="1"/>
    <col min="23" max="23" width="6.140625" customWidth="1"/>
    <col min="24" max="25" width="5.5703125" customWidth="1"/>
    <col min="26" max="26" width="6.140625" customWidth="1"/>
    <col min="27" max="29" width="5.5703125" customWidth="1"/>
    <col min="30" max="30" width="6.140625" customWidth="1"/>
    <col min="31" max="31" width="7.7109375" customWidth="1"/>
    <col min="32" max="32" width="6.28515625" customWidth="1"/>
    <col min="33" max="36" width="5.5703125" customWidth="1"/>
    <col min="37" max="40" width="8.42578125" customWidth="1"/>
    <col min="41" max="43" width="9.85546875" style="5" customWidth="1"/>
    <col min="44" max="45" width="9.7109375" style="46" customWidth="1"/>
    <col min="46" max="47" width="7.7109375" style="72" customWidth="1"/>
    <col min="48" max="48" width="8" style="72" customWidth="1"/>
    <col min="49" max="49" width="8.140625" style="72" customWidth="1"/>
    <col min="50" max="52" width="7.85546875" style="72" customWidth="1"/>
  </cols>
  <sheetData>
    <row r="1" spans="1:52" ht="44.25" customHeight="1">
      <c r="A1" s="326" t="s">
        <v>181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  <c r="AO1" s="326"/>
      <c r="AP1" s="326"/>
      <c r="AQ1" s="179"/>
      <c r="AR1" s="48"/>
      <c r="AS1" s="48"/>
    </row>
    <row r="2" spans="1:5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80"/>
      <c r="AP2" s="180"/>
      <c r="AQ2" s="180"/>
      <c r="AR2" s="49"/>
      <c r="AS2" s="49"/>
    </row>
    <row r="3" spans="1:52" s="11" customFormat="1" ht="51" customHeight="1">
      <c r="A3" s="327" t="s">
        <v>46</v>
      </c>
      <c r="B3" s="328" t="s">
        <v>47</v>
      </c>
      <c r="C3" s="329" t="s">
        <v>76</v>
      </c>
      <c r="D3" s="327" t="s">
        <v>0</v>
      </c>
      <c r="E3" s="327"/>
      <c r="F3" s="327" t="s">
        <v>4</v>
      </c>
      <c r="G3" s="327"/>
      <c r="H3" s="327"/>
      <c r="I3" s="327"/>
      <c r="J3" s="327"/>
      <c r="K3" s="332" t="s">
        <v>3</v>
      </c>
      <c r="L3" s="333" t="s">
        <v>8</v>
      </c>
      <c r="M3" s="333"/>
      <c r="N3" s="334" t="s">
        <v>71</v>
      </c>
      <c r="O3" s="334"/>
      <c r="P3" s="335" t="s">
        <v>60</v>
      </c>
      <c r="Q3" s="336"/>
      <c r="R3" s="336"/>
      <c r="S3" s="336"/>
      <c r="T3" s="336"/>
      <c r="U3" s="337"/>
      <c r="V3" s="335" t="s">
        <v>57</v>
      </c>
      <c r="W3" s="336"/>
      <c r="X3" s="337"/>
      <c r="Y3" s="335" t="s">
        <v>58</v>
      </c>
      <c r="Z3" s="336"/>
      <c r="AA3" s="337"/>
      <c r="AB3" s="348" t="s">
        <v>56</v>
      </c>
      <c r="AC3" s="349"/>
      <c r="AD3" s="349"/>
      <c r="AE3" s="349"/>
      <c r="AF3" s="349"/>
      <c r="AG3" s="350"/>
      <c r="AH3" s="335" t="s">
        <v>59</v>
      </c>
      <c r="AI3" s="336"/>
      <c r="AJ3" s="337"/>
      <c r="AK3" s="335" t="s">
        <v>2</v>
      </c>
      <c r="AL3" s="336"/>
      <c r="AM3" s="336"/>
      <c r="AN3" s="337"/>
      <c r="AO3" s="351" t="s">
        <v>90</v>
      </c>
      <c r="AP3" s="352"/>
      <c r="AQ3" s="352"/>
      <c r="AR3" s="352"/>
      <c r="AS3" s="353"/>
      <c r="AT3" s="344" t="s">
        <v>89</v>
      </c>
      <c r="AU3" s="344"/>
      <c r="AV3" s="344"/>
      <c r="AW3" s="344"/>
      <c r="AX3" s="344"/>
      <c r="AY3" s="344"/>
      <c r="AZ3" s="344"/>
    </row>
    <row r="4" spans="1:52" s="11" customFormat="1" ht="23.25" customHeight="1">
      <c r="A4" s="327"/>
      <c r="B4" s="328"/>
      <c r="C4" s="330"/>
      <c r="D4" s="327" t="s">
        <v>10</v>
      </c>
      <c r="E4" s="327" t="s">
        <v>9</v>
      </c>
      <c r="F4" s="381" t="s">
        <v>5</v>
      </c>
      <c r="G4" s="381"/>
      <c r="H4" s="346" t="s">
        <v>2</v>
      </c>
      <c r="I4" s="346" t="s">
        <v>13</v>
      </c>
      <c r="J4" s="346" t="s">
        <v>14</v>
      </c>
      <c r="K4" s="332"/>
      <c r="L4" s="347" t="s">
        <v>7</v>
      </c>
      <c r="M4" s="340" t="s">
        <v>6</v>
      </c>
      <c r="N4" s="347" t="s">
        <v>1</v>
      </c>
      <c r="O4" s="340" t="s">
        <v>6</v>
      </c>
      <c r="P4" s="335" t="s">
        <v>34</v>
      </c>
      <c r="Q4" s="336"/>
      <c r="R4" s="337"/>
      <c r="S4" s="341" t="s">
        <v>35</v>
      </c>
      <c r="T4" s="342"/>
      <c r="U4" s="343"/>
      <c r="V4" s="335" t="s">
        <v>31</v>
      </c>
      <c r="W4" s="336"/>
      <c r="X4" s="337"/>
      <c r="Y4" s="335" t="s">
        <v>32</v>
      </c>
      <c r="Z4" s="336"/>
      <c r="AA4" s="337"/>
      <c r="AB4" s="354" t="s">
        <v>36</v>
      </c>
      <c r="AC4" s="355"/>
      <c r="AD4" s="356"/>
      <c r="AE4" s="335" t="s">
        <v>37</v>
      </c>
      <c r="AF4" s="336"/>
      <c r="AG4" s="337"/>
      <c r="AH4" s="335" t="s">
        <v>33</v>
      </c>
      <c r="AI4" s="336"/>
      <c r="AJ4" s="337"/>
      <c r="AK4" s="357" t="s">
        <v>84</v>
      </c>
      <c r="AL4" s="357" t="s">
        <v>85</v>
      </c>
      <c r="AM4" s="357" t="s">
        <v>86</v>
      </c>
      <c r="AN4" s="338" t="s">
        <v>87</v>
      </c>
      <c r="AO4" s="360" t="s">
        <v>91</v>
      </c>
      <c r="AP4" s="361"/>
      <c r="AQ4" s="362"/>
      <c r="AR4" s="363" t="s">
        <v>92</v>
      </c>
      <c r="AS4" s="364"/>
      <c r="AT4" s="425" t="s">
        <v>97</v>
      </c>
      <c r="AU4" s="425" t="s">
        <v>88</v>
      </c>
      <c r="AV4" s="425" t="s">
        <v>80</v>
      </c>
      <c r="AW4" s="425" t="s">
        <v>81</v>
      </c>
      <c r="AX4" s="425" t="s">
        <v>294</v>
      </c>
      <c r="AY4" s="425" t="s">
        <v>82</v>
      </c>
      <c r="AZ4" s="425" t="s">
        <v>83</v>
      </c>
    </row>
    <row r="5" spans="1:52" s="11" customFormat="1" ht="57" customHeight="1">
      <c r="A5" s="327"/>
      <c r="B5" s="328"/>
      <c r="C5" s="331"/>
      <c r="D5" s="327"/>
      <c r="E5" s="327"/>
      <c r="F5" s="12" t="s">
        <v>11</v>
      </c>
      <c r="G5" s="12" t="s">
        <v>12</v>
      </c>
      <c r="H5" s="346"/>
      <c r="I5" s="346"/>
      <c r="J5" s="346"/>
      <c r="K5" s="332"/>
      <c r="L5" s="347"/>
      <c r="M5" s="340"/>
      <c r="N5" s="347"/>
      <c r="O5" s="340"/>
      <c r="P5" s="41" t="s">
        <v>77</v>
      </c>
      <c r="Q5" s="41" t="s">
        <v>78</v>
      </c>
      <c r="R5" s="45" t="s">
        <v>79</v>
      </c>
      <c r="S5" s="41" t="s">
        <v>77</v>
      </c>
      <c r="T5" s="41" t="s">
        <v>78</v>
      </c>
      <c r="U5" s="45" t="s">
        <v>79</v>
      </c>
      <c r="V5" s="41" t="s">
        <v>77</v>
      </c>
      <c r="W5" s="41" t="s">
        <v>78</v>
      </c>
      <c r="X5" s="45" t="s">
        <v>79</v>
      </c>
      <c r="Y5" s="41" t="s">
        <v>77</v>
      </c>
      <c r="Z5" s="41" t="s">
        <v>78</v>
      </c>
      <c r="AA5" s="45" t="s">
        <v>79</v>
      </c>
      <c r="AB5" s="41" t="s">
        <v>77</v>
      </c>
      <c r="AC5" s="41" t="s">
        <v>78</v>
      </c>
      <c r="AD5" s="45" t="s">
        <v>79</v>
      </c>
      <c r="AE5" s="41" t="s">
        <v>77</v>
      </c>
      <c r="AF5" s="41" t="s">
        <v>78</v>
      </c>
      <c r="AG5" s="45" t="s">
        <v>79</v>
      </c>
      <c r="AH5" s="41" t="s">
        <v>77</v>
      </c>
      <c r="AI5" s="41" t="s">
        <v>78</v>
      </c>
      <c r="AJ5" s="45" t="s">
        <v>79</v>
      </c>
      <c r="AK5" s="358"/>
      <c r="AL5" s="358"/>
      <c r="AM5" s="358"/>
      <c r="AN5" s="339"/>
      <c r="AO5" s="187" t="s">
        <v>93</v>
      </c>
      <c r="AP5" s="187" t="s">
        <v>94</v>
      </c>
      <c r="AQ5" s="187" t="s">
        <v>98</v>
      </c>
      <c r="AR5" s="50" t="s">
        <v>95</v>
      </c>
      <c r="AS5" s="50" t="s">
        <v>96</v>
      </c>
      <c r="AT5" s="425"/>
      <c r="AU5" s="425"/>
      <c r="AV5" s="425"/>
      <c r="AW5" s="425"/>
      <c r="AX5" s="425"/>
      <c r="AY5" s="425"/>
      <c r="AZ5" s="425"/>
    </row>
    <row r="6" spans="1:52" s="40" customFormat="1" ht="20.25" customHeight="1">
      <c r="A6" s="427" t="s">
        <v>121</v>
      </c>
      <c r="B6" s="152" t="s">
        <v>122</v>
      </c>
      <c r="C6" s="38">
        <v>556</v>
      </c>
      <c r="D6" s="107">
        <v>45706</v>
      </c>
      <c r="E6" s="107">
        <v>45709</v>
      </c>
      <c r="F6" s="38">
        <v>187</v>
      </c>
      <c r="G6" s="38">
        <v>0</v>
      </c>
      <c r="H6" s="38">
        <f t="shared" ref="H6:H22" si="0">F6+G6</f>
        <v>187</v>
      </c>
      <c r="I6" s="38">
        <v>0</v>
      </c>
      <c r="J6" s="38">
        <v>0</v>
      </c>
      <c r="K6" s="38">
        <f t="shared" ref="K6:K22" si="1">H6+I6+J6</f>
        <v>187</v>
      </c>
      <c r="L6" s="38">
        <v>0</v>
      </c>
      <c r="M6" s="38">
        <v>0</v>
      </c>
      <c r="N6" s="38">
        <v>187</v>
      </c>
      <c r="O6" s="38">
        <v>16</v>
      </c>
      <c r="P6" s="38">
        <v>2</v>
      </c>
      <c r="Q6" s="38">
        <v>9</v>
      </c>
      <c r="R6" s="38">
        <v>0</v>
      </c>
      <c r="S6" s="38">
        <v>12</v>
      </c>
      <c r="T6" s="38">
        <v>99</v>
      </c>
      <c r="U6" s="38">
        <v>9</v>
      </c>
      <c r="V6" s="38">
        <v>9</v>
      </c>
      <c r="W6" s="38">
        <v>105</v>
      </c>
      <c r="X6" s="38">
        <v>3</v>
      </c>
      <c r="Y6" s="38">
        <v>0</v>
      </c>
      <c r="Z6" s="38">
        <v>5</v>
      </c>
      <c r="AA6" s="38">
        <v>0</v>
      </c>
      <c r="AB6" s="38">
        <v>6</v>
      </c>
      <c r="AC6" s="38">
        <v>89</v>
      </c>
      <c r="AD6" s="38">
        <v>5</v>
      </c>
      <c r="AE6" s="38">
        <v>89</v>
      </c>
      <c r="AF6" s="38">
        <v>173</v>
      </c>
      <c r="AG6" s="38">
        <v>0</v>
      </c>
      <c r="AH6" s="38">
        <v>0</v>
      </c>
      <c r="AI6" s="38">
        <v>0</v>
      </c>
      <c r="AJ6" s="38">
        <v>0</v>
      </c>
      <c r="AK6" s="38">
        <f>P6+S6+V6+Y6+AB6+AE6+AH6</f>
        <v>118</v>
      </c>
      <c r="AL6" s="38">
        <f>Q6+T6+W6+Z6+AC6+AF6+AI6</f>
        <v>480</v>
      </c>
      <c r="AM6" s="38">
        <f>AK6+AL6</f>
        <v>598</v>
      </c>
      <c r="AN6" s="38">
        <f>R6+U6+X6+AA6+AD6+AG6+AJ6</f>
        <v>17</v>
      </c>
      <c r="AO6" s="189">
        <f t="shared" ref="AO6:AO34" si="2">O6/H6*100</f>
        <v>8.5561497326203195</v>
      </c>
      <c r="AP6" s="189">
        <f t="shared" ref="AP6:AP34" si="3">AN6/H6*100</f>
        <v>9.0909090909090917</v>
      </c>
      <c r="AQ6" s="189">
        <f>AN6/AM6*100</f>
        <v>2.8428093645484949</v>
      </c>
      <c r="AR6" s="81">
        <f>AK6/AM6*100</f>
        <v>19.732441471571907</v>
      </c>
      <c r="AS6" s="81">
        <f>AL6/AM6*100</f>
        <v>80.267558528428097</v>
      </c>
      <c r="AT6" s="108">
        <f t="shared" ref="AT6" si="4">R6/AN6*100</f>
        <v>0</v>
      </c>
      <c r="AU6" s="108">
        <f>U6/AN6*100</f>
        <v>52.941176470588239</v>
      </c>
      <c r="AV6" s="108">
        <f>X6/AN6*100</f>
        <v>17.647058823529413</v>
      </c>
      <c r="AW6" s="108">
        <f>AA6/AN6*100</f>
        <v>0</v>
      </c>
      <c r="AX6" s="108">
        <f>AD6/AN6*100</f>
        <v>29.411764705882355</v>
      </c>
      <c r="AY6" s="108">
        <f>AG6/AN6*100</f>
        <v>0</v>
      </c>
      <c r="AZ6" s="108">
        <f>AJ6/AN6*100</f>
        <v>0</v>
      </c>
    </row>
    <row r="7" spans="1:52" s="40" customFormat="1" ht="20.25" customHeight="1">
      <c r="A7" s="427"/>
      <c r="B7" s="152" t="s">
        <v>123</v>
      </c>
      <c r="C7" s="38">
        <v>113</v>
      </c>
      <c r="D7" s="107">
        <v>45709</v>
      </c>
      <c r="E7" s="107">
        <v>45709</v>
      </c>
      <c r="F7" s="38">
        <v>35</v>
      </c>
      <c r="G7" s="38">
        <v>0</v>
      </c>
      <c r="H7" s="38">
        <f t="shared" si="0"/>
        <v>35</v>
      </c>
      <c r="I7" s="38">
        <v>0</v>
      </c>
      <c r="J7" s="38">
        <v>0</v>
      </c>
      <c r="K7" s="38">
        <f t="shared" si="1"/>
        <v>35</v>
      </c>
      <c r="L7" s="38">
        <v>0</v>
      </c>
      <c r="M7" s="38">
        <v>0</v>
      </c>
      <c r="N7" s="38">
        <v>35</v>
      </c>
      <c r="O7" s="38">
        <v>4</v>
      </c>
      <c r="P7" s="38">
        <v>3</v>
      </c>
      <c r="Q7" s="38">
        <v>0</v>
      </c>
      <c r="R7" s="38">
        <v>0</v>
      </c>
      <c r="S7" s="38">
        <v>0</v>
      </c>
      <c r="T7" s="38">
        <v>29</v>
      </c>
      <c r="U7" s="38">
        <v>2</v>
      </c>
      <c r="V7" s="38">
        <v>24</v>
      </c>
      <c r="W7" s="38">
        <v>41</v>
      </c>
      <c r="X7" s="38">
        <v>2</v>
      </c>
      <c r="Y7" s="38">
        <v>0</v>
      </c>
      <c r="Z7" s="38">
        <v>0</v>
      </c>
      <c r="AA7" s="38">
        <v>0</v>
      </c>
      <c r="AB7" s="38">
        <v>4</v>
      </c>
      <c r="AC7" s="38">
        <v>8</v>
      </c>
      <c r="AD7" s="38">
        <v>0</v>
      </c>
      <c r="AE7" s="38">
        <v>23</v>
      </c>
      <c r="AF7" s="38">
        <v>1</v>
      </c>
      <c r="AG7" s="38">
        <v>0</v>
      </c>
      <c r="AH7" s="38">
        <v>0</v>
      </c>
      <c r="AI7" s="38">
        <v>0</v>
      </c>
      <c r="AJ7" s="38">
        <v>0</v>
      </c>
      <c r="AK7" s="38">
        <f t="shared" ref="AK7:AK22" si="5">P7+S7+V7+Y7+AB7+AE7+AH7</f>
        <v>54</v>
      </c>
      <c r="AL7" s="38">
        <f t="shared" ref="AL7:AL22" si="6">Q7+T7+W7+Z7+AC7+AF7+AI7</f>
        <v>79</v>
      </c>
      <c r="AM7" s="38">
        <f t="shared" ref="AM7:AM22" si="7">AK7+AL7</f>
        <v>133</v>
      </c>
      <c r="AN7" s="38">
        <f t="shared" ref="AN7:AN22" si="8">R7+U7+X7+AA7+AD7+AG7+AJ7</f>
        <v>4</v>
      </c>
      <c r="AO7" s="189">
        <f t="shared" ref="AO7:AO22" si="9">O7/H7*100</f>
        <v>11.428571428571429</v>
      </c>
      <c r="AP7" s="189">
        <f t="shared" ref="AP7:AP22" si="10">AN7/H7*100</f>
        <v>11.428571428571429</v>
      </c>
      <c r="AQ7" s="189">
        <f t="shared" ref="AQ7:AQ22" si="11">AN7/AM7*100</f>
        <v>3.007518796992481</v>
      </c>
      <c r="AR7" s="81">
        <f t="shared" ref="AR7:AR22" si="12">AK7/AM7*100</f>
        <v>40.601503759398497</v>
      </c>
      <c r="AS7" s="81">
        <f t="shared" ref="AS7:AS22" si="13">AL7/AM7*100</f>
        <v>59.398496240601503</v>
      </c>
      <c r="AT7" s="108">
        <f t="shared" ref="AT7:AT22" si="14">R7/AN7*100</f>
        <v>0</v>
      </c>
      <c r="AU7" s="108">
        <f t="shared" ref="AU7:AU22" si="15">U7/AN7*100</f>
        <v>50</v>
      </c>
      <c r="AV7" s="108">
        <f t="shared" ref="AV7:AV22" si="16">X7/AN7*100</f>
        <v>50</v>
      </c>
      <c r="AW7" s="108">
        <f t="shared" ref="AW7:AW22" si="17">AA7/AN7*100</f>
        <v>0</v>
      </c>
      <c r="AX7" s="108">
        <f t="shared" ref="AX7:AX22" si="18">AD7/AN7*100</f>
        <v>0</v>
      </c>
      <c r="AY7" s="108">
        <f t="shared" ref="AY7:AY22" si="19">AG7/AN7*100</f>
        <v>0</v>
      </c>
      <c r="AZ7" s="108">
        <f t="shared" ref="AZ7:AZ22" si="20">AJ7/AN7*100</f>
        <v>0</v>
      </c>
    </row>
    <row r="8" spans="1:52" s="40" customFormat="1" ht="20.25" customHeight="1">
      <c r="A8" s="427" t="s">
        <v>206</v>
      </c>
      <c r="B8" s="152" t="s">
        <v>207</v>
      </c>
      <c r="C8" s="140">
        <v>460</v>
      </c>
      <c r="D8" s="107">
        <v>45700</v>
      </c>
      <c r="E8" s="107">
        <v>45706</v>
      </c>
      <c r="F8" s="140">
        <v>137</v>
      </c>
      <c r="G8" s="140">
        <v>0</v>
      </c>
      <c r="H8" s="140">
        <f t="shared" si="0"/>
        <v>137</v>
      </c>
      <c r="I8" s="140">
        <v>0</v>
      </c>
      <c r="J8" s="140">
        <v>0</v>
      </c>
      <c r="K8" s="140">
        <f t="shared" si="1"/>
        <v>137</v>
      </c>
      <c r="L8" s="140">
        <v>0</v>
      </c>
      <c r="M8" s="140">
        <v>0</v>
      </c>
      <c r="N8" s="140">
        <v>137</v>
      </c>
      <c r="O8" s="140">
        <v>12</v>
      </c>
      <c r="P8" s="140">
        <v>0</v>
      </c>
      <c r="Q8" s="140">
        <v>0</v>
      </c>
      <c r="R8" s="140">
        <v>0</v>
      </c>
      <c r="S8" s="140">
        <v>60</v>
      </c>
      <c r="T8" s="140">
        <v>100</v>
      </c>
      <c r="U8" s="140">
        <v>3</v>
      </c>
      <c r="V8" s="140">
        <v>20</v>
      </c>
      <c r="W8" s="140">
        <v>27</v>
      </c>
      <c r="X8" s="140">
        <v>2</v>
      </c>
      <c r="Y8" s="140">
        <v>0</v>
      </c>
      <c r="Z8" s="140">
        <v>12</v>
      </c>
      <c r="AA8" s="140">
        <v>2</v>
      </c>
      <c r="AB8" s="140">
        <v>7</v>
      </c>
      <c r="AC8" s="140">
        <v>77</v>
      </c>
      <c r="AD8" s="140">
        <v>8</v>
      </c>
      <c r="AE8" s="140">
        <v>56</v>
      </c>
      <c r="AF8" s="140">
        <v>123</v>
      </c>
      <c r="AG8" s="140">
        <v>1</v>
      </c>
      <c r="AH8" s="140">
        <v>0</v>
      </c>
      <c r="AI8" s="140">
        <v>0</v>
      </c>
      <c r="AJ8" s="140">
        <v>0</v>
      </c>
      <c r="AK8" s="140">
        <f t="shared" ref="AK8:AK21" si="21">P8+S8+V8+Y8+AB8+AE8+AH8</f>
        <v>143</v>
      </c>
      <c r="AL8" s="140">
        <f t="shared" ref="AL8:AL21" si="22">Q8+T8+W8+Z8+AC8+AF8+AI8</f>
        <v>339</v>
      </c>
      <c r="AM8" s="140">
        <f t="shared" ref="AM8:AM21" si="23">AK8+AL8</f>
        <v>482</v>
      </c>
      <c r="AN8" s="140">
        <f t="shared" ref="AN8:AN21" si="24">R8+U8+X8+AA8+AD8+AG8+AJ8</f>
        <v>16</v>
      </c>
      <c r="AO8" s="189">
        <f t="shared" ref="AO8:AO21" si="25">O8/H8*100</f>
        <v>8.7591240875912408</v>
      </c>
      <c r="AP8" s="189">
        <f t="shared" ref="AP8:AP21" si="26">AN8/H8*100</f>
        <v>11.678832116788321</v>
      </c>
      <c r="AQ8" s="189">
        <f t="shared" ref="AQ8:AQ21" si="27">AN8/AM8*100</f>
        <v>3.3195020746887969</v>
      </c>
      <c r="AR8" s="81">
        <f t="shared" ref="AR8:AR21" si="28">AK8/AM8*100</f>
        <v>29.668049792531122</v>
      </c>
      <c r="AS8" s="81">
        <f t="shared" ref="AS8:AS21" si="29">AL8/AM8*100</f>
        <v>70.331950207468878</v>
      </c>
      <c r="AT8" s="108">
        <f t="shared" ref="AT8:AT21" si="30">R8/AN8*100</f>
        <v>0</v>
      </c>
      <c r="AU8" s="108">
        <f t="shared" ref="AU8:AU21" si="31">U8/AN8*100</f>
        <v>18.75</v>
      </c>
      <c r="AV8" s="108">
        <f t="shared" ref="AV8:AV21" si="32">X8/AN8*100</f>
        <v>12.5</v>
      </c>
      <c r="AW8" s="108">
        <f t="shared" ref="AW8:AW21" si="33">AA8/AN8*100</f>
        <v>12.5</v>
      </c>
      <c r="AX8" s="108">
        <f t="shared" ref="AX8:AX21" si="34">AD8/AN8*100</f>
        <v>50</v>
      </c>
      <c r="AY8" s="108">
        <f t="shared" ref="AY8:AY21" si="35">AG8/AN8*100</f>
        <v>6.25</v>
      </c>
      <c r="AZ8" s="108">
        <f t="shared" ref="AZ8:AZ21" si="36">AJ8/AN8*100</f>
        <v>0</v>
      </c>
    </row>
    <row r="9" spans="1:52" s="40" customFormat="1" ht="20.25" customHeight="1">
      <c r="A9" s="427"/>
      <c r="B9" s="152" t="s">
        <v>162</v>
      </c>
      <c r="C9" s="140">
        <v>82</v>
      </c>
      <c r="D9" s="107">
        <v>45708</v>
      </c>
      <c r="E9" s="107">
        <v>45708</v>
      </c>
      <c r="F9" s="140">
        <v>30</v>
      </c>
      <c r="G9" s="140">
        <v>0</v>
      </c>
      <c r="H9" s="140">
        <f t="shared" si="0"/>
        <v>30</v>
      </c>
      <c r="I9" s="140">
        <v>0</v>
      </c>
      <c r="J9" s="140">
        <v>0</v>
      </c>
      <c r="K9" s="140">
        <f t="shared" si="1"/>
        <v>30</v>
      </c>
      <c r="L9" s="140">
        <v>0</v>
      </c>
      <c r="M9" s="140">
        <v>0</v>
      </c>
      <c r="N9" s="140">
        <v>30</v>
      </c>
      <c r="O9" s="140">
        <v>4</v>
      </c>
      <c r="P9" s="140">
        <v>0</v>
      </c>
      <c r="Q9" s="140">
        <v>0</v>
      </c>
      <c r="R9" s="140">
        <v>0</v>
      </c>
      <c r="S9" s="140">
        <v>29</v>
      </c>
      <c r="T9" s="140">
        <v>44</v>
      </c>
      <c r="U9" s="140">
        <v>2</v>
      </c>
      <c r="V9" s="140">
        <v>0</v>
      </c>
      <c r="W9" s="140">
        <v>0</v>
      </c>
      <c r="X9" s="140">
        <v>0</v>
      </c>
      <c r="Y9" s="140">
        <v>0</v>
      </c>
      <c r="Z9" s="140">
        <v>0</v>
      </c>
      <c r="AA9" s="140">
        <v>0</v>
      </c>
      <c r="AB9" s="140">
        <v>1</v>
      </c>
      <c r="AC9" s="140">
        <v>10</v>
      </c>
      <c r="AD9" s="140">
        <v>2</v>
      </c>
      <c r="AE9" s="140">
        <v>14</v>
      </c>
      <c r="AF9" s="140">
        <v>54</v>
      </c>
      <c r="AG9" s="140">
        <v>0</v>
      </c>
      <c r="AH9" s="140">
        <v>0</v>
      </c>
      <c r="AI9" s="140">
        <v>0</v>
      </c>
      <c r="AJ9" s="140">
        <v>0</v>
      </c>
      <c r="AK9" s="140">
        <f t="shared" si="21"/>
        <v>44</v>
      </c>
      <c r="AL9" s="140">
        <f t="shared" si="22"/>
        <v>108</v>
      </c>
      <c r="AM9" s="140">
        <f t="shared" si="23"/>
        <v>152</v>
      </c>
      <c r="AN9" s="140">
        <f t="shared" si="24"/>
        <v>4</v>
      </c>
      <c r="AO9" s="189">
        <f t="shared" si="25"/>
        <v>13.333333333333334</v>
      </c>
      <c r="AP9" s="189">
        <f t="shared" si="26"/>
        <v>13.333333333333334</v>
      </c>
      <c r="AQ9" s="189">
        <f t="shared" si="27"/>
        <v>2.6315789473684208</v>
      </c>
      <c r="AR9" s="81">
        <f t="shared" si="28"/>
        <v>28.947368421052634</v>
      </c>
      <c r="AS9" s="81">
        <f t="shared" si="29"/>
        <v>71.05263157894737</v>
      </c>
      <c r="AT9" s="108">
        <f t="shared" si="30"/>
        <v>0</v>
      </c>
      <c r="AU9" s="108">
        <f t="shared" si="31"/>
        <v>50</v>
      </c>
      <c r="AV9" s="108">
        <f t="shared" si="32"/>
        <v>0</v>
      </c>
      <c r="AW9" s="108">
        <f t="shared" si="33"/>
        <v>0</v>
      </c>
      <c r="AX9" s="108">
        <f t="shared" si="34"/>
        <v>50</v>
      </c>
      <c r="AY9" s="108">
        <f t="shared" si="35"/>
        <v>0</v>
      </c>
      <c r="AZ9" s="108">
        <f t="shared" si="36"/>
        <v>0</v>
      </c>
    </row>
    <row r="10" spans="1:52" s="40" customFormat="1" ht="20.25" customHeight="1">
      <c r="A10" s="427"/>
      <c r="B10" s="152" t="s">
        <v>163</v>
      </c>
      <c r="C10" s="140">
        <v>132</v>
      </c>
      <c r="D10" s="107">
        <v>45708</v>
      </c>
      <c r="E10" s="107">
        <v>45708</v>
      </c>
      <c r="F10" s="140">
        <v>70</v>
      </c>
      <c r="G10" s="140">
        <v>0</v>
      </c>
      <c r="H10" s="140">
        <f t="shared" si="0"/>
        <v>70</v>
      </c>
      <c r="I10" s="140">
        <v>0</v>
      </c>
      <c r="J10" s="140">
        <v>0</v>
      </c>
      <c r="K10" s="140">
        <f t="shared" si="1"/>
        <v>70</v>
      </c>
      <c r="L10" s="140">
        <v>0</v>
      </c>
      <c r="M10" s="140">
        <v>0</v>
      </c>
      <c r="N10" s="140">
        <v>70</v>
      </c>
      <c r="O10" s="140">
        <v>4</v>
      </c>
      <c r="P10" s="140">
        <v>0</v>
      </c>
      <c r="Q10" s="140">
        <v>1</v>
      </c>
      <c r="R10" s="140">
        <v>0</v>
      </c>
      <c r="S10" s="140">
        <v>4</v>
      </c>
      <c r="T10" s="140">
        <v>25</v>
      </c>
      <c r="U10" s="140">
        <v>1</v>
      </c>
      <c r="V10" s="140">
        <v>4</v>
      </c>
      <c r="W10" s="140">
        <v>12</v>
      </c>
      <c r="X10" s="140">
        <v>1</v>
      </c>
      <c r="Y10" s="140">
        <v>0</v>
      </c>
      <c r="Z10" s="140">
        <v>0</v>
      </c>
      <c r="AA10" s="140">
        <v>0</v>
      </c>
      <c r="AB10" s="140">
        <v>2</v>
      </c>
      <c r="AC10" s="140">
        <v>8</v>
      </c>
      <c r="AD10" s="140">
        <v>2</v>
      </c>
      <c r="AE10" s="140">
        <v>74</v>
      </c>
      <c r="AF10" s="140">
        <v>56</v>
      </c>
      <c r="AG10" s="140">
        <v>0</v>
      </c>
      <c r="AH10" s="140">
        <v>0</v>
      </c>
      <c r="AI10" s="140">
        <v>0</v>
      </c>
      <c r="AJ10" s="140">
        <v>0</v>
      </c>
      <c r="AK10" s="140">
        <f t="shared" si="21"/>
        <v>84</v>
      </c>
      <c r="AL10" s="140">
        <f t="shared" si="22"/>
        <v>102</v>
      </c>
      <c r="AM10" s="140">
        <f t="shared" si="23"/>
        <v>186</v>
      </c>
      <c r="AN10" s="140">
        <f t="shared" si="24"/>
        <v>4</v>
      </c>
      <c r="AO10" s="189">
        <f t="shared" si="25"/>
        <v>5.7142857142857144</v>
      </c>
      <c r="AP10" s="189">
        <f t="shared" si="26"/>
        <v>5.7142857142857144</v>
      </c>
      <c r="AQ10" s="189">
        <f t="shared" si="27"/>
        <v>2.1505376344086025</v>
      </c>
      <c r="AR10" s="81">
        <f t="shared" si="28"/>
        <v>45.161290322580641</v>
      </c>
      <c r="AS10" s="81">
        <f t="shared" si="29"/>
        <v>54.838709677419352</v>
      </c>
      <c r="AT10" s="108">
        <f t="shared" si="30"/>
        <v>0</v>
      </c>
      <c r="AU10" s="108">
        <f t="shared" si="31"/>
        <v>25</v>
      </c>
      <c r="AV10" s="108">
        <f t="shared" si="32"/>
        <v>25</v>
      </c>
      <c r="AW10" s="108">
        <f t="shared" si="33"/>
        <v>0</v>
      </c>
      <c r="AX10" s="108">
        <f t="shared" si="34"/>
        <v>50</v>
      </c>
      <c r="AY10" s="108">
        <f t="shared" si="35"/>
        <v>0</v>
      </c>
      <c r="AZ10" s="108">
        <f t="shared" si="36"/>
        <v>0</v>
      </c>
    </row>
    <row r="11" spans="1:52" s="40" customFormat="1" ht="20.25" customHeight="1">
      <c r="A11" s="427"/>
      <c r="B11" s="152" t="s">
        <v>161</v>
      </c>
      <c r="C11" s="140">
        <v>57</v>
      </c>
      <c r="D11" s="107">
        <v>45709</v>
      </c>
      <c r="E11" s="107">
        <v>45709</v>
      </c>
      <c r="F11" s="140">
        <v>24</v>
      </c>
      <c r="G11" s="140">
        <v>0</v>
      </c>
      <c r="H11" s="140">
        <f t="shared" si="0"/>
        <v>24</v>
      </c>
      <c r="I11" s="140">
        <v>0</v>
      </c>
      <c r="J11" s="140">
        <v>0</v>
      </c>
      <c r="K11" s="140">
        <f t="shared" si="1"/>
        <v>24</v>
      </c>
      <c r="L11" s="140">
        <v>0</v>
      </c>
      <c r="M11" s="140">
        <v>0</v>
      </c>
      <c r="N11" s="140">
        <v>24</v>
      </c>
      <c r="O11" s="140">
        <v>4</v>
      </c>
      <c r="P11" s="140">
        <v>0</v>
      </c>
      <c r="Q11" s="140">
        <v>0</v>
      </c>
      <c r="R11" s="140">
        <v>0</v>
      </c>
      <c r="S11" s="140">
        <v>15</v>
      </c>
      <c r="T11" s="140">
        <v>25</v>
      </c>
      <c r="U11" s="140">
        <v>1</v>
      </c>
      <c r="V11" s="140">
        <v>1</v>
      </c>
      <c r="W11" s="140">
        <v>20</v>
      </c>
      <c r="X11" s="140">
        <v>2</v>
      </c>
      <c r="Y11" s="140">
        <v>0</v>
      </c>
      <c r="Z11" s="140">
        <v>1</v>
      </c>
      <c r="AA11" s="140">
        <v>0</v>
      </c>
      <c r="AB11" s="140">
        <v>0</v>
      </c>
      <c r="AC11" s="140">
        <v>7</v>
      </c>
      <c r="AD11" s="140">
        <v>1</v>
      </c>
      <c r="AE11" s="140">
        <v>20</v>
      </c>
      <c r="AF11" s="140">
        <v>13</v>
      </c>
      <c r="AG11" s="140">
        <v>0</v>
      </c>
      <c r="AH11" s="140">
        <v>0</v>
      </c>
      <c r="AI11" s="140">
        <v>0</v>
      </c>
      <c r="AJ11" s="140">
        <v>0</v>
      </c>
      <c r="AK11" s="140">
        <f t="shared" si="21"/>
        <v>36</v>
      </c>
      <c r="AL11" s="140">
        <f t="shared" si="22"/>
        <v>66</v>
      </c>
      <c r="AM11" s="140">
        <f t="shared" si="23"/>
        <v>102</v>
      </c>
      <c r="AN11" s="140">
        <f t="shared" si="24"/>
        <v>4</v>
      </c>
      <c r="AO11" s="189">
        <f t="shared" si="25"/>
        <v>16.666666666666664</v>
      </c>
      <c r="AP11" s="189">
        <f t="shared" si="26"/>
        <v>16.666666666666664</v>
      </c>
      <c r="AQ11" s="189">
        <f t="shared" si="27"/>
        <v>3.9215686274509802</v>
      </c>
      <c r="AR11" s="81">
        <f t="shared" si="28"/>
        <v>35.294117647058826</v>
      </c>
      <c r="AS11" s="81">
        <f t="shared" si="29"/>
        <v>64.705882352941174</v>
      </c>
      <c r="AT11" s="108">
        <f t="shared" si="30"/>
        <v>0</v>
      </c>
      <c r="AU11" s="108">
        <f t="shared" si="31"/>
        <v>25</v>
      </c>
      <c r="AV11" s="108">
        <f t="shared" si="32"/>
        <v>50</v>
      </c>
      <c r="AW11" s="108">
        <f t="shared" si="33"/>
        <v>0</v>
      </c>
      <c r="AX11" s="108">
        <f t="shared" si="34"/>
        <v>25</v>
      </c>
      <c r="AY11" s="108">
        <f t="shared" si="35"/>
        <v>0</v>
      </c>
      <c r="AZ11" s="108">
        <f t="shared" si="36"/>
        <v>0</v>
      </c>
    </row>
    <row r="12" spans="1:52" s="40" customFormat="1" ht="20.25" customHeight="1">
      <c r="A12" s="427"/>
      <c r="B12" s="152" t="s">
        <v>160</v>
      </c>
      <c r="C12" s="140">
        <v>95</v>
      </c>
      <c r="D12" s="107">
        <v>45709</v>
      </c>
      <c r="E12" s="107">
        <v>45709</v>
      </c>
      <c r="F12" s="140">
        <v>32</v>
      </c>
      <c r="G12" s="140">
        <v>0</v>
      </c>
      <c r="H12" s="140">
        <f t="shared" si="0"/>
        <v>32</v>
      </c>
      <c r="I12" s="140">
        <v>0</v>
      </c>
      <c r="J12" s="140">
        <v>0</v>
      </c>
      <c r="K12" s="140">
        <f t="shared" si="1"/>
        <v>32</v>
      </c>
      <c r="L12" s="140">
        <v>0</v>
      </c>
      <c r="M12" s="140">
        <v>0</v>
      </c>
      <c r="N12" s="140">
        <v>32</v>
      </c>
      <c r="O12" s="140">
        <v>8</v>
      </c>
      <c r="P12" s="140">
        <v>0</v>
      </c>
      <c r="Q12" s="140">
        <v>1</v>
      </c>
      <c r="R12" s="140">
        <v>0</v>
      </c>
      <c r="S12" s="140">
        <v>0</v>
      </c>
      <c r="T12" s="140">
        <v>26</v>
      </c>
      <c r="U12" s="140">
        <v>4</v>
      </c>
      <c r="V12" s="140">
        <v>0</v>
      </c>
      <c r="W12" s="140">
        <v>0</v>
      </c>
      <c r="X12" s="140">
        <v>0</v>
      </c>
      <c r="Y12" s="140">
        <v>0</v>
      </c>
      <c r="Z12" s="140">
        <v>0</v>
      </c>
      <c r="AA12" s="140">
        <v>0</v>
      </c>
      <c r="AB12" s="140">
        <v>6</v>
      </c>
      <c r="AC12" s="140">
        <v>19</v>
      </c>
      <c r="AD12" s="140">
        <v>5</v>
      </c>
      <c r="AE12" s="140">
        <v>29</v>
      </c>
      <c r="AF12" s="140">
        <v>38</v>
      </c>
      <c r="AG12" s="140">
        <v>0</v>
      </c>
      <c r="AH12" s="140">
        <v>0</v>
      </c>
      <c r="AI12" s="140">
        <v>0</v>
      </c>
      <c r="AJ12" s="140">
        <v>0</v>
      </c>
      <c r="AK12" s="140">
        <f t="shared" si="21"/>
        <v>35</v>
      </c>
      <c r="AL12" s="140">
        <f t="shared" si="22"/>
        <v>84</v>
      </c>
      <c r="AM12" s="140">
        <f t="shared" si="23"/>
        <v>119</v>
      </c>
      <c r="AN12" s="140">
        <f t="shared" si="24"/>
        <v>9</v>
      </c>
      <c r="AO12" s="189">
        <f t="shared" si="25"/>
        <v>25</v>
      </c>
      <c r="AP12" s="189">
        <f t="shared" si="26"/>
        <v>28.125</v>
      </c>
      <c r="AQ12" s="189">
        <f t="shared" si="27"/>
        <v>7.5630252100840334</v>
      </c>
      <c r="AR12" s="81">
        <f t="shared" si="28"/>
        <v>29.411764705882355</v>
      </c>
      <c r="AS12" s="81">
        <f t="shared" si="29"/>
        <v>70.588235294117652</v>
      </c>
      <c r="AT12" s="108">
        <f t="shared" si="30"/>
        <v>0</v>
      </c>
      <c r="AU12" s="108">
        <f t="shared" si="31"/>
        <v>44.444444444444443</v>
      </c>
      <c r="AV12" s="108">
        <f t="shared" si="32"/>
        <v>0</v>
      </c>
      <c r="AW12" s="108">
        <f t="shared" si="33"/>
        <v>0</v>
      </c>
      <c r="AX12" s="108">
        <f t="shared" si="34"/>
        <v>55.555555555555557</v>
      </c>
      <c r="AY12" s="108">
        <f t="shared" si="35"/>
        <v>0</v>
      </c>
      <c r="AZ12" s="108">
        <f t="shared" si="36"/>
        <v>0</v>
      </c>
    </row>
    <row r="13" spans="1:52" s="40" customFormat="1" ht="20.25" customHeight="1">
      <c r="A13" s="427" t="s">
        <v>120</v>
      </c>
      <c r="B13" s="152" t="s">
        <v>138</v>
      </c>
      <c r="C13" s="140">
        <v>266</v>
      </c>
      <c r="D13" s="107">
        <v>45693</v>
      </c>
      <c r="E13" s="107">
        <v>45694</v>
      </c>
      <c r="F13" s="140">
        <v>110</v>
      </c>
      <c r="G13" s="140">
        <v>0</v>
      </c>
      <c r="H13" s="140">
        <f t="shared" si="0"/>
        <v>110</v>
      </c>
      <c r="I13" s="140">
        <v>21</v>
      </c>
      <c r="J13" s="140">
        <v>0</v>
      </c>
      <c r="K13" s="140">
        <f t="shared" si="1"/>
        <v>131</v>
      </c>
      <c r="L13" s="140">
        <v>0</v>
      </c>
      <c r="M13" s="140">
        <v>0</v>
      </c>
      <c r="N13" s="140">
        <v>110</v>
      </c>
      <c r="O13" s="140">
        <v>1</v>
      </c>
      <c r="P13" s="140">
        <v>8</v>
      </c>
      <c r="Q13" s="140">
        <v>45</v>
      </c>
      <c r="R13" s="140">
        <v>0</v>
      </c>
      <c r="S13" s="140">
        <v>17</v>
      </c>
      <c r="T13" s="140">
        <v>50</v>
      </c>
      <c r="U13" s="140">
        <v>1</v>
      </c>
      <c r="V13" s="140">
        <v>160</v>
      </c>
      <c r="W13" s="140">
        <v>5</v>
      </c>
      <c r="X13" s="140">
        <v>0</v>
      </c>
      <c r="Y13" s="140">
        <v>7</v>
      </c>
      <c r="Z13" s="140">
        <v>16</v>
      </c>
      <c r="AA13" s="140">
        <v>0</v>
      </c>
      <c r="AB13" s="140">
        <v>11</v>
      </c>
      <c r="AC13" s="140">
        <v>0</v>
      </c>
      <c r="AD13" s="140">
        <v>0</v>
      </c>
      <c r="AE13" s="140">
        <v>225</v>
      </c>
      <c r="AF13" s="140">
        <v>0</v>
      </c>
      <c r="AG13" s="140">
        <v>0</v>
      </c>
      <c r="AH13" s="140">
        <v>0</v>
      </c>
      <c r="AI13" s="140">
        <v>0</v>
      </c>
      <c r="AJ13" s="140">
        <v>0</v>
      </c>
      <c r="AK13" s="140">
        <f t="shared" si="21"/>
        <v>428</v>
      </c>
      <c r="AL13" s="140">
        <f t="shared" si="22"/>
        <v>116</v>
      </c>
      <c r="AM13" s="140">
        <f t="shared" si="23"/>
        <v>544</v>
      </c>
      <c r="AN13" s="140">
        <f t="shared" si="24"/>
        <v>1</v>
      </c>
      <c r="AO13" s="189">
        <f t="shared" si="25"/>
        <v>0.90909090909090906</v>
      </c>
      <c r="AP13" s="189">
        <f t="shared" si="26"/>
        <v>0.90909090909090906</v>
      </c>
      <c r="AQ13" s="189">
        <f t="shared" si="27"/>
        <v>0.18382352941176469</v>
      </c>
      <c r="AR13" s="81">
        <f t="shared" si="28"/>
        <v>78.67647058823529</v>
      </c>
      <c r="AS13" s="81">
        <f t="shared" si="29"/>
        <v>21.323529411764707</v>
      </c>
      <c r="AT13" s="108">
        <f t="shared" si="30"/>
        <v>0</v>
      </c>
      <c r="AU13" s="108">
        <f t="shared" si="31"/>
        <v>100</v>
      </c>
      <c r="AV13" s="108">
        <f t="shared" si="32"/>
        <v>0</v>
      </c>
      <c r="AW13" s="108">
        <f t="shared" si="33"/>
        <v>0</v>
      </c>
      <c r="AX13" s="108">
        <f t="shared" si="34"/>
        <v>0</v>
      </c>
      <c r="AY13" s="108">
        <f t="shared" si="35"/>
        <v>0</v>
      </c>
      <c r="AZ13" s="108">
        <f t="shared" si="36"/>
        <v>0</v>
      </c>
    </row>
    <row r="14" spans="1:52" s="40" customFormat="1" ht="20.25" customHeight="1">
      <c r="A14" s="427"/>
      <c r="B14" s="152" t="s">
        <v>148</v>
      </c>
      <c r="C14" s="140">
        <v>285</v>
      </c>
      <c r="D14" s="107">
        <v>45695</v>
      </c>
      <c r="E14" s="107">
        <v>45698</v>
      </c>
      <c r="F14" s="140">
        <v>116</v>
      </c>
      <c r="G14" s="140">
        <v>0</v>
      </c>
      <c r="H14" s="140">
        <f t="shared" si="0"/>
        <v>116</v>
      </c>
      <c r="I14" s="140">
        <v>16</v>
      </c>
      <c r="J14" s="140">
        <v>0</v>
      </c>
      <c r="K14" s="140">
        <f t="shared" si="1"/>
        <v>132</v>
      </c>
      <c r="L14" s="140">
        <v>0</v>
      </c>
      <c r="M14" s="140">
        <v>0</v>
      </c>
      <c r="N14" s="140">
        <v>116</v>
      </c>
      <c r="O14" s="140">
        <v>3</v>
      </c>
      <c r="P14" s="140">
        <v>7</v>
      </c>
      <c r="Q14" s="140">
        <v>36</v>
      </c>
      <c r="R14" s="140">
        <v>0</v>
      </c>
      <c r="S14" s="140">
        <v>23</v>
      </c>
      <c r="T14" s="140">
        <v>52</v>
      </c>
      <c r="U14" s="140">
        <v>2</v>
      </c>
      <c r="V14" s="140">
        <v>152</v>
      </c>
      <c r="W14" s="140">
        <v>10</v>
      </c>
      <c r="X14" s="140">
        <v>1</v>
      </c>
      <c r="Y14" s="140">
        <v>8</v>
      </c>
      <c r="Z14" s="140">
        <v>20</v>
      </c>
      <c r="AA14" s="140">
        <v>0</v>
      </c>
      <c r="AB14" s="140">
        <v>52</v>
      </c>
      <c r="AC14" s="140">
        <v>0</v>
      </c>
      <c r="AD14" s="140">
        <v>0</v>
      </c>
      <c r="AE14" s="140">
        <v>397</v>
      </c>
      <c r="AF14" s="140">
        <v>0</v>
      </c>
      <c r="AG14" s="140">
        <v>0</v>
      </c>
      <c r="AH14" s="140">
        <v>0</v>
      </c>
      <c r="AI14" s="140">
        <v>0</v>
      </c>
      <c r="AJ14" s="140">
        <v>0</v>
      </c>
      <c r="AK14" s="140">
        <f t="shared" si="21"/>
        <v>639</v>
      </c>
      <c r="AL14" s="140">
        <f t="shared" si="22"/>
        <v>118</v>
      </c>
      <c r="AM14" s="140">
        <f t="shared" si="23"/>
        <v>757</v>
      </c>
      <c r="AN14" s="140">
        <f t="shared" si="24"/>
        <v>3</v>
      </c>
      <c r="AO14" s="189">
        <f t="shared" si="25"/>
        <v>2.5862068965517242</v>
      </c>
      <c r="AP14" s="189">
        <f t="shared" si="26"/>
        <v>2.5862068965517242</v>
      </c>
      <c r="AQ14" s="189">
        <f t="shared" si="27"/>
        <v>0.39630118890356669</v>
      </c>
      <c r="AR14" s="81">
        <f t="shared" si="28"/>
        <v>84.412153236459702</v>
      </c>
      <c r="AS14" s="81">
        <f t="shared" si="29"/>
        <v>15.587846763540291</v>
      </c>
      <c r="AT14" s="108">
        <f t="shared" si="30"/>
        <v>0</v>
      </c>
      <c r="AU14" s="108">
        <f t="shared" si="31"/>
        <v>66.666666666666657</v>
      </c>
      <c r="AV14" s="108">
        <f t="shared" si="32"/>
        <v>33.333333333333329</v>
      </c>
      <c r="AW14" s="108">
        <f t="shared" si="33"/>
        <v>0</v>
      </c>
      <c r="AX14" s="108">
        <f t="shared" si="34"/>
        <v>0</v>
      </c>
      <c r="AY14" s="108">
        <f t="shared" si="35"/>
        <v>0</v>
      </c>
      <c r="AZ14" s="108">
        <f t="shared" si="36"/>
        <v>0</v>
      </c>
    </row>
    <row r="15" spans="1:52" s="40" customFormat="1" ht="20.25" customHeight="1">
      <c r="A15" s="427"/>
      <c r="B15" s="152" t="s">
        <v>135</v>
      </c>
      <c r="C15" s="140">
        <v>128</v>
      </c>
      <c r="D15" s="107">
        <v>45699</v>
      </c>
      <c r="E15" s="107">
        <v>45699</v>
      </c>
      <c r="F15" s="140">
        <v>54</v>
      </c>
      <c r="G15" s="140">
        <v>0</v>
      </c>
      <c r="H15" s="140">
        <f t="shared" si="0"/>
        <v>54</v>
      </c>
      <c r="I15" s="140">
        <v>3</v>
      </c>
      <c r="J15" s="140">
        <v>0</v>
      </c>
      <c r="K15" s="140">
        <f t="shared" si="1"/>
        <v>57</v>
      </c>
      <c r="L15" s="140">
        <v>0</v>
      </c>
      <c r="M15" s="140">
        <v>0</v>
      </c>
      <c r="N15" s="140">
        <v>54</v>
      </c>
      <c r="O15" s="140">
        <v>0</v>
      </c>
      <c r="P15" s="140">
        <v>2</v>
      </c>
      <c r="Q15" s="140">
        <v>4</v>
      </c>
      <c r="R15" s="140">
        <v>0</v>
      </c>
      <c r="S15" s="140">
        <v>8</v>
      </c>
      <c r="T15" s="140">
        <v>19</v>
      </c>
      <c r="U15" s="140">
        <v>0</v>
      </c>
      <c r="V15" s="140">
        <v>57</v>
      </c>
      <c r="W15" s="140">
        <v>2</v>
      </c>
      <c r="X15" s="140">
        <v>0</v>
      </c>
      <c r="Y15" s="140">
        <v>0</v>
      </c>
      <c r="Z15" s="140">
        <v>4</v>
      </c>
      <c r="AA15" s="140">
        <v>0</v>
      </c>
      <c r="AB15" s="140">
        <v>69</v>
      </c>
      <c r="AC15" s="140">
        <v>0</v>
      </c>
      <c r="AD15" s="140">
        <v>0</v>
      </c>
      <c r="AE15" s="140">
        <v>271</v>
      </c>
      <c r="AF15" s="140">
        <v>0</v>
      </c>
      <c r="AG15" s="140">
        <v>0</v>
      </c>
      <c r="AH15" s="140">
        <v>0</v>
      </c>
      <c r="AI15" s="140">
        <v>0</v>
      </c>
      <c r="AJ15" s="140">
        <v>0</v>
      </c>
      <c r="AK15" s="140">
        <f t="shared" si="21"/>
        <v>407</v>
      </c>
      <c r="AL15" s="140">
        <f t="shared" si="22"/>
        <v>29</v>
      </c>
      <c r="AM15" s="140">
        <f t="shared" si="23"/>
        <v>436</v>
      </c>
      <c r="AN15" s="140">
        <f t="shared" si="24"/>
        <v>0</v>
      </c>
      <c r="AO15" s="189">
        <f t="shared" si="25"/>
        <v>0</v>
      </c>
      <c r="AP15" s="189">
        <f t="shared" si="26"/>
        <v>0</v>
      </c>
      <c r="AQ15" s="189">
        <f t="shared" si="27"/>
        <v>0</v>
      </c>
      <c r="AR15" s="81">
        <f t="shared" si="28"/>
        <v>93.348623853211009</v>
      </c>
      <c r="AS15" s="81">
        <f t="shared" si="29"/>
        <v>6.6513761467889916</v>
      </c>
      <c r="AT15" s="108" t="e">
        <f t="shared" si="30"/>
        <v>#DIV/0!</v>
      </c>
      <c r="AU15" s="108" t="e">
        <f t="shared" si="31"/>
        <v>#DIV/0!</v>
      </c>
      <c r="AV15" s="108" t="e">
        <f t="shared" si="32"/>
        <v>#DIV/0!</v>
      </c>
      <c r="AW15" s="108" t="e">
        <f t="shared" si="33"/>
        <v>#DIV/0!</v>
      </c>
      <c r="AX15" s="108" t="e">
        <f t="shared" si="34"/>
        <v>#DIV/0!</v>
      </c>
      <c r="AY15" s="108" t="e">
        <f t="shared" si="35"/>
        <v>#DIV/0!</v>
      </c>
      <c r="AZ15" s="108" t="e">
        <f t="shared" si="36"/>
        <v>#DIV/0!</v>
      </c>
    </row>
    <row r="16" spans="1:52" s="40" customFormat="1" ht="20.25" customHeight="1">
      <c r="A16" s="427"/>
      <c r="B16" s="152" t="s">
        <v>208</v>
      </c>
      <c r="C16" s="140">
        <v>132</v>
      </c>
      <c r="D16" s="107">
        <v>45700</v>
      </c>
      <c r="E16" s="107">
        <v>45702</v>
      </c>
      <c r="F16" s="140">
        <v>132</v>
      </c>
      <c r="G16" s="140">
        <v>0</v>
      </c>
      <c r="H16" s="140">
        <f t="shared" si="0"/>
        <v>132</v>
      </c>
      <c r="I16" s="140">
        <v>21</v>
      </c>
      <c r="J16" s="140">
        <v>0</v>
      </c>
      <c r="K16" s="140">
        <f t="shared" si="1"/>
        <v>153</v>
      </c>
      <c r="L16" s="140">
        <v>0</v>
      </c>
      <c r="M16" s="140">
        <v>0</v>
      </c>
      <c r="N16" s="140">
        <v>132</v>
      </c>
      <c r="O16" s="140">
        <v>7</v>
      </c>
      <c r="P16" s="140">
        <v>3</v>
      </c>
      <c r="Q16" s="140">
        <v>38</v>
      </c>
      <c r="R16" s="140">
        <v>2</v>
      </c>
      <c r="S16" s="140">
        <v>22</v>
      </c>
      <c r="T16" s="140">
        <v>62</v>
      </c>
      <c r="U16" s="140">
        <v>3</v>
      </c>
      <c r="V16" s="140">
        <v>185</v>
      </c>
      <c r="W16" s="140">
        <v>31</v>
      </c>
      <c r="X16" s="140">
        <v>1</v>
      </c>
      <c r="Y16" s="140">
        <v>10</v>
      </c>
      <c r="Z16" s="140">
        <v>12</v>
      </c>
      <c r="AA16" s="140">
        <v>0</v>
      </c>
      <c r="AB16" s="140">
        <v>16</v>
      </c>
      <c r="AC16" s="140">
        <v>0</v>
      </c>
      <c r="AD16" s="140">
        <v>0</v>
      </c>
      <c r="AE16" s="140">
        <v>644</v>
      </c>
      <c r="AF16" s="140">
        <v>1</v>
      </c>
      <c r="AG16" s="140">
        <v>1</v>
      </c>
      <c r="AH16" s="140">
        <v>0</v>
      </c>
      <c r="AI16" s="140">
        <v>0</v>
      </c>
      <c r="AJ16" s="140">
        <v>0</v>
      </c>
      <c r="AK16" s="140">
        <f t="shared" si="21"/>
        <v>880</v>
      </c>
      <c r="AL16" s="140">
        <f t="shared" si="22"/>
        <v>144</v>
      </c>
      <c r="AM16" s="140">
        <f t="shared" si="23"/>
        <v>1024</v>
      </c>
      <c r="AN16" s="140">
        <f t="shared" si="24"/>
        <v>7</v>
      </c>
      <c r="AO16" s="189">
        <f t="shared" si="25"/>
        <v>5.3030303030303028</v>
      </c>
      <c r="AP16" s="189">
        <f t="shared" si="26"/>
        <v>5.3030303030303028</v>
      </c>
      <c r="AQ16" s="189">
        <f t="shared" si="27"/>
        <v>0.68359375</v>
      </c>
      <c r="AR16" s="81">
        <f t="shared" si="28"/>
        <v>85.9375</v>
      </c>
      <c r="AS16" s="81">
        <f t="shared" si="29"/>
        <v>14.0625</v>
      </c>
      <c r="AT16" s="108">
        <f t="shared" si="30"/>
        <v>28.571428571428569</v>
      </c>
      <c r="AU16" s="108">
        <f t="shared" si="31"/>
        <v>42.857142857142854</v>
      </c>
      <c r="AV16" s="108">
        <f t="shared" si="32"/>
        <v>14.285714285714285</v>
      </c>
      <c r="AW16" s="108">
        <f t="shared" si="33"/>
        <v>0</v>
      </c>
      <c r="AX16" s="108">
        <f t="shared" si="34"/>
        <v>0</v>
      </c>
      <c r="AY16" s="108">
        <f t="shared" si="35"/>
        <v>14.285714285714285</v>
      </c>
      <c r="AZ16" s="108">
        <f t="shared" si="36"/>
        <v>0</v>
      </c>
    </row>
    <row r="17" spans="1:52" s="40" customFormat="1" ht="20.25" customHeight="1">
      <c r="A17" s="427"/>
      <c r="B17" s="152" t="s">
        <v>136</v>
      </c>
      <c r="C17" s="140">
        <v>154</v>
      </c>
      <c r="D17" s="107">
        <v>45705</v>
      </c>
      <c r="E17" s="107">
        <v>45706</v>
      </c>
      <c r="F17" s="140">
        <v>81</v>
      </c>
      <c r="G17" s="140">
        <v>0</v>
      </c>
      <c r="H17" s="140">
        <f t="shared" si="0"/>
        <v>81</v>
      </c>
      <c r="I17" s="140">
        <v>18</v>
      </c>
      <c r="J17" s="140">
        <v>0</v>
      </c>
      <c r="K17" s="140">
        <f t="shared" si="1"/>
        <v>99</v>
      </c>
      <c r="L17" s="140">
        <v>0</v>
      </c>
      <c r="M17" s="140">
        <v>0</v>
      </c>
      <c r="N17" s="140">
        <v>81</v>
      </c>
      <c r="O17" s="140">
        <v>2</v>
      </c>
      <c r="P17" s="140">
        <v>0</v>
      </c>
      <c r="Q17" s="140">
        <v>9</v>
      </c>
      <c r="R17" s="140">
        <v>0</v>
      </c>
      <c r="S17" s="140">
        <v>17</v>
      </c>
      <c r="T17" s="140">
        <v>32</v>
      </c>
      <c r="U17" s="140">
        <v>0</v>
      </c>
      <c r="V17" s="140">
        <v>73</v>
      </c>
      <c r="W17" s="140">
        <v>37</v>
      </c>
      <c r="X17" s="140">
        <v>2</v>
      </c>
      <c r="Y17" s="140">
        <v>6</v>
      </c>
      <c r="Z17" s="140">
        <v>0</v>
      </c>
      <c r="AA17" s="140">
        <v>0</v>
      </c>
      <c r="AB17" s="140">
        <v>18</v>
      </c>
      <c r="AC17" s="140">
        <v>0</v>
      </c>
      <c r="AD17" s="140">
        <v>0</v>
      </c>
      <c r="AE17" s="140">
        <v>197</v>
      </c>
      <c r="AF17" s="140">
        <v>0</v>
      </c>
      <c r="AG17" s="140">
        <v>0</v>
      </c>
      <c r="AH17" s="140">
        <v>0</v>
      </c>
      <c r="AI17" s="140">
        <v>0</v>
      </c>
      <c r="AJ17" s="140">
        <v>0</v>
      </c>
      <c r="AK17" s="140">
        <f t="shared" si="21"/>
        <v>311</v>
      </c>
      <c r="AL17" s="140">
        <f t="shared" si="22"/>
        <v>78</v>
      </c>
      <c r="AM17" s="140">
        <f t="shared" si="23"/>
        <v>389</v>
      </c>
      <c r="AN17" s="140">
        <f t="shared" si="24"/>
        <v>2</v>
      </c>
      <c r="AO17" s="189">
        <f t="shared" si="25"/>
        <v>2.4691358024691357</v>
      </c>
      <c r="AP17" s="189">
        <f t="shared" si="26"/>
        <v>2.4691358024691357</v>
      </c>
      <c r="AQ17" s="189">
        <f t="shared" si="27"/>
        <v>0.51413881748071977</v>
      </c>
      <c r="AR17" s="81">
        <f t="shared" si="28"/>
        <v>79.948586118251924</v>
      </c>
      <c r="AS17" s="81">
        <f t="shared" si="29"/>
        <v>20.051413881748072</v>
      </c>
      <c r="AT17" s="108">
        <f t="shared" si="30"/>
        <v>0</v>
      </c>
      <c r="AU17" s="108">
        <f t="shared" si="31"/>
        <v>0</v>
      </c>
      <c r="AV17" s="108">
        <f t="shared" si="32"/>
        <v>100</v>
      </c>
      <c r="AW17" s="108">
        <f t="shared" si="33"/>
        <v>0</v>
      </c>
      <c r="AX17" s="108">
        <f t="shared" si="34"/>
        <v>0</v>
      </c>
      <c r="AY17" s="108">
        <f t="shared" si="35"/>
        <v>0</v>
      </c>
      <c r="AZ17" s="108">
        <f t="shared" si="36"/>
        <v>0</v>
      </c>
    </row>
    <row r="18" spans="1:52" s="40" customFormat="1" ht="20.25" customHeight="1">
      <c r="A18" s="427"/>
      <c r="B18" s="152" t="s">
        <v>137</v>
      </c>
      <c r="C18" s="140">
        <v>45</v>
      </c>
      <c r="D18" s="107">
        <v>45707</v>
      </c>
      <c r="E18" s="107">
        <v>45707</v>
      </c>
      <c r="F18" s="140">
        <v>26</v>
      </c>
      <c r="G18" s="140">
        <v>0</v>
      </c>
      <c r="H18" s="140">
        <f t="shared" si="0"/>
        <v>26</v>
      </c>
      <c r="I18" s="140">
        <v>0</v>
      </c>
      <c r="J18" s="140">
        <v>0</v>
      </c>
      <c r="K18" s="140">
        <f t="shared" si="1"/>
        <v>26</v>
      </c>
      <c r="L18" s="140">
        <v>0</v>
      </c>
      <c r="M18" s="140">
        <v>0</v>
      </c>
      <c r="N18" s="140">
        <v>26</v>
      </c>
      <c r="O18" s="140">
        <v>1</v>
      </c>
      <c r="P18" s="140">
        <v>1</v>
      </c>
      <c r="Q18" s="140">
        <v>3</v>
      </c>
      <c r="R18" s="140">
        <v>0</v>
      </c>
      <c r="S18" s="140">
        <v>5</v>
      </c>
      <c r="T18" s="140">
        <v>8</v>
      </c>
      <c r="U18" s="140">
        <v>1</v>
      </c>
      <c r="V18" s="140">
        <v>27</v>
      </c>
      <c r="W18" s="140">
        <v>10</v>
      </c>
      <c r="X18" s="140">
        <v>0</v>
      </c>
      <c r="Y18" s="140">
        <v>0</v>
      </c>
      <c r="Z18" s="140">
        <v>0</v>
      </c>
      <c r="AA18" s="140">
        <v>0</v>
      </c>
      <c r="AB18" s="140">
        <v>36</v>
      </c>
      <c r="AC18" s="140">
        <v>0</v>
      </c>
      <c r="AD18" s="140">
        <v>0</v>
      </c>
      <c r="AE18" s="140">
        <v>68</v>
      </c>
      <c r="AF18" s="140">
        <v>0</v>
      </c>
      <c r="AG18" s="140">
        <v>0</v>
      </c>
      <c r="AH18" s="140">
        <v>0</v>
      </c>
      <c r="AI18" s="140">
        <v>0</v>
      </c>
      <c r="AJ18" s="140">
        <v>0</v>
      </c>
      <c r="AK18" s="140">
        <f t="shared" si="21"/>
        <v>137</v>
      </c>
      <c r="AL18" s="140">
        <f t="shared" si="22"/>
        <v>21</v>
      </c>
      <c r="AM18" s="140">
        <f t="shared" si="23"/>
        <v>158</v>
      </c>
      <c r="AN18" s="140">
        <f t="shared" si="24"/>
        <v>1</v>
      </c>
      <c r="AO18" s="189">
        <f t="shared" si="25"/>
        <v>3.8461538461538463</v>
      </c>
      <c r="AP18" s="189">
        <f t="shared" si="26"/>
        <v>3.8461538461538463</v>
      </c>
      <c r="AQ18" s="189">
        <f t="shared" si="27"/>
        <v>0.63291139240506333</v>
      </c>
      <c r="AR18" s="81">
        <f t="shared" si="28"/>
        <v>86.70886075949366</v>
      </c>
      <c r="AS18" s="81">
        <f t="shared" si="29"/>
        <v>13.291139240506327</v>
      </c>
      <c r="AT18" s="108">
        <f t="shared" si="30"/>
        <v>0</v>
      </c>
      <c r="AU18" s="108">
        <f t="shared" si="31"/>
        <v>100</v>
      </c>
      <c r="AV18" s="108">
        <f t="shared" si="32"/>
        <v>0</v>
      </c>
      <c r="AW18" s="108">
        <f t="shared" si="33"/>
        <v>0</v>
      </c>
      <c r="AX18" s="108">
        <f t="shared" si="34"/>
        <v>0</v>
      </c>
      <c r="AY18" s="108">
        <f t="shared" si="35"/>
        <v>0</v>
      </c>
      <c r="AZ18" s="108">
        <f t="shared" si="36"/>
        <v>0</v>
      </c>
    </row>
    <row r="19" spans="1:52" s="40" customFormat="1" ht="20.25" customHeight="1">
      <c r="A19" s="427"/>
      <c r="B19" s="152" t="s">
        <v>149</v>
      </c>
      <c r="C19" s="140">
        <v>48</v>
      </c>
      <c r="D19" s="107">
        <v>45707</v>
      </c>
      <c r="E19" s="107">
        <v>45707</v>
      </c>
      <c r="F19" s="140">
        <v>25</v>
      </c>
      <c r="G19" s="140">
        <v>0</v>
      </c>
      <c r="H19" s="140">
        <f t="shared" si="0"/>
        <v>25</v>
      </c>
      <c r="I19" s="140">
        <v>0</v>
      </c>
      <c r="J19" s="140">
        <v>0</v>
      </c>
      <c r="K19" s="140">
        <f t="shared" si="1"/>
        <v>25</v>
      </c>
      <c r="L19" s="140">
        <v>0</v>
      </c>
      <c r="M19" s="140">
        <v>0</v>
      </c>
      <c r="N19" s="140">
        <v>25</v>
      </c>
      <c r="O19" s="140">
        <v>0</v>
      </c>
      <c r="P19" s="140">
        <v>0</v>
      </c>
      <c r="Q19" s="140">
        <v>20</v>
      </c>
      <c r="R19" s="140">
        <v>0</v>
      </c>
      <c r="S19" s="140">
        <v>8</v>
      </c>
      <c r="T19" s="140">
        <v>20</v>
      </c>
      <c r="U19" s="140">
        <v>0</v>
      </c>
      <c r="V19" s="140">
        <v>0</v>
      </c>
      <c r="W19" s="140">
        <v>1</v>
      </c>
      <c r="X19" s="140">
        <v>0</v>
      </c>
      <c r="Y19" s="140">
        <v>1</v>
      </c>
      <c r="Z19" s="140">
        <v>25</v>
      </c>
      <c r="AA19" s="140">
        <v>0</v>
      </c>
      <c r="AB19" s="140">
        <v>0</v>
      </c>
      <c r="AC19" s="140">
        <v>0</v>
      </c>
      <c r="AD19" s="140">
        <v>0</v>
      </c>
      <c r="AE19" s="140">
        <v>0</v>
      </c>
      <c r="AF19" s="140">
        <v>0</v>
      </c>
      <c r="AG19" s="140">
        <v>0</v>
      </c>
      <c r="AH19" s="140">
        <v>0</v>
      </c>
      <c r="AI19" s="140">
        <v>0</v>
      </c>
      <c r="AJ19" s="140">
        <v>0</v>
      </c>
      <c r="AK19" s="140">
        <f t="shared" si="21"/>
        <v>9</v>
      </c>
      <c r="AL19" s="140">
        <f t="shared" si="22"/>
        <v>66</v>
      </c>
      <c r="AM19" s="140">
        <f t="shared" si="23"/>
        <v>75</v>
      </c>
      <c r="AN19" s="140">
        <f t="shared" si="24"/>
        <v>0</v>
      </c>
      <c r="AO19" s="189">
        <f t="shared" si="25"/>
        <v>0</v>
      </c>
      <c r="AP19" s="189">
        <f t="shared" si="26"/>
        <v>0</v>
      </c>
      <c r="AQ19" s="189">
        <f t="shared" si="27"/>
        <v>0</v>
      </c>
      <c r="AR19" s="81">
        <f t="shared" si="28"/>
        <v>12</v>
      </c>
      <c r="AS19" s="81">
        <f t="shared" si="29"/>
        <v>88</v>
      </c>
      <c r="AT19" s="108" t="e">
        <f t="shared" si="30"/>
        <v>#DIV/0!</v>
      </c>
      <c r="AU19" s="108" t="e">
        <f t="shared" si="31"/>
        <v>#DIV/0!</v>
      </c>
      <c r="AV19" s="108" t="e">
        <f t="shared" si="32"/>
        <v>#DIV/0!</v>
      </c>
      <c r="AW19" s="108" t="e">
        <f t="shared" si="33"/>
        <v>#DIV/0!</v>
      </c>
      <c r="AX19" s="108" t="e">
        <f t="shared" si="34"/>
        <v>#DIV/0!</v>
      </c>
      <c r="AY19" s="108" t="e">
        <f t="shared" si="35"/>
        <v>#DIV/0!</v>
      </c>
      <c r="AZ19" s="108" t="e">
        <f t="shared" si="36"/>
        <v>#DIV/0!</v>
      </c>
    </row>
    <row r="20" spans="1:52" s="40" customFormat="1" ht="20.25" customHeight="1">
      <c r="A20" s="427"/>
      <c r="B20" s="152" t="s">
        <v>150</v>
      </c>
      <c r="C20" s="140">
        <v>100</v>
      </c>
      <c r="D20" s="107">
        <v>45708</v>
      </c>
      <c r="E20" s="107">
        <v>45708</v>
      </c>
      <c r="F20" s="140">
        <v>44</v>
      </c>
      <c r="G20" s="140">
        <v>0</v>
      </c>
      <c r="H20" s="140">
        <f t="shared" si="0"/>
        <v>44</v>
      </c>
      <c r="I20" s="140">
        <v>4</v>
      </c>
      <c r="J20" s="140">
        <v>0</v>
      </c>
      <c r="K20" s="140">
        <f t="shared" si="1"/>
        <v>48</v>
      </c>
      <c r="L20" s="140">
        <v>0</v>
      </c>
      <c r="M20" s="140">
        <v>0</v>
      </c>
      <c r="N20" s="140">
        <v>44</v>
      </c>
      <c r="O20" s="140">
        <v>2</v>
      </c>
      <c r="P20" s="140">
        <v>3</v>
      </c>
      <c r="Q20" s="140">
        <v>9</v>
      </c>
      <c r="R20" s="140">
        <v>0</v>
      </c>
      <c r="S20" s="140">
        <v>12</v>
      </c>
      <c r="T20" s="140">
        <v>24</v>
      </c>
      <c r="U20" s="140">
        <v>2</v>
      </c>
      <c r="V20" s="140">
        <v>86</v>
      </c>
      <c r="W20" s="140">
        <v>1</v>
      </c>
      <c r="X20" s="140">
        <v>0</v>
      </c>
      <c r="Y20" s="140">
        <v>0</v>
      </c>
      <c r="Z20" s="140">
        <v>0</v>
      </c>
      <c r="AA20" s="140">
        <v>0</v>
      </c>
      <c r="AB20" s="140">
        <v>8</v>
      </c>
      <c r="AC20" s="140">
        <v>0</v>
      </c>
      <c r="AD20" s="140">
        <v>0</v>
      </c>
      <c r="AE20" s="140">
        <v>123</v>
      </c>
      <c r="AF20" s="140">
        <v>2</v>
      </c>
      <c r="AG20" s="140">
        <v>0</v>
      </c>
      <c r="AH20" s="140">
        <v>0</v>
      </c>
      <c r="AI20" s="140">
        <v>0</v>
      </c>
      <c r="AJ20" s="140">
        <v>0</v>
      </c>
      <c r="AK20" s="140">
        <f t="shared" ref="AK20" si="37">P20+S20+V20+Y20+AB20+AE20+AH20</f>
        <v>232</v>
      </c>
      <c r="AL20" s="140">
        <f t="shared" ref="AL20" si="38">Q20+T20+W20+Z20+AC20+AF20+AI20</f>
        <v>36</v>
      </c>
      <c r="AM20" s="140">
        <f t="shared" ref="AM20" si="39">AK20+AL20</f>
        <v>268</v>
      </c>
      <c r="AN20" s="140">
        <f t="shared" ref="AN20" si="40">R20+U20+X20+AA20+AD20+AG20+AJ20</f>
        <v>2</v>
      </c>
      <c r="AO20" s="189">
        <f t="shared" ref="AO20" si="41">O20/H20*100</f>
        <v>4.5454545454545459</v>
      </c>
      <c r="AP20" s="189">
        <f t="shared" ref="AP20" si="42">AN20/H20*100</f>
        <v>4.5454545454545459</v>
      </c>
      <c r="AQ20" s="189">
        <f t="shared" ref="AQ20" si="43">AN20/AM20*100</f>
        <v>0.74626865671641784</v>
      </c>
      <c r="AR20" s="81">
        <f t="shared" ref="AR20" si="44">AK20/AM20*100</f>
        <v>86.567164179104466</v>
      </c>
      <c r="AS20" s="81">
        <f t="shared" ref="AS20" si="45">AL20/AM20*100</f>
        <v>13.432835820895523</v>
      </c>
      <c r="AT20" s="108">
        <f t="shared" ref="AT20" si="46">R20/AN20*100</f>
        <v>0</v>
      </c>
      <c r="AU20" s="108">
        <f t="shared" ref="AU20" si="47">U20/AN20*100</f>
        <v>100</v>
      </c>
      <c r="AV20" s="108">
        <f t="shared" ref="AV20" si="48">X20/AN20*100</f>
        <v>0</v>
      </c>
      <c r="AW20" s="108">
        <f t="shared" ref="AW20" si="49">AA20/AN20*100</f>
        <v>0</v>
      </c>
      <c r="AX20" s="108">
        <f t="shared" ref="AX20" si="50">AD20/AN20*100</f>
        <v>0</v>
      </c>
      <c r="AY20" s="108">
        <f t="shared" ref="AY20" si="51">AG20/AN20*100</f>
        <v>0</v>
      </c>
      <c r="AZ20" s="108">
        <f t="shared" ref="AZ20" si="52">AJ20/AN20*100</f>
        <v>0</v>
      </c>
    </row>
    <row r="21" spans="1:52" s="40" customFormat="1" ht="20.25" customHeight="1">
      <c r="A21" s="427"/>
      <c r="B21" s="152" t="s">
        <v>151</v>
      </c>
      <c r="C21" s="140">
        <v>107</v>
      </c>
      <c r="D21" s="107">
        <v>45709</v>
      </c>
      <c r="E21" s="107">
        <v>45709</v>
      </c>
      <c r="F21" s="140">
        <v>48</v>
      </c>
      <c r="G21" s="140">
        <v>0</v>
      </c>
      <c r="H21" s="140">
        <f t="shared" si="0"/>
        <v>48</v>
      </c>
      <c r="I21" s="140">
        <v>3</v>
      </c>
      <c r="J21" s="140">
        <v>0</v>
      </c>
      <c r="K21" s="140">
        <f t="shared" si="1"/>
        <v>51</v>
      </c>
      <c r="L21" s="140">
        <v>0</v>
      </c>
      <c r="M21" s="140">
        <v>0</v>
      </c>
      <c r="N21" s="140">
        <v>48</v>
      </c>
      <c r="O21" s="140">
        <v>1</v>
      </c>
      <c r="P21" s="140">
        <v>5</v>
      </c>
      <c r="Q21" s="140">
        <v>10</v>
      </c>
      <c r="R21" s="140">
        <v>0</v>
      </c>
      <c r="S21" s="140">
        <v>14</v>
      </c>
      <c r="T21" s="140">
        <v>17</v>
      </c>
      <c r="U21" s="140">
        <v>0</v>
      </c>
      <c r="V21" s="140">
        <v>62</v>
      </c>
      <c r="W21" s="140">
        <v>17</v>
      </c>
      <c r="X21" s="140">
        <v>1</v>
      </c>
      <c r="Y21" s="140">
        <v>2</v>
      </c>
      <c r="Z21" s="140">
        <v>0</v>
      </c>
      <c r="AA21" s="140">
        <v>0</v>
      </c>
      <c r="AB21" s="140">
        <v>59</v>
      </c>
      <c r="AC21" s="140">
        <v>3</v>
      </c>
      <c r="AD21" s="140">
        <v>0</v>
      </c>
      <c r="AE21" s="140">
        <v>196</v>
      </c>
      <c r="AF21" s="140">
        <v>0</v>
      </c>
      <c r="AG21" s="140">
        <v>0</v>
      </c>
      <c r="AH21" s="140">
        <v>0</v>
      </c>
      <c r="AI21" s="140">
        <v>0</v>
      </c>
      <c r="AJ21" s="140">
        <v>0</v>
      </c>
      <c r="AK21" s="140">
        <f t="shared" si="21"/>
        <v>338</v>
      </c>
      <c r="AL21" s="140">
        <f t="shared" si="22"/>
        <v>47</v>
      </c>
      <c r="AM21" s="140">
        <f t="shared" si="23"/>
        <v>385</v>
      </c>
      <c r="AN21" s="140">
        <f t="shared" si="24"/>
        <v>1</v>
      </c>
      <c r="AO21" s="189">
        <f t="shared" si="25"/>
        <v>2.083333333333333</v>
      </c>
      <c r="AP21" s="189">
        <f t="shared" si="26"/>
        <v>2.083333333333333</v>
      </c>
      <c r="AQ21" s="189">
        <f t="shared" si="27"/>
        <v>0.25974025974025972</v>
      </c>
      <c r="AR21" s="81">
        <f t="shared" si="28"/>
        <v>87.79220779220779</v>
      </c>
      <c r="AS21" s="81">
        <f t="shared" si="29"/>
        <v>12.207792207792208</v>
      </c>
      <c r="AT21" s="108">
        <f t="shared" si="30"/>
        <v>0</v>
      </c>
      <c r="AU21" s="108">
        <f t="shared" si="31"/>
        <v>0</v>
      </c>
      <c r="AV21" s="108">
        <f t="shared" si="32"/>
        <v>100</v>
      </c>
      <c r="AW21" s="108">
        <f t="shared" si="33"/>
        <v>0</v>
      </c>
      <c r="AX21" s="108">
        <f t="shared" si="34"/>
        <v>0</v>
      </c>
      <c r="AY21" s="108">
        <f t="shared" si="35"/>
        <v>0</v>
      </c>
      <c r="AZ21" s="108">
        <f t="shared" si="36"/>
        <v>0</v>
      </c>
    </row>
    <row r="22" spans="1:52" s="40" customFormat="1" ht="20.25" customHeight="1">
      <c r="A22" s="427"/>
      <c r="B22" s="152" t="s">
        <v>152</v>
      </c>
      <c r="C22" s="38">
        <v>86</v>
      </c>
      <c r="D22" s="107">
        <v>45712</v>
      </c>
      <c r="E22" s="107">
        <v>45712</v>
      </c>
      <c r="F22" s="38">
        <v>41</v>
      </c>
      <c r="G22" s="38">
        <v>0</v>
      </c>
      <c r="H22" s="38">
        <f t="shared" si="0"/>
        <v>41</v>
      </c>
      <c r="I22" s="38">
        <v>3</v>
      </c>
      <c r="J22" s="38">
        <v>0</v>
      </c>
      <c r="K22" s="38">
        <f t="shared" si="1"/>
        <v>44</v>
      </c>
      <c r="L22" s="38">
        <v>0</v>
      </c>
      <c r="M22" s="38">
        <v>0</v>
      </c>
      <c r="N22" s="38">
        <v>41</v>
      </c>
      <c r="O22" s="38">
        <v>0</v>
      </c>
      <c r="P22" s="38">
        <v>3</v>
      </c>
      <c r="Q22" s="38">
        <v>4</v>
      </c>
      <c r="R22" s="38">
        <v>0</v>
      </c>
      <c r="S22" s="38">
        <v>17</v>
      </c>
      <c r="T22" s="38">
        <v>6</v>
      </c>
      <c r="U22" s="38">
        <v>0</v>
      </c>
      <c r="V22" s="38">
        <v>47</v>
      </c>
      <c r="W22" s="38">
        <v>10</v>
      </c>
      <c r="X22" s="38">
        <v>0</v>
      </c>
      <c r="Y22" s="38">
        <v>4</v>
      </c>
      <c r="Z22" s="38">
        <v>1</v>
      </c>
      <c r="AA22" s="38">
        <v>0</v>
      </c>
      <c r="AB22" s="38">
        <v>10</v>
      </c>
      <c r="AC22" s="38">
        <v>3</v>
      </c>
      <c r="AD22" s="38">
        <v>0</v>
      </c>
      <c r="AE22" s="38">
        <v>126</v>
      </c>
      <c r="AF22" s="38">
        <v>0</v>
      </c>
      <c r="AG22" s="38">
        <v>0</v>
      </c>
      <c r="AH22" s="38">
        <v>0</v>
      </c>
      <c r="AI22" s="38">
        <v>0</v>
      </c>
      <c r="AJ22" s="38">
        <v>0</v>
      </c>
      <c r="AK22" s="38">
        <f t="shared" si="5"/>
        <v>207</v>
      </c>
      <c r="AL22" s="38">
        <f t="shared" si="6"/>
        <v>24</v>
      </c>
      <c r="AM22" s="38">
        <f t="shared" si="7"/>
        <v>231</v>
      </c>
      <c r="AN22" s="38">
        <f t="shared" si="8"/>
        <v>0</v>
      </c>
      <c r="AO22" s="189">
        <f t="shared" si="9"/>
        <v>0</v>
      </c>
      <c r="AP22" s="189">
        <f t="shared" si="10"/>
        <v>0</v>
      </c>
      <c r="AQ22" s="189">
        <f t="shared" si="11"/>
        <v>0</v>
      </c>
      <c r="AR22" s="81">
        <f t="shared" si="12"/>
        <v>89.610389610389603</v>
      </c>
      <c r="AS22" s="81">
        <f t="shared" si="13"/>
        <v>10.38961038961039</v>
      </c>
      <c r="AT22" s="108" t="e">
        <f t="shared" si="14"/>
        <v>#DIV/0!</v>
      </c>
      <c r="AU22" s="108" t="e">
        <f t="shared" si="15"/>
        <v>#DIV/0!</v>
      </c>
      <c r="AV22" s="108" t="e">
        <f t="shared" si="16"/>
        <v>#DIV/0!</v>
      </c>
      <c r="AW22" s="108" t="e">
        <f t="shared" si="17"/>
        <v>#DIV/0!</v>
      </c>
      <c r="AX22" s="108" t="e">
        <f t="shared" si="18"/>
        <v>#DIV/0!</v>
      </c>
      <c r="AY22" s="108" t="e">
        <f t="shared" si="19"/>
        <v>#DIV/0!</v>
      </c>
      <c r="AZ22" s="108" t="e">
        <f t="shared" si="20"/>
        <v>#DIV/0!</v>
      </c>
    </row>
    <row r="23" spans="1:52" s="65" customFormat="1" ht="20.25" customHeight="1">
      <c r="A23" s="70" t="s">
        <v>99</v>
      </c>
      <c r="B23" s="70">
        <f>COUNTA(B6:B22)</f>
        <v>17</v>
      </c>
      <c r="C23" s="70">
        <f>SUM(C6:C22)</f>
        <v>2846</v>
      </c>
      <c r="D23" s="68">
        <f>MIN(D6:D22)</f>
        <v>45693</v>
      </c>
      <c r="E23" s="68">
        <f>MAX(E6:E22)</f>
        <v>45712</v>
      </c>
      <c r="F23" s="70">
        <f>SUM(F6:F22)</f>
        <v>1192</v>
      </c>
      <c r="G23" s="70">
        <f>SUM(G6:G22)</f>
        <v>0</v>
      </c>
      <c r="H23" s="70">
        <f t="shared" ref="H23:AJ23" si="53">SUM(H6:H22)</f>
        <v>1192</v>
      </c>
      <c r="I23" s="70">
        <f t="shared" si="53"/>
        <v>89</v>
      </c>
      <c r="J23" s="70">
        <f t="shared" si="53"/>
        <v>0</v>
      </c>
      <c r="K23" s="70">
        <f t="shared" si="53"/>
        <v>1281</v>
      </c>
      <c r="L23" s="70">
        <f t="shared" si="53"/>
        <v>0</v>
      </c>
      <c r="M23" s="70">
        <f t="shared" si="53"/>
        <v>0</v>
      </c>
      <c r="N23" s="70">
        <f t="shared" si="53"/>
        <v>1192</v>
      </c>
      <c r="O23" s="70">
        <f t="shared" si="53"/>
        <v>69</v>
      </c>
      <c r="P23" s="70">
        <f t="shared" si="53"/>
        <v>37</v>
      </c>
      <c r="Q23" s="70">
        <f t="shared" si="53"/>
        <v>189</v>
      </c>
      <c r="R23" s="70">
        <f t="shared" si="53"/>
        <v>2</v>
      </c>
      <c r="S23" s="70">
        <f t="shared" si="53"/>
        <v>263</v>
      </c>
      <c r="T23" s="70">
        <f t="shared" si="53"/>
        <v>638</v>
      </c>
      <c r="U23" s="70">
        <f t="shared" si="53"/>
        <v>31</v>
      </c>
      <c r="V23" s="70">
        <f t="shared" si="53"/>
        <v>907</v>
      </c>
      <c r="W23" s="70">
        <f t="shared" si="53"/>
        <v>329</v>
      </c>
      <c r="X23" s="70">
        <f t="shared" si="53"/>
        <v>15</v>
      </c>
      <c r="Y23" s="70">
        <f t="shared" si="53"/>
        <v>38</v>
      </c>
      <c r="Z23" s="70">
        <f t="shared" si="53"/>
        <v>96</v>
      </c>
      <c r="AA23" s="70">
        <f t="shared" si="53"/>
        <v>2</v>
      </c>
      <c r="AB23" s="70">
        <f t="shared" si="53"/>
        <v>305</v>
      </c>
      <c r="AC23" s="70">
        <f t="shared" si="53"/>
        <v>224</v>
      </c>
      <c r="AD23" s="70">
        <f t="shared" si="53"/>
        <v>23</v>
      </c>
      <c r="AE23" s="70">
        <f t="shared" si="53"/>
        <v>2552</v>
      </c>
      <c r="AF23" s="70">
        <f t="shared" si="53"/>
        <v>461</v>
      </c>
      <c r="AG23" s="70">
        <f t="shared" si="53"/>
        <v>2</v>
      </c>
      <c r="AH23" s="70">
        <f t="shared" si="53"/>
        <v>0</v>
      </c>
      <c r="AI23" s="70">
        <f t="shared" si="53"/>
        <v>0</v>
      </c>
      <c r="AJ23" s="70">
        <f t="shared" si="53"/>
        <v>0</v>
      </c>
      <c r="AK23" s="70">
        <f t="shared" ref="AK23:AK34" si="54">P23+S23+V23+Y23+AB23+AE23+AH23</f>
        <v>4102</v>
      </c>
      <c r="AL23" s="70">
        <f t="shared" ref="AL23:AL34" si="55">Q23+T23+W23+Z23+AC23+AF23+AI23</f>
        <v>1937</v>
      </c>
      <c r="AM23" s="70">
        <f t="shared" ref="AM23:AM34" si="56">AK23+AL23</f>
        <v>6039</v>
      </c>
      <c r="AN23" s="70">
        <f t="shared" ref="AN23:AN34" si="57">R23+U23+X23+AA23+AD23+AG23+AJ23</f>
        <v>75</v>
      </c>
      <c r="AO23" s="183">
        <f t="shared" si="2"/>
        <v>5.7885906040268456</v>
      </c>
      <c r="AP23" s="183">
        <f t="shared" si="3"/>
        <v>6.2919463087248326</v>
      </c>
      <c r="AQ23" s="183">
        <f t="shared" ref="AQ23:AQ54" si="58">AN23/AM23*100</f>
        <v>1.2419274714356683</v>
      </c>
      <c r="AR23" s="69">
        <f t="shared" ref="AR23:AR54" si="59">AK23/AM23*100</f>
        <v>67.925153171054802</v>
      </c>
      <c r="AS23" s="69">
        <f t="shared" ref="AS23:AS54" si="60">AL23/AM23*100</f>
        <v>32.074846828945191</v>
      </c>
      <c r="AT23" s="85">
        <f t="shared" ref="AT23:AT54" si="61">R23/AN23*100</f>
        <v>2.666666666666667</v>
      </c>
      <c r="AU23" s="85">
        <f t="shared" ref="AU23:AU54" si="62">U23/AN23*100</f>
        <v>41.333333333333336</v>
      </c>
      <c r="AV23" s="85">
        <f t="shared" ref="AV23:AV54" si="63">X23/AN23*100</f>
        <v>20</v>
      </c>
      <c r="AW23" s="85">
        <f t="shared" ref="AW23:AW54" si="64">AA23/AN23*100</f>
        <v>2.666666666666667</v>
      </c>
      <c r="AX23" s="85">
        <f t="shared" ref="AX23:AX54" si="65">AD23/AN23*100</f>
        <v>30.666666666666664</v>
      </c>
      <c r="AY23" s="85">
        <f t="shared" ref="AY23:AY54" si="66">AG23/AN23*100</f>
        <v>2.666666666666667</v>
      </c>
      <c r="AZ23" s="85">
        <f t="shared" ref="AZ23:AZ54" si="67">AJ23/AN23*100</f>
        <v>0</v>
      </c>
    </row>
    <row r="24" spans="1:52" s="165" customFormat="1" ht="20.25" customHeight="1">
      <c r="A24" s="159" t="s">
        <v>121</v>
      </c>
      <c r="B24" s="163" t="s">
        <v>226</v>
      </c>
      <c r="C24" s="159">
        <v>154</v>
      </c>
      <c r="D24" s="160">
        <v>45742</v>
      </c>
      <c r="E24" s="160">
        <v>45742</v>
      </c>
      <c r="F24" s="159">
        <v>60</v>
      </c>
      <c r="G24" s="159">
        <v>0</v>
      </c>
      <c r="H24" s="204">
        <f t="shared" ref="H24:H52" si="68">F24+G24</f>
        <v>60</v>
      </c>
      <c r="I24" s="159">
        <v>8</v>
      </c>
      <c r="J24" s="159">
        <v>0</v>
      </c>
      <c r="K24" s="204">
        <f t="shared" ref="K24:K52" si="69">H24+I24+J24</f>
        <v>68</v>
      </c>
      <c r="L24" s="159">
        <v>0</v>
      </c>
      <c r="M24" s="159">
        <v>0</v>
      </c>
      <c r="N24" s="159">
        <v>60</v>
      </c>
      <c r="O24" s="159">
        <v>3</v>
      </c>
      <c r="P24" s="159">
        <v>11</v>
      </c>
      <c r="Q24" s="159">
        <v>8</v>
      </c>
      <c r="R24" s="159">
        <v>0</v>
      </c>
      <c r="S24" s="159">
        <v>11</v>
      </c>
      <c r="T24" s="159">
        <v>32</v>
      </c>
      <c r="U24" s="159">
        <v>1</v>
      </c>
      <c r="V24" s="159">
        <v>67</v>
      </c>
      <c r="W24" s="159">
        <v>55</v>
      </c>
      <c r="X24" s="159">
        <v>1</v>
      </c>
      <c r="Y24" s="159">
        <v>4</v>
      </c>
      <c r="Z24" s="159">
        <v>2</v>
      </c>
      <c r="AA24" s="159">
        <v>0</v>
      </c>
      <c r="AB24" s="159">
        <v>66</v>
      </c>
      <c r="AC24" s="159">
        <v>2</v>
      </c>
      <c r="AD24" s="159">
        <v>1</v>
      </c>
      <c r="AE24" s="159">
        <v>229</v>
      </c>
      <c r="AF24" s="159">
        <v>0</v>
      </c>
      <c r="AG24" s="159">
        <v>0</v>
      </c>
      <c r="AH24" s="159">
        <v>0</v>
      </c>
      <c r="AI24" s="159">
        <v>0</v>
      </c>
      <c r="AJ24" s="159">
        <v>0</v>
      </c>
      <c r="AK24" s="204">
        <f t="shared" si="54"/>
        <v>388</v>
      </c>
      <c r="AL24" s="204">
        <f t="shared" si="55"/>
        <v>99</v>
      </c>
      <c r="AM24" s="204">
        <f t="shared" si="56"/>
        <v>487</v>
      </c>
      <c r="AN24" s="204">
        <f t="shared" si="57"/>
        <v>3</v>
      </c>
      <c r="AO24" s="189">
        <f t="shared" si="2"/>
        <v>5</v>
      </c>
      <c r="AP24" s="189">
        <f t="shared" si="3"/>
        <v>5</v>
      </c>
      <c r="AQ24" s="81">
        <f t="shared" si="58"/>
        <v>0.61601642710472282</v>
      </c>
      <c r="AR24" s="81">
        <f t="shared" si="59"/>
        <v>79.671457905544145</v>
      </c>
      <c r="AS24" s="81">
        <f t="shared" si="60"/>
        <v>20.328542094455852</v>
      </c>
      <c r="AT24" s="81">
        <f t="shared" si="61"/>
        <v>0</v>
      </c>
      <c r="AU24" s="81">
        <f t="shared" si="62"/>
        <v>33.333333333333329</v>
      </c>
      <c r="AV24" s="81">
        <f t="shared" si="63"/>
        <v>33.333333333333329</v>
      </c>
      <c r="AW24" s="81">
        <f t="shared" si="64"/>
        <v>0</v>
      </c>
      <c r="AX24" s="81">
        <f t="shared" si="65"/>
        <v>33.333333333333329</v>
      </c>
      <c r="AY24" s="81">
        <f t="shared" si="66"/>
        <v>0</v>
      </c>
      <c r="AZ24" s="81">
        <f t="shared" si="67"/>
        <v>0</v>
      </c>
    </row>
    <row r="25" spans="1:52" s="165" customFormat="1" ht="20.25" customHeight="1">
      <c r="A25" s="368" t="s">
        <v>227</v>
      </c>
      <c r="B25" s="163" t="s">
        <v>228</v>
      </c>
      <c r="C25" s="159">
        <v>54</v>
      </c>
      <c r="D25" s="160">
        <v>45722</v>
      </c>
      <c r="E25" s="160">
        <v>45723</v>
      </c>
      <c r="F25" s="159">
        <v>21</v>
      </c>
      <c r="G25" s="159">
        <v>0</v>
      </c>
      <c r="H25" s="204">
        <f t="shared" si="68"/>
        <v>21</v>
      </c>
      <c r="I25" s="159">
        <v>3</v>
      </c>
      <c r="J25" s="159">
        <v>0</v>
      </c>
      <c r="K25" s="204">
        <f t="shared" si="69"/>
        <v>24</v>
      </c>
      <c r="L25" s="159">
        <v>0</v>
      </c>
      <c r="M25" s="159">
        <v>0</v>
      </c>
      <c r="N25" s="159">
        <v>21</v>
      </c>
      <c r="O25" s="159">
        <v>0</v>
      </c>
      <c r="P25" s="159">
        <v>0</v>
      </c>
      <c r="Q25" s="159">
        <v>3</v>
      </c>
      <c r="R25" s="159">
        <v>0</v>
      </c>
      <c r="S25" s="159">
        <v>1</v>
      </c>
      <c r="T25" s="159">
        <v>6</v>
      </c>
      <c r="U25" s="159">
        <v>0</v>
      </c>
      <c r="V25" s="159">
        <v>1</v>
      </c>
      <c r="W25" s="159">
        <v>1</v>
      </c>
      <c r="X25" s="159">
        <v>0</v>
      </c>
      <c r="Y25" s="159">
        <v>0</v>
      </c>
      <c r="Z25" s="159">
        <v>0</v>
      </c>
      <c r="AA25" s="159">
        <v>0</v>
      </c>
      <c r="AB25" s="159">
        <v>0</v>
      </c>
      <c r="AC25" s="159">
        <v>0</v>
      </c>
      <c r="AD25" s="159">
        <v>0</v>
      </c>
      <c r="AE25" s="159">
        <v>5</v>
      </c>
      <c r="AF25" s="159">
        <v>0</v>
      </c>
      <c r="AG25" s="159">
        <v>0</v>
      </c>
      <c r="AH25" s="159">
        <v>0</v>
      </c>
      <c r="AI25" s="159">
        <v>0</v>
      </c>
      <c r="AJ25" s="159">
        <v>0</v>
      </c>
      <c r="AK25" s="204">
        <f t="shared" si="54"/>
        <v>7</v>
      </c>
      <c r="AL25" s="204">
        <f t="shared" si="55"/>
        <v>10</v>
      </c>
      <c r="AM25" s="204">
        <f t="shared" si="56"/>
        <v>17</v>
      </c>
      <c r="AN25" s="204">
        <f t="shared" si="57"/>
        <v>0</v>
      </c>
      <c r="AO25" s="189">
        <f t="shared" si="2"/>
        <v>0</v>
      </c>
      <c r="AP25" s="189">
        <f t="shared" si="3"/>
        <v>0</v>
      </c>
      <c r="AQ25" s="81">
        <f t="shared" si="58"/>
        <v>0</v>
      </c>
      <c r="AR25" s="81">
        <f t="shared" si="59"/>
        <v>41.17647058823529</v>
      </c>
      <c r="AS25" s="81">
        <f t="shared" si="60"/>
        <v>58.82352941176471</v>
      </c>
      <c r="AT25" s="81" t="e">
        <f t="shared" si="61"/>
        <v>#DIV/0!</v>
      </c>
      <c r="AU25" s="81" t="e">
        <f t="shared" si="62"/>
        <v>#DIV/0!</v>
      </c>
      <c r="AV25" s="81" t="e">
        <f t="shared" si="63"/>
        <v>#DIV/0!</v>
      </c>
      <c r="AW25" s="81" t="e">
        <f t="shared" si="64"/>
        <v>#DIV/0!</v>
      </c>
      <c r="AX25" s="81" t="e">
        <f t="shared" si="65"/>
        <v>#DIV/0!</v>
      </c>
      <c r="AY25" s="81" t="e">
        <f t="shared" si="66"/>
        <v>#DIV/0!</v>
      </c>
      <c r="AZ25" s="81" t="e">
        <f t="shared" si="67"/>
        <v>#DIV/0!</v>
      </c>
    </row>
    <row r="26" spans="1:52" s="165" customFormat="1" ht="20.25" customHeight="1">
      <c r="A26" s="426"/>
      <c r="B26" s="163" t="s">
        <v>229</v>
      </c>
      <c r="C26" s="159">
        <v>241</v>
      </c>
      <c r="D26" s="160">
        <v>45722</v>
      </c>
      <c r="E26" s="160">
        <v>45723</v>
      </c>
      <c r="F26" s="159">
        <v>74</v>
      </c>
      <c r="G26" s="159">
        <v>0</v>
      </c>
      <c r="H26" s="204">
        <f t="shared" si="68"/>
        <v>74</v>
      </c>
      <c r="I26" s="159">
        <v>12</v>
      </c>
      <c r="J26" s="159">
        <v>0</v>
      </c>
      <c r="K26" s="204">
        <f t="shared" si="69"/>
        <v>86</v>
      </c>
      <c r="L26" s="159">
        <v>0</v>
      </c>
      <c r="M26" s="159">
        <v>0</v>
      </c>
      <c r="N26" s="159">
        <v>74</v>
      </c>
      <c r="O26" s="159">
        <v>3</v>
      </c>
      <c r="P26" s="159">
        <v>2</v>
      </c>
      <c r="Q26" s="159">
        <v>1</v>
      </c>
      <c r="R26" s="159">
        <v>0</v>
      </c>
      <c r="S26" s="159">
        <v>30</v>
      </c>
      <c r="T26" s="159">
        <v>50</v>
      </c>
      <c r="U26" s="159">
        <v>2</v>
      </c>
      <c r="V26" s="159">
        <v>87</v>
      </c>
      <c r="W26" s="159">
        <v>32</v>
      </c>
      <c r="X26" s="159">
        <v>1</v>
      </c>
      <c r="Y26" s="159">
        <v>0</v>
      </c>
      <c r="Z26" s="159">
        <v>4</v>
      </c>
      <c r="AA26" s="159">
        <v>0</v>
      </c>
      <c r="AB26" s="159">
        <v>97</v>
      </c>
      <c r="AC26" s="159">
        <v>0</v>
      </c>
      <c r="AD26" s="159">
        <v>0</v>
      </c>
      <c r="AE26" s="159">
        <v>445</v>
      </c>
      <c r="AF26" s="159">
        <v>0</v>
      </c>
      <c r="AG26" s="159">
        <v>0</v>
      </c>
      <c r="AH26" s="159">
        <v>0</v>
      </c>
      <c r="AI26" s="159">
        <v>0</v>
      </c>
      <c r="AJ26" s="159">
        <v>0</v>
      </c>
      <c r="AK26" s="204">
        <f t="shared" si="54"/>
        <v>661</v>
      </c>
      <c r="AL26" s="204">
        <f t="shared" si="55"/>
        <v>87</v>
      </c>
      <c r="AM26" s="204">
        <f t="shared" si="56"/>
        <v>748</v>
      </c>
      <c r="AN26" s="204">
        <f t="shared" si="57"/>
        <v>3</v>
      </c>
      <c r="AO26" s="189">
        <f t="shared" si="2"/>
        <v>4.0540540540540544</v>
      </c>
      <c r="AP26" s="189">
        <f t="shared" si="3"/>
        <v>4.0540540540540544</v>
      </c>
      <c r="AQ26" s="81">
        <f t="shared" si="58"/>
        <v>0.40106951871657759</v>
      </c>
      <c r="AR26" s="81">
        <f t="shared" si="59"/>
        <v>88.368983957219243</v>
      </c>
      <c r="AS26" s="81">
        <f t="shared" si="60"/>
        <v>11.631016042780749</v>
      </c>
      <c r="AT26" s="81">
        <f t="shared" si="61"/>
        <v>0</v>
      </c>
      <c r="AU26" s="81">
        <f t="shared" si="62"/>
        <v>66.666666666666657</v>
      </c>
      <c r="AV26" s="81">
        <f t="shared" si="63"/>
        <v>33.333333333333329</v>
      </c>
      <c r="AW26" s="81">
        <f t="shared" si="64"/>
        <v>0</v>
      </c>
      <c r="AX26" s="81">
        <f t="shared" si="65"/>
        <v>0</v>
      </c>
      <c r="AY26" s="81">
        <f t="shared" si="66"/>
        <v>0</v>
      </c>
      <c r="AZ26" s="81">
        <f t="shared" si="67"/>
        <v>0</v>
      </c>
    </row>
    <row r="27" spans="1:52" s="165" customFormat="1" ht="20.25" customHeight="1">
      <c r="A27" s="426"/>
      <c r="B27" s="163" t="s">
        <v>230</v>
      </c>
      <c r="C27" s="159">
        <v>54</v>
      </c>
      <c r="D27" s="160">
        <v>45726</v>
      </c>
      <c r="E27" s="160">
        <v>45727</v>
      </c>
      <c r="F27" s="159">
        <v>24</v>
      </c>
      <c r="G27" s="159">
        <v>0</v>
      </c>
      <c r="H27" s="204">
        <f t="shared" si="68"/>
        <v>24</v>
      </c>
      <c r="I27" s="159">
        <v>5</v>
      </c>
      <c r="J27" s="159">
        <v>0</v>
      </c>
      <c r="K27" s="204">
        <f t="shared" si="69"/>
        <v>29</v>
      </c>
      <c r="L27" s="159">
        <v>0</v>
      </c>
      <c r="M27" s="159">
        <v>0</v>
      </c>
      <c r="N27" s="159">
        <v>24</v>
      </c>
      <c r="O27" s="159">
        <v>4</v>
      </c>
      <c r="P27" s="159">
        <v>0</v>
      </c>
      <c r="Q27" s="159">
        <v>2</v>
      </c>
      <c r="R27" s="159">
        <v>0</v>
      </c>
      <c r="S27" s="159">
        <v>3</v>
      </c>
      <c r="T27" s="159">
        <v>17</v>
      </c>
      <c r="U27" s="159">
        <v>3</v>
      </c>
      <c r="V27" s="159">
        <v>8</v>
      </c>
      <c r="W27" s="159">
        <v>35</v>
      </c>
      <c r="X27" s="159">
        <v>1</v>
      </c>
      <c r="Y27" s="159">
        <v>0</v>
      </c>
      <c r="Z27" s="159">
        <v>0</v>
      </c>
      <c r="AA27" s="159">
        <v>0</v>
      </c>
      <c r="AB27" s="159">
        <v>2</v>
      </c>
      <c r="AC27" s="159">
        <v>1</v>
      </c>
      <c r="AD27" s="159">
        <v>0</v>
      </c>
      <c r="AE27" s="159">
        <v>104</v>
      </c>
      <c r="AF27" s="159">
        <v>0</v>
      </c>
      <c r="AG27" s="159">
        <v>0</v>
      </c>
      <c r="AH27" s="159">
        <v>0</v>
      </c>
      <c r="AI27" s="159">
        <v>0</v>
      </c>
      <c r="AJ27" s="159">
        <v>0</v>
      </c>
      <c r="AK27" s="204">
        <f t="shared" si="54"/>
        <v>117</v>
      </c>
      <c r="AL27" s="204">
        <f t="shared" si="55"/>
        <v>55</v>
      </c>
      <c r="AM27" s="204">
        <f t="shared" si="56"/>
        <v>172</v>
      </c>
      <c r="AN27" s="204">
        <f t="shared" si="57"/>
        <v>4</v>
      </c>
      <c r="AO27" s="189">
        <f t="shared" si="2"/>
        <v>16.666666666666664</v>
      </c>
      <c r="AP27" s="189">
        <f t="shared" si="3"/>
        <v>16.666666666666664</v>
      </c>
      <c r="AQ27" s="81">
        <f t="shared" si="58"/>
        <v>2.3255813953488373</v>
      </c>
      <c r="AR27" s="81">
        <f t="shared" si="59"/>
        <v>68.023255813953483</v>
      </c>
      <c r="AS27" s="81">
        <f t="shared" si="60"/>
        <v>31.976744186046513</v>
      </c>
      <c r="AT27" s="81">
        <f t="shared" si="61"/>
        <v>0</v>
      </c>
      <c r="AU27" s="81">
        <f t="shared" si="62"/>
        <v>75</v>
      </c>
      <c r="AV27" s="81">
        <f t="shared" si="63"/>
        <v>25</v>
      </c>
      <c r="AW27" s="81">
        <f t="shared" si="64"/>
        <v>0</v>
      </c>
      <c r="AX27" s="81">
        <f t="shared" si="65"/>
        <v>0</v>
      </c>
      <c r="AY27" s="81">
        <f t="shared" si="66"/>
        <v>0</v>
      </c>
      <c r="AZ27" s="81">
        <f t="shared" si="67"/>
        <v>0</v>
      </c>
    </row>
    <row r="28" spans="1:52" s="165" customFormat="1" ht="20.25" customHeight="1">
      <c r="A28" s="426"/>
      <c r="B28" s="163" t="s">
        <v>231</v>
      </c>
      <c r="C28" s="159">
        <v>52</v>
      </c>
      <c r="D28" s="160">
        <v>45727</v>
      </c>
      <c r="E28" s="160">
        <v>45728</v>
      </c>
      <c r="F28" s="159">
        <v>19</v>
      </c>
      <c r="G28" s="159">
        <v>0</v>
      </c>
      <c r="H28" s="204">
        <f t="shared" si="68"/>
        <v>19</v>
      </c>
      <c r="I28" s="159">
        <v>0</v>
      </c>
      <c r="J28" s="159">
        <v>0</v>
      </c>
      <c r="K28" s="204">
        <f t="shared" si="69"/>
        <v>19</v>
      </c>
      <c r="L28" s="159">
        <v>0</v>
      </c>
      <c r="M28" s="159">
        <v>0</v>
      </c>
      <c r="N28" s="159">
        <v>19</v>
      </c>
      <c r="O28" s="159">
        <v>0</v>
      </c>
      <c r="P28" s="159">
        <v>0</v>
      </c>
      <c r="Q28" s="159">
        <v>1</v>
      </c>
      <c r="R28" s="159">
        <v>0</v>
      </c>
      <c r="S28" s="159">
        <v>0</v>
      </c>
      <c r="T28" s="159">
        <v>6</v>
      </c>
      <c r="U28" s="159">
        <v>0</v>
      </c>
      <c r="V28" s="159">
        <v>0</v>
      </c>
      <c r="W28" s="159">
        <v>16</v>
      </c>
      <c r="X28" s="159">
        <v>0</v>
      </c>
      <c r="Y28" s="159">
        <v>0</v>
      </c>
      <c r="Z28" s="159">
        <v>0</v>
      </c>
      <c r="AA28" s="159">
        <v>0</v>
      </c>
      <c r="AB28" s="159">
        <v>0</v>
      </c>
      <c r="AC28" s="159">
        <v>0</v>
      </c>
      <c r="AD28" s="159">
        <v>0</v>
      </c>
      <c r="AE28" s="159">
        <v>44</v>
      </c>
      <c r="AF28" s="159">
        <v>0</v>
      </c>
      <c r="AG28" s="159">
        <v>0</v>
      </c>
      <c r="AH28" s="159">
        <v>0</v>
      </c>
      <c r="AI28" s="159">
        <v>0</v>
      </c>
      <c r="AJ28" s="159">
        <v>0</v>
      </c>
      <c r="AK28" s="204">
        <f t="shared" si="54"/>
        <v>44</v>
      </c>
      <c r="AL28" s="204">
        <f t="shared" si="55"/>
        <v>23</v>
      </c>
      <c r="AM28" s="204">
        <f t="shared" si="56"/>
        <v>67</v>
      </c>
      <c r="AN28" s="204">
        <f t="shared" si="57"/>
        <v>0</v>
      </c>
      <c r="AO28" s="189">
        <f t="shared" si="2"/>
        <v>0</v>
      </c>
      <c r="AP28" s="189">
        <f t="shared" si="3"/>
        <v>0</v>
      </c>
      <c r="AQ28" s="81">
        <f t="shared" si="58"/>
        <v>0</v>
      </c>
      <c r="AR28" s="81">
        <f t="shared" si="59"/>
        <v>65.671641791044777</v>
      </c>
      <c r="AS28" s="81">
        <f t="shared" si="60"/>
        <v>34.328358208955223</v>
      </c>
      <c r="AT28" s="81" t="e">
        <f t="shared" si="61"/>
        <v>#DIV/0!</v>
      </c>
      <c r="AU28" s="81" t="e">
        <f t="shared" si="62"/>
        <v>#DIV/0!</v>
      </c>
      <c r="AV28" s="81" t="e">
        <f t="shared" si="63"/>
        <v>#DIV/0!</v>
      </c>
      <c r="AW28" s="81" t="e">
        <f t="shared" si="64"/>
        <v>#DIV/0!</v>
      </c>
      <c r="AX28" s="81" t="e">
        <f t="shared" si="65"/>
        <v>#DIV/0!</v>
      </c>
      <c r="AY28" s="81" t="e">
        <f t="shared" si="66"/>
        <v>#DIV/0!</v>
      </c>
      <c r="AZ28" s="81" t="e">
        <f t="shared" si="67"/>
        <v>#DIV/0!</v>
      </c>
    </row>
    <row r="29" spans="1:52" s="165" customFormat="1" ht="20.25" customHeight="1">
      <c r="A29" s="426"/>
      <c r="B29" s="163" t="s">
        <v>232</v>
      </c>
      <c r="C29" s="159">
        <v>478</v>
      </c>
      <c r="D29" s="160">
        <v>45728</v>
      </c>
      <c r="E29" s="160">
        <v>45736</v>
      </c>
      <c r="F29" s="159">
        <v>200</v>
      </c>
      <c r="G29" s="159">
        <v>0</v>
      </c>
      <c r="H29" s="204">
        <f t="shared" si="68"/>
        <v>200</v>
      </c>
      <c r="I29" s="159">
        <v>36</v>
      </c>
      <c r="J29" s="159">
        <v>0</v>
      </c>
      <c r="K29" s="204">
        <f t="shared" si="69"/>
        <v>236</v>
      </c>
      <c r="L29" s="159">
        <v>0</v>
      </c>
      <c r="M29" s="159">
        <v>0</v>
      </c>
      <c r="N29" s="159">
        <v>200</v>
      </c>
      <c r="O29" s="159">
        <v>7</v>
      </c>
      <c r="P29" s="159">
        <v>6</v>
      </c>
      <c r="Q29" s="159">
        <v>57</v>
      </c>
      <c r="R29" s="159">
        <v>0</v>
      </c>
      <c r="S29" s="159">
        <v>23</v>
      </c>
      <c r="T29" s="159">
        <v>161</v>
      </c>
      <c r="U29" s="159">
        <v>3</v>
      </c>
      <c r="V29" s="159">
        <v>329</v>
      </c>
      <c r="W29" s="159">
        <v>72</v>
      </c>
      <c r="X29" s="159">
        <v>3</v>
      </c>
      <c r="Y29" s="159">
        <v>5</v>
      </c>
      <c r="Z29" s="159">
        <v>4</v>
      </c>
      <c r="AA29" s="159">
        <v>0</v>
      </c>
      <c r="AB29" s="159">
        <v>61</v>
      </c>
      <c r="AC29" s="159">
        <v>5</v>
      </c>
      <c r="AD29" s="159">
        <v>0</v>
      </c>
      <c r="AE29" s="159">
        <v>507</v>
      </c>
      <c r="AF29" s="159">
        <v>19</v>
      </c>
      <c r="AG29" s="159">
        <v>1</v>
      </c>
      <c r="AH29" s="159">
        <v>0</v>
      </c>
      <c r="AI29" s="159">
        <v>0</v>
      </c>
      <c r="AJ29" s="159">
        <v>0</v>
      </c>
      <c r="AK29" s="204">
        <f t="shared" si="54"/>
        <v>931</v>
      </c>
      <c r="AL29" s="204">
        <f t="shared" si="55"/>
        <v>318</v>
      </c>
      <c r="AM29" s="204">
        <f t="shared" si="56"/>
        <v>1249</v>
      </c>
      <c r="AN29" s="204">
        <f t="shared" si="57"/>
        <v>7</v>
      </c>
      <c r="AO29" s="189">
        <f t="shared" si="2"/>
        <v>3.5000000000000004</v>
      </c>
      <c r="AP29" s="189">
        <f t="shared" si="3"/>
        <v>3.5000000000000004</v>
      </c>
      <c r="AQ29" s="81">
        <f t="shared" si="58"/>
        <v>0.56044835868694953</v>
      </c>
      <c r="AR29" s="81">
        <f t="shared" si="59"/>
        <v>74.5396317053643</v>
      </c>
      <c r="AS29" s="81">
        <f t="shared" si="60"/>
        <v>25.46036829463571</v>
      </c>
      <c r="AT29" s="81">
        <f t="shared" si="61"/>
        <v>0</v>
      </c>
      <c r="AU29" s="81">
        <f t="shared" si="62"/>
        <v>42.857142857142854</v>
      </c>
      <c r="AV29" s="81">
        <f t="shared" si="63"/>
        <v>42.857142857142854</v>
      </c>
      <c r="AW29" s="81">
        <f t="shared" si="64"/>
        <v>0</v>
      </c>
      <c r="AX29" s="81">
        <f t="shared" si="65"/>
        <v>0</v>
      </c>
      <c r="AY29" s="81">
        <f t="shared" si="66"/>
        <v>14.285714285714285</v>
      </c>
      <c r="AZ29" s="81">
        <f t="shared" si="67"/>
        <v>0</v>
      </c>
    </row>
    <row r="30" spans="1:52" s="165" customFormat="1" ht="20.25" customHeight="1">
      <c r="A30" s="426"/>
      <c r="B30" s="163" t="s">
        <v>233</v>
      </c>
      <c r="C30" s="159">
        <v>26</v>
      </c>
      <c r="D30" s="160">
        <v>45736</v>
      </c>
      <c r="E30" s="160">
        <v>45736</v>
      </c>
      <c r="F30" s="159">
        <v>12</v>
      </c>
      <c r="G30" s="159">
        <v>0</v>
      </c>
      <c r="H30" s="204">
        <f t="shared" si="68"/>
        <v>12</v>
      </c>
      <c r="I30" s="159">
        <v>1</v>
      </c>
      <c r="J30" s="159">
        <v>0</v>
      </c>
      <c r="K30" s="204">
        <f t="shared" si="69"/>
        <v>13</v>
      </c>
      <c r="L30" s="159">
        <v>0</v>
      </c>
      <c r="M30" s="159">
        <v>0</v>
      </c>
      <c r="N30" s="159">
        <v>12</v>
      </c>
      <c r="O30" s="159">
        <v>6</v>
      </c>
      <c r="P30" s="159">
        <v>0</v>
      </c>
      <c r="Q30" s="159">
        <v>7</v>
      </c>
      <c r="R30" s="159">
        <v>1</v>
      </c>
      <c r="S30" s="159">
        <v>0</v>
      </c>
      <c r="T30" s="159">
        <v>34</v>
      </c>
      <c r="U30" s="159">
        <v>3</v>
      </c>
      <c r="V30" s="159">
        <v>0</v>
      </c>
      <c r="W30" s="159">
        <v>26</v>
      </c>
      <c r="X30" s="159">
        <v>1</v>
      </c>
      <c r="Y30" s="159">
        <v>0</v>
      </c>
      <c r="Z30" s="159">
        <v>5</v>
      </c>
      <c r="AA30" s="159">
        <v>1</v>
      </c>
      <c r="AB30" s="159">
        <v>2</v>
      </c>
      <c r="AC30" s="159">
        <v>2</v>
      </c>
      <c r="AD30" s="159">
        <v>0</v>
      </c>
      <c r="AE30" s="159">
        <v>62</v>
      </c>
      <c r="AF30" s="159">
        <v>0</v>
      </c>
      <c r="AG30" s="159">
        <v>0</v>
      </c>
      <c r="AH30" s="159">
        <v>0</v>
      </c>
      <c r="AI30" s="159">
        <v>0</v>
      </c>
      <c r="AJ30" s="159">
        <v>0</v>
      </c>
      <c r="AK30" s="204">
        <f t="shared" si="54"/>
        <v>64</v>
      </c>
      <c r="AL30" s="204">
        <f t="shared" si="55"/>
        <v>74</v>
      </c>
      <c r="AM30" s="204">
        <f t="shared" si="56"/>
        <v>138</v>
      </c>
      <c r="AN30" s="204">
        <f t="shared" si="57"/>
        <v>6</v>
      </c>
      <c r="AO30" s="189">
        <f t="shared" si="2"/>
        <v>50</v>
      </c>
      <c r="AP30" s="189">
        <f t="shared" si="3"/>
        <v>50</v>
      </c>
      <c r="AQ30" s="81">
        <f t="shared" si="58"/>
        <v>4.3478260869565215</v>
      </c>
      <c r="AR30" s="81">
        <f t="shared" si="59"/>
        <v>46.376811594202898</v>
      </c>
      <c r="AS30" s="81">
        <f t="shared" si="60"/>
        <v>53.623188405797109</v>
      </c>
      <c r="AT30" s="81">
        <f t="shared" si="61"/>
        <v>16.666666666666664</v>
      </c>
      <c r="AU30" s="81">
        <f t="shared" si="62"/>
        <v>50</v>
      </c>
      <c r="AV30" s="81">
        <f t="shared" si="63"/>
        <v>16.666666666666664</v>
      </c>
      <c r="AW30" s="81">
        <f t="shared" si="64"/>
        <v>16.666666666666664</v>
      </c>
      <c r="AX30" s="81">
        <f t="shared" si="65"/>
        <v>0</v>
      </c>
      <c r="AY30" s="81">
        <f t="shared" si="66"/>
        <v>0</v>
      </c>
      <c r="AZ30" s="81">
        <f t="shared" si="67"/>
        <v>0</v>
      </c>
    </row>
    <row r="31" spans="1:52" s="165" customFormat="1" ht="20.25" customHeight="1">
      <c r="A31" s="426"/>
      <c r="B31" s="163" t="s">
        <v>234</v>
      </c>
      <c r="C31" s="159">
        <v>56</v>
      </c>
      <c r="D31" s="160">
        <v>45737</v>
      </c>
      <c r="E31" s="160">
        <v>45737</v>
      </c>
      <c r="F31" s="159">
        <v>23</v>
      </c>
      <c r="G31" s="159">
        <v>0</v>
      </c>
      <c r="H31" s="204">
        <f t="shared" si="68"/>
        <v>23</v>
      </c>
      <c r="I31" s="159">
        <v>3</v>
      </c>
      <c r="J31" s="159">
        <v>0</v>
      </c>
      <c r="K31" s="204">
        <f t="shared" si="69"/>
        <v>26</v>
      </c>
      <c r="L31" s="159">
        <v>0</v>
      </c>
      <c r="M31" s="159">
        <v>0</v>
      </c>
      <c r="N31" s="159">
        <v>23</v>
      </c>
      <c r="O31" s="159">
        <v>2</v>
      </c>
      <c r="P31" s="159">
        <v>0</v>
      </c>
      <c r="Q31" s="159">
        <v>2</v>
      </c>
      <c r="R31" s="159">
        <v>0</v>
      </c>
      <c r="S31" s="159">
        <v>2</v>
      </c>
      <c r="T31" s="159">
        <v>18</v>
      </c>
      <c r="U31" s="159">
        <v>0</v>
      </c>
      <c r="V31" s="159">
        <v>0</v>
      </c>
      <c r="W31" s="159">
        <v>11</v>
      </c>
      <c r="X31" s="159">
        <v>11</v>
      </c>
      <c r="Y31" s="159">
        <v>0</v>
      </c>
      <c r="Z31" s="159">
        <v>0</v>
      </c>
      <c r="AA31" s="159">
        <v>0</v>
      </c>
      <c r="AB31" s="159">
        <v>25</v>
      </c>
      <c r="AC31" s="159">
        <v>2</v>
      </c>
      <c r="AD31" s="159">
        <v>2</v>
      </c>
      <c r="AE31" s="159">
        <v>161</v>
      </c>
      <c r="AF31" s="159">
        <v>9</v>
      </c>
      <c r="AG31" s="159">
        <v>0</v>
      </c>
      <c r="AH31" s="159">
        <v>0</v>
      </c>
      <c r="AI31" s="159">
        <v>0</v>
      </c>
      <c r="AJ31" s="159">
        <v>0</v>
      </c>
      <c r="AK31" s="204">
        <f t="shared" si="54"/>
        <v>188</v>
      </c>
      <c r="AL31" s="204">
        <f t="shared" si="55"/>
        <v>42</v>
      </c>
      <c r="AM31" s="204">
        <f t="shared" si="56"/>
        <v>230</v>
      </c>
      <c r="AN31" s="204">
        <f t="shared" si="57"/>
        <v>13</v>
      </c>
      <c r="AO31" s="189">
        <f t="shared" si="2"/>
        <v>8.695652173913043</v>
      </c>
      <c r="AP31" s="189">
        <f t="shared" si="3"/>
        <v>56.521739130434781</v>
      </c>
      <c r="AQ31" s="81">
        <f t="shared" si="58"/>
        <v>5.6521739130434785</v>
      </c>
      <c r="AR31" s="81">
        <f t="shared" si="59"/>
        <v>81.739130434782609</v>
      </c>
      <c r="AS31" s="81">
        <f t="shared" si="60"/>
        <v>18.260869565217391</v>
      </c>
      <c r="AT31" s="81">
        <f t="shared" si="61"/>
        <v>0</v>
      </c>
      <c r="AU31" s="81">
        <f t="shared" si="62"/>
        <v>0</v>
      </c>
      <c r="AV31" s="81">
        <f t="shared" si="63"/>
        <v>84.615384615384613</v>
      </c>
      <c r="AW31" s="81">
        <f t="shared" si="64"/>
        <v>0</v>
      </c>
      <c r="AX31" s="81">
        <f t="shared" si="65"/>
        <v>15.384615384615385</v>
      </c>
      <c r="AY31" s="81">
        <f t="shared" si="66"/>
        <v>0</v>
      </c>
      <c r="AZ31" s="81">
        <f t="shared" si="67"/>
        <v>0</v>
      </c>
    </row>
    <row r="32" spans="1:52" s="165" customFormat="1" ht="20.25" customHeight="1">
      <c r="A32" s="426"/>
      <c r="B32" s="163" t="s">
        <v>235</v>
      </c>
      <c r="C32" s="159">
        <v>56</v>
      </c>
      <c r="D32" s="160">
        <v>45737</v>
      </c>
      <c r="E32" s="160">
        <v>45737</v>
      </c>
      <c r="F32" s="159">
        <v>25</v>
      </c>
      <c r="G32" s="159">
        <v>0</v>
      </c>
      <c r="H32" s="204">
        <f t="shared" si="68"/>
        <v>25</v>
      </c>
      <c r="I32" s="159">
        <v>1</v>
      </c>
      <c r="J32" s="159">
        <v>0</v>
      </c>
      <c r="K32" s="204">
        <f t="shared" si="69"/>
        <v>26</v>
      </c>
      <c r="L32" s="159">
        <v>0</v>
      </c>
      <c r="M32" s="159">
        <v>0</v>
      </c>
      <c r="N32" s="159">
        <v>25</v>
      </c>
      <c r="O32" s="159">
        <v>3</v>
      </c>
      <c r="P32" s="159">
        <v>0</v>
      </c>
      <c r="Q32" s="159">
        <v>8</v>
      </c>
      <c r="R32" s="159">
        <v>1</v>
      </c>
      <c r="S32" s="159">
        <v>3</v>
      </c>
      <c r="T32" s="159">
        <v>18</v>
      </c>
      <c r="U32" s="159">
        <v>0</v>
      </c>
      <c r="V32" s="159">
        <v>34</v>
      </c>
      <c r="W32" s="159">
        <v>25</v>
      </c>
      <c r="X32" s="159">
        <v>2</v>
      </c>
      <c r="Y32" s="159">
        <v>0</v>
      </c>
      <c r="Z32" s="159">
        <v>0</v>
      </c>
      <c r="AA32" s="159">
        <v>0</v>
      </c>
      <c r="AB32" s="159">
        <v>4</v>
      </c>
      <c r="AC32" s="159">
        <v>5</v>
      </c>
      <c r="AD32" s="159">
        <v>0</v>
      </c>
      <c r="AE32" s="159">
        <v>133</v>
      </c>
      <c r="AF32" s="159">
        <v>0</v>
      </c>
      <c r="AG32" s="159">
        <v>0</v>
      </c>
      <c r="AH32" s="159">
        <v>0</v>
      </c>
      <c r="AI32" s="159">
        <v>0</v>
      </c>
      <c r="AJ32" s="159">
        <v>0</v>
      </c>
      <c r="AK32" s="204">
        <f t="shared" si="54"/>
        <v>174</v>
      </c>
      <c r="AL32" s="204">
        <f t="shared" si="55"/>
        <v>56</v>
      </c>
      <c r="AM32" s="204">
        <f t="shared" si="56"/>
        <v>230</v>
      </c>
      <c r="AN32" s="204">
        <f t="shared" si="57"/>
        <v>3</v>
      </c>
      <c r="AO32" s="189">
        <f t="shared" si="2"/>
        <v>12</v>
      </c>
      <c r="AP32" s="189">
        <f t="shared" si="3"/>
        <v>12</v>
      </c>
      <c r="AQ32" s="81">
        <f t="shared" si="58"/>
        <v>1.3043478260869565</v>
      </c>
      <c r="AR32" s="81">
        <f t="shared" si="59"/>
        <v>75.65217391304347</v>
      </c>
      <c r="AS32" s="81">
        <f t="shared" si="60"/>
        <v>24.347826086956523</v>
      </c>
      <c r="AT32" s="81">
        <f t="shared" si="61"/>
        <v>33.333333333333329</v>
      </c>
      <c r="AU32" s="81">
        <f t="shared" si="62"/>
        <v>0</v>
      </c>
      <c r="AV32" s="81">
        <f t="shared" si="63"/>
        <v>66.666666666666657</v>
      </c>
      <c r="AW32" s="81">
        <f t="shared" si="64"/>
        <v>0</v>
      </c>
      <c r="AX32" s="81">
        <f t="shared" si="65"/>
        <v>0</v>
      </c>
      <c r="AY32" s="81">
        <f t="shared" si="66"/>
        <v>0</v>
      </c>
      <c r="AZ32" s="81">
        <f t="shared" si="67"/>
        <v>0</v>
      </c>
    </row>
    <row r="33" spans="1:52" s="165" customFormat="1" ht="20.25" customHeight="1">
      <c r="A33" s="369"/>
      <c r="B33" s="163" t="s">
        <v>236</v>
      </c>
      <c r="C33" s="159">
        <v>278</v>
      </c>
      <c r="D33" s="160">
        <v>45740</v>
      </c>
      <c r="E33" s="160">
        <v>45741</v>
      </c>
      <c r="F33" s="159">
        <v>106</v>
      </c>
      <c r="G33" s="159">
        <v>0</v>
      </c>
      <c r="H33" s="204">
        <f t="shared" si="68"/>
        <v>106</v>
      </c>
      <c r="I33" s="159">
        <v>17</v>
      </c>
      <c r="J33" s="159">
        <v>0</v>
      </c>
      <c r="K33" s="204">
        <f t="shared" si="69"/>
        <v>123</v>
      </c>
      <c r="L33" s="159">
        <v>0</v>
      </c>
      <c r="M33" s="159">
        <v>0</v>
      </c>
      <c r="N33" s="159">
        <v>106</v>
      </c>
      <c r="O33" s="159">
        <v>2</v>
      </c>
      <c r="P33" s="159">
        <v>16</v>
      </c>
      <c r="Q33" s="159">
        <v>25</v>
      </c>
      <c r="R33" s="159">
        <v>0</v>
      </c>
      <c r="S33" s="159">
        <v>29</v>
      </c>
      <c r="T33" s="159">
        <v>48</v>
      </c>
      <c r="U33" s="159">
        <v>2</v>
      </c>
      <c r="V33" s="159">
        <v>129</v>
      </c>
      <c r="W33" s="159">
        <v>13</v>
      </c>
      <c r="X33" s="159">
        <v>0</v>
      </c>
      <c r="Y33" s="159">
        <v>3</v>
      </c>
      <c r="Z33" s="159">
        <v>4</v>
      </c>
      <c r="AA33" s="159">
        <v>0</v>
      </c>
      <c r="AB33" s="159">
        <v>44</v>
      </c>
      <c r="AC33" s="159">
        <v>0</v>
      </c>
      <c r="AD33" s="159">
        <v>0</v>
      </c>
      <c r="AE33" s="159">
        <v>388</v>
      </c>
      <c r="AF33" s="159">
        <v>0</v>
      </c>
      <c r="AG33" s="159">
        <v>0</v>
      </c>
      <c r="AH33" s="159">
        <v>0</v>
      </c>
      <c r="AI33" s="159">
        <v>0</v>
      </c>
      <c r="AJ33" s="159">
        <v>0</v>
      </c>
      <c r="AK33" s="204">
        <f t="shared" si="54"/>
        <v>609</v>
      </c>
      <c r="AL33" s="204">
        <f t="shared" si="55"/>
        <v>90</v>
      </c>
      <c r="AM33" s="204">
        <f t="shared" si="56"/>
        <v>699</v>
      </c>
      <c r="AN33" s="204">
        <f t="shared" si="57"/>
        <v>2</v>
      </c>
      <c r="AO33" s="189">
        <f t="shared" si="2"/>
        <v>1.8867924528301887</v>
      </c>
      <c r="AP33" s="189">
        <f t="shared" si="3"/>
        <v>1.8867924528301887</v>
      </c>
      <c r="AQ33" s="81">
        <f t="shared" si="58"/>
        <v>0.28612303290414876</v>
      </c>
      <c r="AR33" s="81">
        <f t="shared" si="59"/>
        <v>87.124463519313295</v>
      </c>
      <c r="AS33" s="81">
        <f t="shared" si="60"/>
        <v>12.875536480686694</v>
      </c>
      <c r="AT33" s="81">
        <f t="shared" si="61"/>
        <v>0</v>
      </c>
      <c r="AU33" s="81">
        <f t="shared" si="62"/>
        <v>100</v>
      </c>
      <c r="AV33" s="81">
        <f t="shared" si="63"/>
        <v>0</v>
      </c>
      <c r="AW33" s="81">
        <f t="shared" si="64"/>
        <v>0</v>
      </c>
      <c r="AX33" s="81">
        <f t="shared" si="65"/>
        <v>0</v>
      </c>
      <c r="AY33" s="81">
        <f t="shared" si="66"/>
        <v>0</v>
      </c>
      <c r="AZ33" s="81">
        <f t="shared" si="67"/>
        <v>0</v>
      </c>
    </row>
    <row r="34" spans="1:52" s="65" customFormat="1" ht="20.25" customHeight="1">
      <c r="A34" s="70" t="s">
        <v>103</v>
      </c>
      <c r="B34" s="70">
        <f>COUNTA(B13:B33)</f>
        <v>21</v>
      </c>
      <c r="C34" s="70">
        <f>SUM(C13:C33)</f>
        <v>5646</v>
      </c>
      <c r="D34" s="68">
        <f>MIN(D24:D33)</f>
        <v>45722</v>
      </c>
      <c r="E34" s="68">
        <f>MAX(E24:E33)</f>
        <v>45742</v>
      </c>
      <c r="F34" s="70">
        <v>306</v>
      </c>
      <c r="G34" s="70">
        <f t="shared" ref="G34:AJ34" si="70">SUM(G13:G33)</f>
        <v>0</v>
      </c>
      <c r="H34" s="70">
        <v>306</v>
      </c>
      <c r="I34" s="70">
        <v>67</v>
      </c>
      <c r="J34" s="70">
        <f t="shared" si="70"/>
        <v>0</v>
      </c>
      <c r="K34" s="70">
        <f t="shared" si="70"/>
        <v>2697</v>
      </c>
      <c r="L34" s="70">
        <f t="shared" si="70"/>
        <v>0</v>
      </c>
      <c r="M34" s="70">
        <f t="shared" si="70"/>
        <v>0</v>
      </c>
      <c r="N34" s="70">
        <f t="shared" si="70"/>
        <v>2433</v>
      </c>
      <c r="O34" s="70">
        <f t="shared" si="70"/>
        <v>116</v>
      </c>
      <c r="P34" s="70">
        <f t="shared" si="70"/>
        <v>104</v>
      </c>
      <c r="Q34" s="70">
        <f t="shared" si="70"/>
        <v>481</v>
      </c>
      <c r="R34" s="70">
        <f t="shared" si="70"/>
        <v>6</v>
      </c>
      <c r="S34" s="70">
        <f t="shared" si="70"/>
        <v>508</v>
      </c>
      <c r="T34" s="70">
        <f t="shared" si="70"/>
        <v>1318</v>
      </c>
      <c r="U34" s="70">
        <f t="shared" si="70"/>
        <v>54</v>
      </c>
      <c r="V34" s="70">
        <f t="shared" si="70"/>
        <v>2411</v>
      </c>
      <c r="W34" s="70">
        <f t="shared" si="70"/>
        <v>739</v>
      </c>
      <c r="X34" s="70">
        <f t="shared" si="70"/>
        <v>40</v>
      </c>
      <c r="Y34" s="70">
        <f t="shared" si="70"/>
        <v>88</v>
      </c>
      <c r="Z34" s="70">
        <f t="shared" si="70"/>
        <v>193</v>
      </c>
      <c r="AA34" s="70">
        <f t="shared" si="70"/>
        <v>3</v>
      </c>
      <c r="AB34" s="70">
        <f t="shared" si="70"/>
        <v>885</v>
      </c>
      <c r="AC34" s="70">
        <f t="shared" si="70"/>
        <v>247</v>
      </c>
      <c r="AD34" s="70">
        <f t="shared" si="70"/>
        <v>26</v>
      </c>
      <c r="AE34" s="70">
        <f t="shared" si="70"/>
        <v>6877</v>
      </c>
      <c r="AF34" s="70">
        <f t="shared" si="70"/>
        <v>492</v>
      </c>
      <c r="AG34" s="70">
        <f t="shared" si="70"/>
        <v>4</v>
      </c>
      <c r="AH34" s="70">
        <f t="shared" si="70"/>
        <v>0</v>
      </c>
      <c r="AI34" s="70">
        <f t="shared" si="70"/>
        <v>0</v>
      </c>
      <c r="AJ34" s="70">
        <f t="shared" si="70"/>
        <v>0</v>
      </c>
      <c r="AK34" s="70">
        <f t="shared" si="54"/>
        <v>10873</v>
      </c>
      <c r="AL34" s="70">
        <f t="shared" si="55"/>
        <v>3470</v>
      </c>
      <c r="AM34" s="70">
        <f t="shared" si="56"/>
        <v>14343</v>
      </c>
      <c r="AN34" s="70">
        <f t="shared" si="57"/>
        <v>133</v>
      </c>
      <c r="AO34" s="183">
        <f t="shared" si="2"/>
        <v>37.908496732026144</v>
      </c>
      <c r="AP34" s="183">
        <f t="shared" si="3"/>
        <v>43.464052287581701</v>
      </c>
      <c r="AQ34" s="69">
        <f t="shared" si="58"/>
        <v>0.92728160078086874</v>
      </c>
      <c r="AR34" s="69">
        <f t="shared" si="59"/>
        <v>75.807013874363804</v>
      </c>
      <c r="AS34" s="69">
        <f t="shared" si="60"/>
        <v>24.1929861256362</v>
      </c>
      <c r="AT34" s="85">
        <f t="shared" si="61"/>
        <v>4.5112781954887211</v>
      </c>
      <c r="AU34" s="85">
        <f t="shared" si="62"/>
        <v>40.601503759398497</v>
      </c>
      <c r="AV34" s="85">
        <f t="shared" si="63"/>
        <v>30.075187969924812</v>
      </c>
      <c r="AW34" s="85">
        <f t="shared" si="64"/>
        <v>2.2556390977443606</v>
      </c>
      <c r="AX34" s="85">
        <f t="shared" si="65"/>
        <v>19.548872180451127</v>
      </c>
      <c r="AY34" s="85">
        <f t="shared" si="66"/>
        <v>3.007518796992481</v>
      </c>
      <c r="AZ34" s="85">
        <f t="shared" si="67"/>
        <v>0</v>
      </c>
    </row>
    <row r="35" spans="1:52" s="165" customFormat="1" ht="20.25" customHeight="1">
      <c r="A35" s="418" t="s">
        <v>121</v>
      </c>
      <c r="B35" s="202" t="s">
        <v>122</v>
      </c>
      <c r="C35" s="159">
        <v>877</v>
      </c>
      <c r="D35" s="160">
        <v>45757</v>
      </c>
      <c r="E35" s="160">
        <v>45772</v>
      </c>
      <c r="F35" s="159">
        <v>306</v>
      </c>
      <c r="G35" s="159">
        <v>0</v>
      </c>
      <c r="H35" s="247">
        <f t="shared" si="68"/>
        <v>306</v>
      </c>
      <c r="I35" s="159">
        <v>67</v>
      </c>
      <c r="J35" s="159">
        <v>0</v>
      </c>
      <c r="K35" s="247">
        <f t="shared" si="69"/>
        <v>373</v>
      </c>
      <c r="L35" s="159">
        <v>0</v>
      </c>
      <c r="M35" s="159">
        <v>0</v>
      </c>
      <c r="N35" s="159">
        <v>306</v>
      </c>
      <c r="O35" s="159">
        <v>7</v>
      </c>
      <c r="P35" s="159">
        <v>17</v>
      </c>
      <c r="Q35" s="159">
        <v>47</v>
      </c>
      <c r="R35" s="159">
        <v>1</v>
      </c>
      <c r="S35" s="159">
        <v>50</v>
      </c>
      <c r="T35" s="159">
        <v>125</v>
      </c>
      <c r="U35" s="159">
        <v>1</v>
      </c>
      <c r="V35" s="159">
        <v>313</v>
      </c>
      <c r="W35" s="159">
        <v>46</v>
      </c>
      <c r="X35" s="159">
        <v>0</v>
      </c>
      <c r="Y35" s="159">
        <v>8</v>
      </c>
      <c r="Z35" s="159">
        <v>8</v>
      </c>
      <c r="AA35" s="159">
        <v>1</v>
      </c>
      <c r="AB35" s="159">
        <v>110</v>
      </c>
      <c r="AC35" s="159">
        <v>7</v>
      </c>
      <c r="AD35" s="159">
        <v>3</v>
      </c>
      <c r="AE35" s="159">
        <v>506</v>
      </c>
      <c r="AF35" s="159">
        <v>1</v>
      </c>
      <c r="AG35" s="159">
        <v>1</v>
      </c>
      <c r="AH35" s="159">
        <v>0</v>
      </c>
      <c r="AI35" s="159">
        <v>0</v>
      </c>
      <c r="AJ35" s="159">
        <v>0</v>
      </c>
      <c r="AK35" s="247">
        <f t="shared" ref="AK35" si="71">P35+S35+V35+Y35+AB35+AE35+AH35</f>
        <v>1004</v>
      </c>
      <c r="AL35" s="247">
        <f t="shared" ref="AL35" si="72">Q35+T35+W35+Z35+AC35+AF35+AI35</f>
        <v>234</v>
      </c>
      <c r="AM35" s="247">
        <f t="shared" ref="AM35" si="73">AK35+AL35</f>
        <v>1238</v>
      </c>
      <c r="AN35" s="247">
        <f t="shared" ref="AN35" si="74">R35+U35+X35+AA35+AD35+AG35+AJ35</f>
        <v>7</v>
      </c>
      <c r="AO35" s="189">
        <f t="shared" ref="AO35" si="75">O35/H35*100</f>
        <v>2.2875816993464051</v>
      </c>
      <c r="AP35" s="189">
        <f t="shared" ref="AP35" si="76">AN35/H35*100</f>
        <v>2.2875816993464051</v>
      </c>
      <c r="AQ35" s="81">
        <f t="shared" ref="AQ35" si="77">AN35/AM35*100</f>
        <v>0.56542810985460412</v>
      </c>
      <c r="AR35" s="81">
        <f t="shared" ref="AR35" si="78">AK35/AM35*100</f>
        <v>81.098546042003221</v>
      </c>
      <c r="AS35" s="81">
        <f t="shared" ref="AS35" si="79">AL35/AM35*100</f>
        <v>18.901453957996768</v>
      </c>
      <c r="AT35" s="81">
        <f t="shared" ref="AT35" si="80">R35/AN35*100</f>
        <v>14.285714285714285</v>
      </c>
      <c r="AU35" s="81">
        <f t="shared" ref="AU35" si="81">U35/AN35*100</f>
        <v>14.285714285714285</v>
      </c>
      <c r="AV35" s="81">
        <f t="shared" ref="AV35" si="82">X35/AN35*100</f>
        <v>0</v>
      </c>
      <c r="AW35" s="81">
        <f t="shared" ref="AW35" si="83">AA35/AN35*100</f>
        <v>14.285714285714285</v>
      </c>
      <c r="AX35" s="81">
        <f t="shared" ref="AX35" si="84">AD35/AN35*100</f>
        <v>42.857142857142854</v>
      </c>
      <c r="AY35" s="81">
        <f t="shared" ref="AY35" si="85">AG35/AN35*100</f>
        <v>14.285714285714285</v>
      </c>
      <c r="AZ35" s="81">
        <f t="shared" ref="AZ35" si="86">AJ35/AN35*100</f>
        <v>0</v>
      </c>
    </row>
    <row r="36" spans="1:52" s="165" customFormat="1" ht="20.25" customHeight="1">
      <c r="A36" s="419"/>
      <c r="B36" s="202" t="s">
        <v>123</v>
      </c>
      <c r="C36" s="159">
        <v>131</v>
      </c>
      <c r="D36" s="160">
        <v>45755</v>
      </c>
      <c r="E36" s="160">
        <v>45755</v>
      </c>
      <c r="F36" s="159">
        <v>57</v>
      </c>
      <c r="G36" s="159">
        <v>0</v>
      </c>
      <c r="H36" s="247">
        <f t="shared" si="68"/>
        <v>57</v>
      </c>
      <c r="I36" s="159">
        <v>9</v>
      </c>
      <c r="J36" s="159">
        <v>0</v>
      </c>
      <c r="K36" s="247">
        <f t="shared" si="69"/>
        <v>66</v>
      </c>
      <c r="L36" s="159">
        <v>0</v>
      </c>
      <c r="M36" s="159">
        <v>0</v>
      </c>
      <c r="N36" s="159">
        <v>57</v>
      </c>
      <c r="O36" s="159">
        <v>3</v>
      </c>
      <c r="P36" s="159">
        <v>2</v>
      </c>
      <c r="Q36" s="159">
        <v>19</v>
      </c>
      <c r="R36" s="159">
        <v>0</v>
      </c>
      <c r="S36" s="159">
        <v>8</v>
      </c>
      <c r="T36" s="159">
        <v>40</v>
      </c>
      <c r="U36" s="159">
        <v>0</v>
      </c>
      <c r="V36" s="159">
        <v>70</v>
      </c>
      <c r="W36" s="159">
        <v>11</v>
      </c>
      <c r="X36" s="159">
        <v>1</v>
      </c>
      <c r="Y36" s="159">
        <v>2</v>
      </c>
      <c r="Z36" s="159">
        <v>1</v>
      </c>
      <c r="AA36" s="159">
        <v>0</v>
      </c>
      <c r="AB36" s="159">
        <v>7</v>
      </c>
      <c r="AC36" s="159">
        <v>5</v>
      </c>
      <c r="AD36" s="159">
        <v>2</v>
      </c>
      <c r="AE36" s="159">
        <v>78</v>
      </c>
      <c r="AF36" s="159">
        <v>0</v>
      </c>
      <c r="AG36" s="159">
        <v>0</v>
      </c>
      <c r="AH36" s="159">
        <v>0</v>
      </c>
      <c r="AI36" s="159">
        <v>0</v>
      </c>
      <c r="AJ36" s="159">
        <v>0</v>
      </c>
      <c r="AK36" s="247">
        <f t="shared" ref="AK36:AK38" si="87">P36+S36+V36+Y36+AB36+AE36+AH36</f>
        <v>167</v>
      </c>
      <c r="AL36" s="247">
        <f t="shared" ref="AL36:AL38" si="88">Q36+T36+W36+Z36+AC36+AF36+AI36</f>
        <v>76</v>
      </c>
      <c r="AM36" s="247">
        <f t="shared" ref="AM36:AM38" si="89">AK36+AL36</f>
        <v>243</v>
      </c>
      <c r="AN36" s="247">
        <f t="shared" ref="AN36:AN38" si="90">R36+U36+X36+AA36+AD36+AG36+AJ36</f>
        <v>3</v>
      </c>
      <c r="AO36" s="189">
        <f t="shared" ref="AO36:AO38" si="91">O36/H36*100</f>
        <v>5.2631578947368416</v>
      </c>
      <c r="AP36" s="189">
        <f t="shared" ref="AP36:AP38" si="92">AN36/H36*100</f>
        <v>5.2631578947368416</v>
      </c>
      <c r="AQ36" s="81">
        <f t="shared" ref="AQ36:AQ38" si="93">AN36/AM36*100</f>
        <v>1.2345679012345678</v>
      </c>
      <c r="AR36" s="81">
        <f t="shared" ref="AR36:AR38" si="94">AK36/AM36*100</f>
        <v>68.724279835390945</v>
      </c>
      <c r="AS36" s="81">
        <f t="shared" ref="AS36:AS38" si="95">AL36/AM36*100</f>
        <v>31.275720164609055</v>
      </c>
      <c r="AT36" s="81">
        <f t="shared" ref="AT36:AT38" si="96">R36/AN36*100</f>
        <v>0</v>
      </c>
      <c r="AU36" s="81">
        <f t="shared" ref="AU36:AU38" si="97">U36/AN36*100</f>
        <v>0</v>
      </c>
      <c r="AV36" s="81">
        <f t="shared" ref="AV36:AV38" si="98">X36/AN36*100</f>
        <v>33.333333333333329</v>
      </c>
      <c r="AW36" s="81">
        <f t="shared" ref="AW36:AW38" si="99">AA36/AN36*100</f>
        <v>0</v>
      </c>
      <c r="AX36" s="81">
        <f t="shared" ref="AX36:AX38" si="100">AD36/AN36*100</f>
        <v>66.666666666666657</v>
      </c>
      <c r="AY36" s="81">
        <f t="shared" ref="AY36:AY38" si="101">AG36/AN36*100</f>
        <v>0</v>
      </c>
      <c r="AZ36" s="81">
        <f t="shared" ref="AZ36:AZ38" si="102">AJ36/AN36*100</f>
        <v>0</v>
      </c>
    </row>
    <row r="37" spans="1:52" s="165" customFormat="1" ht="20.25" customHeight="1">
      <c r="A37" s="420"/>
      <c r="B37" s="163" t="s">
        <v>270</v>
      </c>
      <c r="C37" s="159">
        <v>61</v>
      </c>
      <c r="D37" s="160">
        <v>45756</v>
      </c>
      <c r="E37" s="160">
        <v>45756</v>
      </c>
      <c r="F37" s="159">
        <v>28</v>
      </c>
      <c r="G37" s="159">
        <v>0</v>
      </c>
      <c r="H37" s="247">
        <f t="shared" si="68"/>
        <v>28</v>
      </c>
      <c r="I37" s="159">
        <v>1</v>
      </c>
      <c r="J37" s="159">
        <v>0</v>
      </c>
      <c r="K37" s="247">
        <f t="shared" si="69"/>
        <v>29</v>
      </c>
      <c r="L37" s="159">
        <v>0</v>
      </c>
      <c r="M37" s="159">
        <v>0</v>
      </c>
      <c r="N37" s="159">
        <v>28</v>
      </c>
      <c r="O37" s="159">
        <v>2</v>
      </c>
      <c r="P37" s="159">
        <v>1</v>
      </c>
      <c r="Q37" s="159">
        <v>4</v>
      </c>
      <c r="R37" s="159">
        <v>0</v>
      </c>
      <c r="S37" s="159">
        <v>2</v>
      </c>
      <c r="T37" s="159">
        <v>11</v>
      </c>
      <c r="U37" s="159">
        <v>1</v>
      </c>
      <c r="V37" s="159">
        <v>20</v>
      </c>
      <c r="W37" s="159">
        <v>34</v>
      </c>
      <c r="X37" s="159">
        <v>1</v>
      </c>
      <c r="Y37" s="159">
        <v>0</v>
      </c>
      <c r="Z37" s="159">
        <v>0</v>
      </c>
      <c r="AA37" s="159">
        <v>0</v>
      </c>
      <c r="AB37" s="159">
        <v>4</v>
      </c>
      <c r="AC37" s="159">
        <v>0</v>
      </c>
      <c r="AD37" s="159">
        <v>0</v>
      </c>
      <c r="AE37" s="159">
        <v>69</v>
      </c>
      <c r="AF37" s="159">
        <v>0</v>
      </c>
      <c r="AG37" s="159">
        <v>0</v>
      </c>
      <c r="AH37" s="159">
        <v>0</v>
      </c>
      <c r="AI37" s="159">
        <v>0</v>
      </c>
      <c r="AJ37" s="159">
        <v>0</v>
      </c>
      <c r="AK37" s="247">
        <f t="shared" si="87"/>
        <v>96</v>
      </c>
      <c r="AL37" s="247">
        <f t="shared" si="88"/>
        <v>49</v>
      </c>
      <c r="AM37" s="247">
        <f t="shared" si="89"/>
        <v>145</v>
      </c>
      <c r="AN37" s="247">
        <f t="shared" si="90"/>
        <v>2</v>
      </c>
      <c r="AO37" s="189">
        <f t="shared" si="91"/>
        <v>7.1428571428571423</v>
      </c>
      <c r="AP37" s="189">
        <f t="shared" si="92"/>
        <v>7.1428571428571423</v>
      </c>
      <c r="AQ37" s="81">
        <f t="shared" si="93"/>
        <v>1.3793103448275863</v>
      </c>
      <c r="AR37" s="81">
        <f t="shared" si="94"/>
        <v>66.206896551724142</v>
      </c>
      <c r="AS37" s="81">
        <f t="shared" si="95"/>
        <v>33.793103448275865</v>
      </c>
      <c r="AT37" s="81">
        <f t="shared" si="96"/>
        <v>0</v>
      </c>
      <c r="AU37" s="81">
        <f t="shared" si="97"/>
        <v>50</v>
      </c>
      <c r="AV37" s="81">
        <f t="shared" si="98"/>
        <v>50</v>
      </c>
      <c r="AW37" s="81">
        <f t="shared" si="99"/>
        <v>0</v>
      </c>
      <c r="AX37" s="81">
        <f t="shared" si="100"/>
        <v>0</v>
      </c>
      <c r="AY37" s="81">
        <f t="shared" si="101"/>
        <v>0</v>
      </c>
      <c r="AZ37" s="81">
        <f t="shared" si="102"/>
        <v>0</v>
      </c>
    </row>
    <row r="38" spans="1:52" s="65" customFormat="1" ht="20.25" customHeight="1">
      <c r="A38" s="70" t="s">
        <v>254</v>
      </c>
      <c r="B38" s="70">
        <v>3</v>
      </c>
      <c r="C38" s="70">
        <f>SUM(C35:C37)</f>
        <v>1069</v>
      </c>
      <c r="D38" s="68">
        <f>MIN(D35:D37)</f>
        <v>45755</v>
      </c>
      <c r="E38" s="68">
        <f>MAX(E35:E37)</f>
        <v>45772</v>
      </c>
      <c r="F38" s="70">
        <f>SUM(F35:F37)</f>
        <v>391</v>
      </c>
      <c r="G38" s="70">
        <f t="shared" ref="G38:AJ38" si="103">SUM(G35:G37)</f>
        <v>0</v>
      </c>
      <c r="H38" s="70">
        <f t="shared" si="103"/>
        <v>391</v>
      </c>
      <c r="I38" s="70">
        <f t="shared" si="103"/>
        <v>77</v>
      </c>
      <c r="J38" s="70">
        <f t="shared" si="103"/>
        <v>0</v>
      </c>
      <c r="K38" s="70">
        <f t="shared" si="103"/>
        <v>468</v>
      </c>
      <c r="L38" s="70">
        <f t="shared" si="103"/>
        <v>0</v>
      </c>
      <c r="M38" s="70">
        <f t="shared" si="103"/>
        <v>0</v>
      </c>
      <c r="N38" s="70">
        <f t="shared" si="103"/>
        <v>391</v>
      </c>
      <c r="O38" s="70">
        <f t="shared" si="103"/>
        <v>12</v>
      </c>
      <c r="P38" s="70">
        <f t="shared" si="103"/>
        <v>20</v>
      </c>
      <c r="Q38" s="70">
        <f t="shared" si="103"/>
        <v>70</v>
      </c>
      <c r="R38" s="70">
        <f t="shared" si="103"/>
        <v>1</v>
      </c>
      <c r="S38" s="70">
        <f t="shared" si="103"/>
        <v>60</v>
      </c>
      <c r="T38" s="70">
        <f t="shared" si="103"/>
        <v>176</v>
      </c>
      <c r="U38" s="70">
        <f t="shared" si="103"/>
        <v>2</v>
      </c>
      <c r="V38" s="70">
        <f t="shared" si="103"/>
        <v>403</v>
      </c>
      <c r="W38" s="70">
        <f t="shared" si="103"/>
        <v>91</v>
      </c>
      <c r="X38" s="70">
        <f t="shared" si="103"/>
        <v>2</v>
      </c>
      <c r="Y38" s="70">
        <f t="shared" si="103"/>
        <v>10</v>
      </c>
      <c r="Z38" s="70">
        <f t="shared" si="103"/>
        <v>9</v>
      </c>
      <c r="AA38" s="70">
        <f t="shared" si="103"/>
        <v>1</v>
      </c>
      <c r="AB38" s="70">
        <f t="shared" si="103"/>
        <v>121</v>
      </c>
      <c r="AC38" s="70">
        <f t="shared" si="103"/>
        <v>12</v>
      </c>
      <c r="AD38" s="70">
        <f t="shared" si="103"/>
        <v>5</v>
      </c>
      <c r="AE38" s="70">
        <f t="shared" si="103"/>
        <v>653</v>
      </c>
      <c r="AF38" s="70">
        <f t="shared" si="103"/>
        <v>1</v>
      </c>
      <c r="AG38" s="70">
        <f t="shared" si="103"/>
        <v>1</v>
      </c>
      <c r="AH38" s="70">
        <f t="shared" si="103"/>
        <v>0</v>
      </c>
      <c r="AI38" s="70">
        <f t="shared" si="103"/>
        <v>0</v>
      </c>
      <c r="AJ38" s="70">
        <f t="shared" si="103"/>
        <v>0</v>
      </c>
      <c r="AK38" s="70">
        <f t="shared" si="87"/>
        <v>1267</v>
      </c>
      <c r="AL38" s="70">
        <f t="shared" si="88"/>
        <v>359</v>
      </c>
      <c r="AM38" s="70">
        <f t="shared" si="89"/>
        <v>1626</v>
      </c>
      <c r="AN38" s="70">
        <f t="shared" si="90"/>
        <v>12</v>
      </c>
      <c r="AO38" s="183">
        <f t="shared" si="91"/>
        <v>3.0690537084398977</v>
      </c>
      <c r="AP38" s="183">
        <f t="shared" si="92"/>
        <v>3.0690537084398977</v>
      </c>
      <c r="AQ38" s="69">
        <f t="shared" si="93"/>
        <v>0.73800738007380073</v>
      </c>
      <c r="AR38" s="69">
        <f t="shared" si="94"/>
        <v>77.921279212792129</v>
      </c>
      <c r="AS38" s="69">
        <f t="shared" si="95"/>
        <v>22.078720787207871</v>
      </c>
      <c r="AT38" s="85">
        <f t="shared" si="96"/>
        <v>8.3333333333333321</v>
      </c>
      <c r="AU38" s="85">
        <f t="shared" si="97"/>
        <v>16.666666666666664</v>
      </c>
      <c r="AV38" s="85">
        <f t="shared" si="98"/>
        <v>16.666666666666664</v>
      </c>
      <c r="AW38" s="85">
        <f t="shared" si="99"/>
        <v>8.3333333333333321</v>
      </c>
      <c r="AX38" s="85">
        <f t="shared" si="100"/>
        <v>41.666666666666671</v>
      </c>
      <c r="AY38" s="85">
        <f t="shared" si="101"/>
        <v>8.3333333333333321</v>
      </c>
      <c r="AZ38" s="85">
        <f t="shared" si="102"/>
        <v>0</v>
      </c>
    </row>
    <row r="39" spans="1:52" s="165" customFormat="1" ht="20.25" customHeight="1">
      <c r="A39" s="159" t="s">
        <v>292</v>
      </c>
      <c r="B39" s="202" t="s">
        <v>138</v>
      </c>
      <c r="C39" s="159">
        <v>174</v>
      </c>
      <c r="D39" s="160">
        <v>45953</v>
      </c>
      <c r="E39" s="160">
        <v>45953</v>
      </c>
      <c r="F39" s="159">
        <v>74</v>
      </c>
      <c r="G39" s="159">
        <v>0</v>
      </c>
      <c r="H39" s="290">
        <f t="shared" si="68"/>
        <v>74</v>
      </c>
      <c r="I39" s="159">
        <v>0</v>
      </c>
      <c r="J39" s="159">
        <v>0</v>
      </c>
      <c r="K39" s="290">
        <f t="shared" si="69"/>
        <v>74</v>
      </c>
      <c r="L39" s="159">
        <v>0</v>
      </c>
      <c r="M39" s="159">
        <v>0</v>
      </c>
      <c r="N39" s="159">
        <v>74</v>
      </c>
      <c r="O39" s="159">
        <v>1</v>
      </c>
      <c r="P39" s="159">
        <v>8</v>
      </c>
      <c r="Q39" s="159">
        <v>19</v>
      </c>
      <c r="R39" s="159">
        <v>0</v>
      </c>
      <c r="S39" s="159">
        <v>23</v>
      </c>
      <c r="T39" s="159">
        <v>21</v>
      </c>
      <c r="U39" s="159">
        <v>1</v>
      </c>
      <c r="V39" s="159">
        <v>93</v>
      </c>
      <c r="W39" s="159">
        <v>4</v>
      </c>
      <c r="X39" s="159">
        <v>0</v>
      </c>
      <c r="Y39" s="159">
        <v>4</v>
      </c>
      <c r="Z39" s="159">
        <v>11</v>
      </c>
      <c r="AA39" s="159">
        <v>0</v>
      </c>
      <c r="AB39" s="159">
        <v>0</v>
      </c>
      <c r="AC39" s="159">
        <v>0</v>
      </c>
      <c r="AD39" s="159">
        <v>0</v>
      </c>
      <c r="AE39" s="159">
        <v>191</v>
      </c>
      <c r="AF39" s="159">
        <v>0</v>
      </c>
      <c r="AG39" s="159">
        <v>0</v>
      </c>
      <c r="AH39" s="159">
        <v>0</v>
      </c>
      <c r="AI39" s="159">
        <v>0</v>
      </c>
      <c r="AJ39" s="159">
        <v>0</v>
      </c>
      <c r="AK39" s="290">
        <f t="shared" ref="AK39" si="104">P39+S39+V39+Y39+AB39+AE39+AH39</f>
        <v>319</v>
      </c>
      <c r="AL39" s="290">
        <f t="shared" ref="AL39" si="105">Q39+T39+W39+Z39+AC39+AF39+AI39</f>
        <v>55</v>
      </c>
      <c r="AM39" s="290">
        <f t="shared" ref="AM39" si="106">AK39+AL39</f>
        <v>374</v>
      </c>
      <c r="AN39" s="290">
        <f t="shared" ref="AN39" si="107">R39+U39+X39+AA39+AD39+AG39+AJ39</f>
        <v>1</v>
      </c>
      <c r="AO39" s="189">
        <f t="shared" ref="AO39" si="108">O39/H39*100</f>
        <v>1.3513513513513513</v>
      </c>
      <c r="AP39" s="189">
        <f t="shared" ref="AP39" si="109">AN39/H39*100</f>
        <v>1.3513513513513513</v>
      </c>
      <c r="AQ39" s="81">
        <f t="shared" ref="AQ39" si="110">AN39/AM39*100</f>
        <v>0.26737967914438499</v>
      </c>
      <c r="AR39" s="81">
        <f t="shared" ref="AR39" si="111">AK39/AM39*100</f>
        <v>85.294117647058826</v>
      </c>
      <c r="AS39" s="81">
        <f t="shared" ref="AS39" si="112">AL39/AM39*100</f>
        <v>14.705882352941178</v>
      </c>
      <c r="AT39" s="81">
        <f t="shared" ref="AT39" si="113">R39/AN39*100</f>
        <v>0</v>
      </c>
      <c r="AU39" s="81">
        <f t="shared" ref="AU39" si="114">U39/AN39*100</f>
        <v>100</v>
      </c>
      <c r="AV39" s="81">
        <f t="shared" ref="AV39" si="115">X39/AN39*100</f>
        <v>0</v>
      </c>
      <c r="AW39" s="81">
        <f t="shared" ref="AW39" si="116">AA39/AN39*100</f>
        <v>0</v>
      </c>
      <c r="AX39" s="81">
        <f t="shared" ref="AX39" si="117">AD39/AN39*100</f>
        <v>0</v>
      </c>
      <c r="AY39" s="81">
        <f t="shared" ref="AY39" si="118">AG39/AN39*100</f>
        <v>0</v>
      </c>
      <c r="AZ39" s="81">
        <f t="shared" ref="AZ39" si="119">AJ39/AN39*100</f>
        <v>0</v>
      </c>
    </row>
    <row r="40" spans="1:52" s="165" customFormat="1" ht="20.25" customHeight="1">
      <c r="A40" s="159" t="s">
        <v>293</v>
      </c>
      <c r="B40" s="202" t="s">
        <v>207</v>
      </c>
      <c r="C40" s="159">
        <v>202</v>
      </c>
      <c r="D40" s="160">
        <v>45952</v>
      </c>
      <c r="E40" s="160">
        <v>45952</v>
      </c>
      <c r="F40" s="159">
        <v>73</v>
      </c>
      <c r="G40" s="159">
        <v>0</v>
      </c>
      <c r="H40" s="290">
        <f t="shared" si="68"/>
        <v>73</v>
      </c>
      <c r="I40" s="159">
        <v>0</v>
      </c>
      <c r="J40" s="159">
        <v>0</v>
      </c>
      <c r="K40" s="290">
        <f t="shared" si="69"/>
        <v>73</v>
      </c>
      <c r="L40" s="159">
        <v>0</v>
      </c>
      <c r="M40" s="159">
        <v>0</v>
      </c>
      <c r="N40" s="159">
        <v>73</v>
      </c>
      <c r="O40" s="159">
        <v>1</v>
      </c>
      <c r="P40" s="159">
        <v>8</v>
      </c>
      <c r="Q40" s="159">
        <v>7</v>
      </c>
      <c r="R40" s="159">
        <v>0</v>
      </c>
      <c r="S40" s="159">
        <v>23</v>
      </c>
      <c r="T40" s="159">
        <v>12</v>
      </c>
      <c r="U40" s="159">
        <v>1</v>
      </c>
      <c r="V40" s="159">
        <v>68</v>
      </c>
      <c r="W40" s="159">
        <v>14</v>
      </c>
      <c r="X40" s="159">
        <v>0</v>
      </c>
      <c r="Y40" s="159">
        <v>2</v>
      </c>
      <c r="Z40" s="159">
        <v>1</v>
      </c>
      <c r="AA40" s="159">
        <v>0</v>
      </c>
      <c r="AB40" s="159">
        <v>2</v>
      </c>
      <c r="AC40" s="159">
        <v>2</v>
      </c>
      <c r="AD40" s="159">
        <v>0</v>
      </c>
      <c r="AE40" s="159">
        <v>233</v>
      </c>
      <c r="AF40" s="159">
        <v>2</v>
      </c>
      <c r="AG40" s="159">
        <v>0</v>
      </c>
      <c r="AH40" s="159">
        <v>0</v>
      </c>
      <c r="AI40" s="159">
        <v>0</v>
      </c>
      <c r="AJ40" s="159">
        <v>0</v>
      </c>
      <c r="AK40" s="290">
        <f t="shared" ref="AK40" si="120">P40+S40+V40+Y40+AB40+AE40+AH40</f>
        <v>336</v>
      </c>
      <c r="AL40" s="290">
        <f t="shared" ref="AL40" si="121">Q40+T40+W40+Z40+AC40+AF40+AI40</f>
        <v>38</v>
      </c>
      <c r="AM40" s="290">
        <f t="shared" ref="AM40" si="122">AK40+AL40</f>
        <v>374</v>
      </c>
      <c r="AN40" s="290">
        <f t="shared" ref="AN40" si="123">R40+U40+X40+AA40+AD40+AG40+AJ40</f>
        <v>1</v>
      </c>
      <c r="AO40" s="189">
        <f t="shared" ref="AO40" si="124">O40/H40*100</f>
        <v>1.3698630136986301</v>
      </c>
      <c r="AP40" s="189">
        <f t="shared" ref="AP40" si="125">AN40/H40*100</f>
        <v>1.3698630136986301</v>
      </c>
      <c r="AQ40" s="81">
        <f t="shared" ref="AQ40" si="126">AN40/AM40*100</f>
        <v>0.26737967914438499</v>
      </c>
      <c r="AR40" s="81">
        <f t="shared" ref="AR40" si="127">AK40/AM40*100</f>
        <v>89.839572192513373</v>
      </c>
      <c r="AS40" s="81">
        <f t="shared" ref="AS40" si="128">AL40/AM40*100</f>
        <v>10.160427807486631</v>
      </c>
      <c r="AT40" s="81">
        <f t="shared" ref="AT40" si="129">R40/AN40*100</f>
        <v>0</v>
      </c>
      <c r="AU40" s="81">
        <f t="shared" ref="AU40" si="130">U40/AN40*100</f>
        <v>100</v>
      </c>
      <c r="AV40" s="81">
        <f t="shared" ref="AV40" si="131">X40/AN40*100</f>
        <v>0</v>
      </c>
      <c r="AW40" s="81">
        <f t="shared" ref="AW40" si="132">AA40/AN40*100</f>
        <v>0</v>
      </c>
      <c r="AX40" s="81">
        <f t="shared" ref="AX40" si="133">AD40/AN40*100</f>
        <v>0</v>
      </c>
      <c r="AY40" s="81">
        <f t="shared" ref="AY40" si="134">AG40/AN40*100</f>
        <v>0</v>
      </c>
      <c r="AZ40" s="81">
        <f t="shared" ref="AZ40" si="135">AJ40/AN40*100</f>
        <v>0</v>
      </c>
    </row>
    <row r="41" spans="1:52" s="65" customFormat="1" ht="20.25" customHeight="1">
      <c r="A41" s="70" t="s">
        <v>291</v>
      </c>
      <c r="B41" s="70">
        <v>2</v>
      </c>
      <c r="C41" s="70">
        <f>SUM(C39:C40)</f>
        <v>376</v>
      </c>
      <c r="D41" s="68">
        <f>MIN(D39:D40)</f>
        <v>45952</v>
      </c>
      <c r="E41" s="68">
        <f>MAX(E39:E40)</f>
        <v>45953</v>
      </c>
      <c r="F41" s="70">
        <f>SUM(F39:F40)</f>
        <v>147</v>
      </c>
      <c r="G41" s="70">
        <f t="shared" ref="G41:AJ41" si="136">SUM(G39:G40)</f>
        <v>0</v>
      </c>
      <c r="H41" s="70">
        <f t="shared" si="136"/>
        <v>147</v>
      </c>
      <c r="I41" s="70">
        <f t="shared" si="136"/>
        <v>0</v>
      </c>
      <c r="J41" s="70">
        <f t="shared" si="136"/>
        <v>0</v>
      </c>
      <c r="K41" s="70">
        <f t="shared" si="136"/>
        <v>147</v>
      </c>
      <c r="L41" s="70">
        <f t="shared" si="136"/>
        <v>0</v>
      </c>
      <c r="M41" s="70">
        <f t="shared" si="136"/>
        <v>0</v>
      </c>
      <c r="N41" s="70">
        <f t="shared" si="136"/>
        <v>147</v>
      </c>
      <c r="O41" s="70">
        <f t="shared" si="136"/>
        <v>2</v>
      </c>
      <c r="P41" s="70">
        <f t="shared" si="136"/>
        <v>16</v>
      </c>
      <c r="Q41" s="70">
        <f t="shared" si="136"/>
        <v>26</v>
      </c>
      <c r="R41" s="70">
        <f t="shared" si="136"/>
        <v>0</v>
      </c>
      <c r="S41" s="70">
        <f t="shared" si="136"/>
        <v>46</v>
      </c>
      <c r="T41" s="70">
        <f t="shared" si="136"/>
        <v>33</v>
      </c>
      <c r="U41" s="70">
        <f t="shared" si="136"/>
        <v>2</v>
      </c>
      <c r="V41" s="70">
        <f t="shared" si="136"/>
        <v>161</v>
      </c>
      <c r="W41" s="70">
        <f t="shared" si="136"/>
        <v>18</v>
      </c>
      <c r="X41" s="70">
        <f t="shared" si="136"/>
        <v>0</v>
      </c>
      <c r="Y41" s="70">
        <f t="shared" si="136"/>
        <v>6</v>
      </c>
      <c r="Z41" s="70">
        <f t="shared" si="136"/>
        <v>12</v>
      </c>
      <c r="AA41" s="70">
        <f t="shared" si="136"/>
        <v>0</v>
      </c>
      <c r="AB41" s="70">
        <f t="shared" si="136"/>
        <v>2</v>
      </c>
      <c r="AC41" s="70">
        <f t="shared" si="136"/>
        <v>2</v>
      </c>
      <c r="AD41" s="70">
        <f t="shared" si="136"/>
        <v>0</v>
      </c>
      <c r="AE41" s="70">
        <f t="shared" si="136"/>
        <v>424</v>
      </c>
      <c r="AF41" s="70">
        <f t="shared" si="136"/>
        <v>2</v>
      </c>
      <c r="AG41" s="70">
        <f t="shared" si="136"/>
        <v>0</v>
      </c>
      <c r="AH41" s="70">
        <f t="shared" si="136"/>
        <v>0</v>
      </c>
      <c r="AI41" s="70">
        <f t="shared" si="136"/>
        <v>0</v>
      </c>
      <c r="AJ41" s="70">
        <f t="shared" si="136"/>
        <v>0</v>
      </c>
      <c r="AK41" s="70">
        <f t="shared" ref="AK41:AK42" si="137">P41+S41+V41+Y41+AB41+AE41+AH41</f>
        <v>655</v>
      </c>
      <c r="AL41" s="70">
        <f t="shared" ref="AL41:AL42" si="138">Q41+T41+W41+Z41+AC41+AF41+AI41</f>
        <v>93</v>
      </c>
      <c r="AM41" s="70">
        <f t="shared" ref="AM41:AM42" si="139">AK41+AL41</f>
        <v>748</v>
      </c>
      <c r="AN41" s="70">
        <f t="shared" ref="AN41:AN42" si="140">R41+U41+X41+AA41+AD41+AG41+AJ41</f>
        <v>2</v>
      </c>
      <c r="AO41" s="183">
        <f t="shared" ref="AO41:AO42" si="141">O41/H41*100</f>
        <v>1.3605442176870748</v>
      </c>
      <c r="AP41" s="183">
        <f t="shared" ref="AP41:AP42" si="142">AN41/H41*100</f>
        <v>1.3605442176870748</v>
      </c>
      <c r="AQ41" s="69">
        <f t="shared" ref="AQ41:AQ42" si="143">AN41/AM41*100</f>
        <v>0.26737967914438499</v>
      </c>
      <c r="AR41" s="69">
        <f t="shared" ref="AR41:AR42" si="144">AK41/AM41*100</f>
        <v>87.566844919786092</v>
      </c>
      <c r="AS41" s="69">
        <f t="shared" ref="AS41:AS42" si="145">AL41/AM41*100</f>
        <v>12.433155080213904</v>
      </c>
      <c r="AT41" s="85">
        <f t="shared" ref="AT41:AT42" si="146">R41/AN41*100</f>
        <v>0</v>
      </c>
      <c r="AU41" s="85">
        <f t="shared" ref="AU41:AU42" si="147">U41/AN41*100</f>
        <v>100</v>
      </c>
      <c r="AV41" s="85">
        <f t="shared" ref="AV41:AV42" si="148">X41/AN41*100</f>
        <v>0</v>
      </c>
      <c r="AW41" s="85">
        <f t="shared" ref="AW41:AW42" si="149">AA41/AN41*100</f>
        <v>0</v>
      </c>
      <c r="AX41" s="85">
        <f t="shared" ref="AX41:AX42" si="150">AD41/AN41*100</f>
        <v>0</v>
      </c>
      <c r="AY41" s="85">
        <f t="shared" ref="AY41:AY42" si="151">AG41/AN41*100</f>
        <v>0</v>
      </c>
      <c r="AZ41" s="85">
        <f t="shared" ref="AZ41:AZ42" si="152">AJ41/AN41*100</f>
        <v>0</v>
      </c>
    </row>
    <row r="42" spans="1:52" s="165" customFormat="1" ht="20.25" customHeight="1">
      <c r="A42" s="368" t="s">
        <v>227</v>
      </c>
      <c r="B42" s="163" t="s">
        <v>229</v>
      </c>
      <c r="C42" s="159">
        <v>202</v>
      </c>
      <c r="D42" s="160">
        <v>45967</v>
      </c>
      <c r="E42" s="160">
        <v>45968</v>
      </c>
      <c r="F42" s="159">
        <v>77</v>
      </c>
      <c r="G42" s="159">
        <v>0</v>
      </c>
      <c r="H42" s="298">
        <f t="shared" si="68"/>
        <v>77</v>
      </c>
      <c r="I42" s="159">
        <v>10</v>
      </c>
      <c r="J42" s="159">
        <v>0</v>
      </c>
      <c r="K42" s="298">
        <f t="shared" si="69"/>
        <v>87</v>
      </c>
      <c r="L42" s="159">
        <v>0</v>
      </c>
      <c r="M42" s="159">
        <v>0</v>
      </c>
      <c r="N42" s="159">
        <v>77</v>
      </c>
      <c r="O42" s="159">
        <v>0</v>
      </c>
      <c r="P42" s="159">
        <v>14</v>
      </c>
      <c r="Q42" s="159">
        <v>3</v>
      </c>
      <c r="R42" s="159">
        <v>0</v>
      </c>
      <c r="S42" s="159">
        <v>26</v>
      </c>
      <c r="T42" s="159">
        <v>28</v>
      </c>
      <c r="U42" s="159">
        <v>0</v>
      </c>
      <c r="V42" s="159">
        <v>98</v>
      </c>
      <c r="W42" s="159">
        <v>8</v>
      </c>
      <c r="X42" s="159">
        <v>0</v>
      </c>
      <c r="Y42" s="159">
        <v>0</v>
      </c>
      <c r="Z42" s="159">
        <v>2</v>
      </c>
      <c r="AA42" s="159">
        <v>0</v>
      </c>
      <c r="AB42" s="159">
        <v>47</v>
      </c>
      <c r="AC42" s="159">
        <v>0</v>
      </c>
      <c r="AD42" s="159">
        <v>0</v>
      </c>
      <c r="AE42" s="159">
        <v>125</v>
      </c>
      <c r="AF42" s="159">
        <v>0</v>
      </c>
      <c r="AG42" s="159">
        <v>0</v>
      </c>
      <c r="AH42" s="159">
        <v>0</v>
      </c>
      <c r="AI42" s="159">
        <v>0</v>
      </c>
      <c r="AJ42" s="159">
        <v>0</v>
      </c>
      <c r="AK42" s="298">
        <f t="shared" si="137"/>
        <v>310</v>
      </c>
      <c r="AL42" s="298">
        <f t="shared" si="138"/>
        <v>41</v>
      </c>
      <c r="AM42" s="298">
        <f t="shared" si="139"/>
        <v>351</v>
      </c>
      <c r="AN42" s="298">
        <f t="shared" si="140"/>
        <v>0</v>
      </c>
      <c r="AO42" s="189">
        <f t="shared" si="141"/>
        <v>0</v>
      </c>
      <c r="AP42" s="189">
        <f t="shared" si="142"/>
        <v>0</v>
      </c>
      <c r="AQ42" s="81">
        <f t="shared" si="143"/>
        <v>0</v>
      </c>
      <c r="AR42" s="81">
        <f t="shared" si="144"/>
        <v>88.319088319088323</v>
      </c>
      <c r="AS42" s="81">
        <f t="shared" si="145"/>
        <v>11.680911680911681</v>
      </c>
      <c r="AT42" s="81" t="e">
        <f t="shared" si="146"/>
        <v>#DIV/0!</v>
      </c>
      <c r="AU42" s="81" t="e">
        <f t="shared" si="147"/>
        <v>#DIV/0!</v>
      </c>
      <c r="AV42" s="81" t="e">
        <f t="shared" si="148"/>
        <v>#DIV/0!</v>
      </c>
      <c r="AW42" s="81" t="e">
        <f t="shared" si="149"/>
        <v>#DIV/0!</v>
      </c>
      <c r="AX42" s="81" t="e">
        <f t="shared" si="150"/>
        <v>#DIV/0!</v>
      </c>
      <c r="AY42" s="81" t="e">
        <f t="shared" si="151"/>
        <v>#DIV/0!</v>
      </c>
      <c r="AZ42" s="81" t="e">
        <f t="shared" si="152"/>
        <v>#DIV/0!</v>
      </c>
    </row>
    <row r="43" spans="1:52" s="165" customFormat="1" ht="20.25" customHeight="1">
      <c r="A43" s="426"/>
      <c r="B43" s="163" t="s">
        <v>231</v>
      </c>
      <c r="C43" s="159">
        <v>21</v>
      </c>
      <c r="D43" s="160">
        <v>45969</v>
      </c>
      <c r="E43" s="160">
        <v>45970</v>
      </c>
      <c r="F43" s="159">
        <v>15</v>
      </c>
      <c r="G43" s="159">
        <v>0</v>
      </c>
      <c r="H43" s="298">
        <f t="shared" si="68"/>
        <v>15</v>
      </c>
      <c r="I43" s="159">
        <v>0</v>
      </c>
      <c r="J43" s="159">
        <v>0</v>
      </c>
      <c r="K43" s="298">
        <f t="shared" si="69"/>
        <v>15</v>
      </c>
      <c r="L43" s="159">
        <v>0</v>
      </c>
      <c r="M43" s="159">
        <v>0</v>
      </c>
      <c r="N43" s="159">
        <v>15</v>
      </c>
      <c r="O43" s="159">
        <v>0</v>
      </c>
      <c r="P43" s="159">
        <v>2</v>
      </c>
      <c r="Q43" s="159">
        <v>0</v>
      </c>
      <c r="R43" s="159">
        <v>0</v>
      </c>
      <c r="S43" s="159">
        <v>4</v>
      </c>
      <c r="T43" s="159">
        <v>0</v>
      </c>
      <c r="U43" s="159">
        <v>0</v>
      </c>
      <c r="V43" s="159">
        <v>42</v>
      </c>
      <c r="W43" s="159">
        <v>0</v>
      </c>
      <c r="X43" s="159">
        <v>0</v>
      </c>
      <c r="Y43" s="159">
        <v>0</v>
      </c>
      <c r="Z43" s="159">
        <v>0</v>
      </c>
      <c r="AA43" s="159">
        <v>0</v>
      </c>
      <c r="AB43" s="159">
        <v>0</v>
      </c>
      <c r="AC43" s="159">
        <v>0</v>
      </c>
      <c r="AD43" s="159">
        <v>0</v>
      </c>
      <c r="AE43" s="159">
        <v>41</v>
      </c>
      <c r="AF43" s="159">
        <v>0</v>
      </c>
      <c r="AG43" s="159">
        <v>0</v>
      </c>
      <c r="AH43" s="159">
        <v>0</v>
      </c>
      <c r="AI43" s="159">
        <v>0</v>
      </c>
      <c r="AJ43" s="159">
        <v>0</v>
      </c>
      <c r="AK43" s="298">
        <f t="shared" ref="AK43:AK50" si="153">P43+S43+V43+Y43+AB43+AE43+AH43</f>
        <v>89</v>
      </c>
      <c r="AL43" s="298">
        <f t="shared" ref="AL43:AL50" si="154">Q43+T43+W43+Z43+AC43+AF43+AI43</f>
        <v>0</v>
      </c>
      <c r="AM43" s="298">
        <f t="shared" ref="AM43:AM50" si="155">AK43+AL43</f>
        <v>89</v>
      </c>
      <c r="AN43" s="298">
        <f t="shared" ref="AN43:AN50" si="156">R43+U43+X43+AA43+AD43+AG43+AJ43</f>
        <v>0</v>
      </c>
      <c r="AO43" s="189">
        <f t="shared" ref="AO43:AO50" si="157">O43/H43*100</f>
        <v>0</v>
      </c>
      <c r="AP43" s="189">
        <f t="shared" ref="AP43:AP50" si="158">AN43/H43*100</f>
        <v>0</v>
      </c>
      <c r="AQ43" s="81">
        <f t="shared" ref="AQ43:AQ50" si="159">AN43/AM43*100</f>
        <v>0</v>
      </c>
      <c r="AR43" s="81">
        <f t="shared" ref="AR43:AR50" si="160">AK43/AM43*100</f>
        <v>100</v>
      </c>
      <c r="AS43" s="81">
        <f t="shared" ref="AS43:AS50" si="161">AL43/AM43*100</f>
        <v>0</v>
      </c>
      <c r="AT43" s="81" t="e">
        <f t="shared" ref="AT43:AT50" si="162">R43/AN43*100</f>
        <v>#DIV/0!</v>
      </c>
      <c r="AU43" s="81" t="e">
        <f t="shared" ref="AU43:AU50" si="163">U43/AN43*100</f>
        <v>#DIV/0!</v>
      </c>
      <c r="AV43" s="81" t="e">
        <f t="shared" ref="AV43:AV50" si="164">X43/AN43*100</f>
        <v>#DIV/0!</v>
      </c>
      <c r="AW43" s="81" t="e">
        <f t="shared" ref="AW43:AW50" si="165">AA43/AN43*100</f>
        <v>#DIV/0!</v>
      </c>
      <c r="AX43" s="81" t="e">
        <f t="shared" ref="AX43:AX50" si="166">AD43/AN43*100</f>
        <v>#DIV/0!</v>
      </c>
      <c r="AY43" s="81" t="e">
        <f t="shared" ref="AY43:AY50" si="167">AG43/AN43*100</f>
        <v>#DIV/0!</v>
      </c>
      <c r="AZ43" s="81" t="e">
        <f t="shared" ref="AZ43:AZ50" si="168">AJ43/AN43*100</f>
        <v>#DIV/0!</v>
      </c>
    </row>
    <row r="44" spans="1:52" s="165" customFormat="1" ht="20.25" customHeight="1">
      <c r="A44" s="426"/>
      <c r="B44" s="163" t="s">
        <v>228</v>
      </c>
      <c r="C44" s="159">
        <v>51</v>
      </c>
      <c r="D44" s="160">
        <v>45969</v>
      </c>
      <c r="E44" s="160">
        <v>45970</v>
      </c>
      <c r="F44" s="159">
        <v>22</v>
      </c>
      <c r="G44" s="159">
        <v>0</v>
      </c>
      <c r="H44" s="298">
        <f t="shared" si="68"/>
        <v>22</v>
      </c>
      <c r="I44" s="159">
        <v>3</v>
      </c>
      <c r="J44" s="159">
        <v>0</v>
      </c>
      <c r="K44" s="298">
        <f t="shared" si="69"/>
        <v>25</v>
      </c>
      <c r="L44" s="159">
        <v>0</v>
      </c>
      <c r="M44" s="159">
        <v>0</v>
      </c>
      <c r="N44" s="159">
        <v>22</v>
      </c>
      <c r="O44" s="159">
        <v>0</v>
      </c>
      <c r="P44" s="159">
        <v>0</v>
      </c>
      <c r="Q44" s="159">
        <v>2</v>
      </c>
      <c r="R44" s="159">
        <v>0</v>
      </c>
      <c r="S44" s="159">
        <v>6</v>
      </c>
      <c r="T44" s="159">
        <v>14</v>
      </c>
      <c r="U44" s="159">
        <v>0</v>
      </c>
      <c r="V44" s="159">
        <v>28</v>
      </c>
      <c r="W44" s="159">
        <v>2</v>
      </c>
      <c r="X44" s="159">
        <v>0</v>
      </c>
      <c r="Y44" s="159">
        <v>0</v>
      </c>
      <c r="Z44" s="159">
        <v>0</v>
      </c>
      <c r="AA44" s="159">
        <v>0</v>
      </c>
      <c r="AB44" s="159">
        <v>0</v>
      </c>
      <c r="AC44" s="159">
        <v>0</v>
      </c>
      <c r="AD44" s="159">
        <v>0</v>
      </c>
      <c r="AE44" s="159">
        <v>40</v>
      </c>
      <c r="AF44" s="159">
        <v>0</v>
      </c>
      <c r="AG44" s="159">
        <v>0</v>
      </c>
      <c r="AH44" s="159">
        <v>0</v>
      </c>
      <c r="AI44" s="159">
        <v>0</v>
      </c>
      <c r="AJ44" s="159">
        <v>0</v>
      </c>
      <c r="AK44" s="298">
        <f t="shared" si="153"/>
        <v>74</v>
      </c>
      <c r="AL44" s="298">
        <f t="shared" si="154"/>
        <v>18</v>
      </c>
      <c r="AM44" s="298">
        <f t="shared" si="155"/>
        <v>92</v>
      </c>
      <c r="AN44" s="298">
        <f t="shared" si="156"/>
        <v>0</v>
      </c>
      <c r="AO44" s="189">
        <f t="shared" si="157"/>
        <v>0</v>
      </c>
      <c r="AP44" s="189">
        <f t="shared" si="158"/>
        <v>0</v>
      </c>
      <c r="AQ44" s="81">
        <f t="shared" si="159"/>
        <v>0</v>
      </c>
      <c r="AR44" s="81">
        <f t="shared" si="160"/>
        <v>80.434782608695656</v>
      </c>
      <c r="AS44" s="81">
        <f t="shared" si="161"/>
        <v>19.565217391304348</v>
      </c>
      <c r="AT44" s="81" t="e">
        <f t="shared" si="162"/>
        <v>#DIV/0!</v>
      </c>
      <c r="AU44" s="81" t="e">
        <f t="shared" si="163"/>
        <v>#DIV/0!</v>
      </c>
      <c r="AV44" s="81" t="e">
        <f t="shared" si="164"/>
        <v>#DIV/0!</v>
      </c>
      <c r="AW44" s="81" t="e">
        <f t="shared" si="165"/>
        <v>#DIV/0!</v>
      </c>
      <c r="AX44" s="81" t="e">
        <f t="shared" si="166"/>
        <v>#DIV/0!</v>
      </c>
      <c r="AY44" s="81" t="e">
        <f t="shared" si="167"/>
        <v>#DIV/0!</v>
      </c>
      <c r="AZ44" s="81" t="e">
        <f t="shared" si="168"/>
        <v>#DIV/0!</v>
      </c>
    </row>
    <row r="45" spans="1:52" s="165" customFormat="1" ht="20.25" customHeight="1">
      <c r="A45" s="426"/>
      <c r="B45" s="163" t="s">
        <v>230</v>
      </c>
      <c r="C45" s="159">
        <v>53</v>
      </c>
      <c r="D45" s="160">
        <v>45969</v>
      </c>
      <c r="E45" s="160">
        <v>45970</v>
      </c>
      <c r="F45" s="159">
        <v>30</v>
      </c>
      <c r="G45" s="159">
        <v>0</v>
      </c>
      <c r="H45" s="298">
        <f t="shared" si="68"/>
        <v>30</v>
      </c>
      <c r="I45" s="159">
        <v>2</v>
      </c>
      <c r="J45" s="159">
        <v>0</v>
      </c>
      <c r="K45" s="298">
        <f t="shared" si="69"/>
        <v>32</v>
      </c>
      <c r="L45" s="159">
        <v>0</v>
      </c>
      <c r="M45" s="159">
        <v>0</v>
      </c>
      <c r="N45" s="159">
        <v>30</v>
      </c>
      <c r="O45" s="159">
        <v>2</v>
      </c>
      <c r="P45" s="159">
        <v>0</v>
      </c>
      <c r="Q45" s="159">
        <v>0</v>
      </c>
      <c r="R45" s="159">
        <v>0</v>
      </c>
      <c r="S45" s="159">
        <v>10</v>
      </c>
      <c r="T45" s="159">
        <v>19</v>
      </c>
      <c r="U45" s="159">
        <v>2</v>
      </c>
      <c r="V45" s="159">
        <v>20</v>
      </c>
      <c r="W45" s="159">
        <v>22</v>
      </c>
      <c r="X45" s="159">
        <v>0</v>
      </c>
      <c r="Y45" s="159">
        <v>3</v>
      </c>
      <c r="Z45" s="159">
        <v>1</v>
      </c>
      <c r="AA45" s="159">
        <v>0</v>
      </c>
      <c r="AB45" s="159">
        <v>11</v>
      </c>
      <c r="AC45" s="159">
        <v>0</v>
      </c>
      <c r="AD45" s="159">
        <v>0</v>
      </c>
      <c r="AE45" s="159">
        <v>72</v>
      </c>
      <c r="AF45" s="159">
        <v>2</v>
      </c>
      <c r="AG45" s="159">
        <v>0</v>
      </c>
      <c r="AH45" s="159">
        <v>0</v>
      </c>
      <c r="AI45" s="159">
        <v>0</v>
      </c>
      <c r="AJ45" s="159">
        <v>0</v>
      </c>
      <c r="AK45" s="298">
        <f t="shared" si="153"/>
        <v>116</v>
      </c>
      <c r="AL45" s="298">
        <f t="shared" si="154"/>
        <v>44</v>
      </c>
      <c r="AM45" s="298">
        <f t="shared" si="155"/>
        <v>160</v>
      </c>
      <c r="AN45" s="298">
        <f t="shared" si="156"/>
        <v>2</v>
      </c>
      <c r="AO45" s="189">
        <f t="shared" si="157"/>
        <v>6.666666666666667</v>
      </c>
      <c r="AP45" s="189">
        <f t="shared" si="158"/>
        <v>6.666666666666667</v>
      </c>
      <c r="AQ45" s="81">
        <f t="shared" si="159"/>
        <v>1.25</v>
      </c>
      <c r="AR45" s="81">
        <f t="shared" si="160"/>
        <v>72.5</v>
      </c>
      <c r="AS45" s="81">
        <f t="shared" si="161"/>
        <v>27.500000000000004</v>
      </c>
      <c r="AT45" s="81">
        <f t="shared" si="162"/>
        <v>0</v>
      </c>
      <c r="AU45" s="81">
        <f t="shared" si="163"/>
        <v>100</v>
      </c>
      <c r="AV45" s="81">
        <f t="shared" si="164"/>
        <v>0</v>
      </c>
      <c r="AW45" s="81">
        <f t="shared" si="165"/>
        <v>0</v>
      </c>
      <c r="AX45" s="81">
        <f t="shared" si="166"/>
        <v>0</v>
      </c>
      <c r="AY45" s="81">
        <f t="shared" si="167"/>
        <v>0</v>
      </c>
      <c r="AZ45" s="81">
        <f t="shared" si="168"/>
        <v>0</v>
      </c>
    </row>
    <row r="46" spans="1:52" s="165" customFormat="1" ht="20.25" customHeight="1">
      <c r="A46" s="426"/>
      <c r="B46" s="163" t="s">
        <v>232</v>
      </c>
      <c r="C46" s="159">
        <v>443</v>
      </c>
      <c r="D46" s="160">
        <v>45969</v>
      </c>
      <c r="E46" s="160">
        <v>45975</v>
      </c>
      <c r="F46" s="159">
        <v>201</v>
      </c>
      <c r="G46" s="159">
        <v>0</v>
      </c>
      <c r="H46" s="298">
        <f t="shared" si="68"/>
        <v>201</v>
      </c>
      <c r="I46" s="159">
        <v>42</v>
      </c>
      <c r="J46" s="159">
        <v>0</v>
      </c>
      <c r="K46" s="298">
        <f t="shared" si="69"/>
        <v>243</v>
      </c>
      <c r="L46" s="159">
        <v>0</v>
      </c>
      <c r="M46" s="159">
        <v>0</v>
      </c>
      <c r="N46" s="159">
        <v>201</v>
      </c>
      <c r="O46" s="159">
        <v>8</v>
      </c>
      <c r="P46" s="159">
        <v>1</v>
      </c>
      <c r="Q46" s="159">
        <v>55</v>
      </c>
      <c r="R46" s="159">
        <v>0</v>
      </c>
      <c r="S46" s="159">
        <v>39</v>
      </c>
      <c r="T46" s="159">
        <v>114</v>
      </c>
      <c r="U46" s="159">
        <v>4</v>
      </c>
      <c r="V46" s="159">
        <v>215</v>
      </c>
      <c r="W46" s="159">
        <v>42</v>
      </c>
      <c r="X46" s="159">
        <v>2</v>
      </c>
      <c r="Y46" s="159">
        <v>6</v>
      </c>
      <c r="Z46" s="159">
        <v>4</v>
      </c>
      <c r="AA46" s="159">
        <v>2</v>
      </c>
      <c r="AB46" s="159">
        <v>62</v>
      </c>
      <c r="AC46" s="159">
        <v>0</v>
      </c>
      <c r="AD46" s="159">
        <v>0</v>
      </c>
      <c r="AE46" s="159">
        <v>424</v>
      </c>
      <c r="AF46" s="159">
        <v>30</v>
      </c>
      <c r="AG46" s="159">
        <v>0</v>
      </c>
      <c r="AH46" s="159">
        <v>0</v>
      </c>
      <c r="AI46" s="159">
        <v>0</v>
      </c>
      <c r="AJ46" s="159">
        <v>0</v>
      </c>
      <c r="AK46" s="298">
        <f t="shared" si="153"/>
        <v>747</v>
      </c>
      <c r="AL46" s="298">
        <f t="shared" si="154"/>
        <v>245</v>
      </c>
      <c r="AM46" s="298">
        <f t="shared" si="155"/>
        <v>992</v>
      </c>
      <c r="AN46" s="298">
        <f t="shared" si="156"/>
        <v>8</v>
      </c>
      <c r="AO46" s="189">
        <f t="shared" si="157"/>
        <v>3.9800995024875623</v>
      </c>
      <c r="AP46" s="189">
        <f t="shared" si="158"/>
        <v>3.9800995024875623</v>
      </c>
      <c r="AQ46" s="81">
        <f t="shared" si="159"/>
        <v>0.80645161290322576</v>
      </c>
      <c r="AR46" s="81">
        <f t="shared" si="160"/>
        <v>75.302419354838719</v>
      </c>
      <c r="AS46" s="81">
        <f t="shared" si="161"/>
        <v>24.697580645161292</v>
      </c>
      <c r="AT46" s="81">
        <f t="shared" si="162"/>
        <v>0</v>
      </c>
      <c r="AU46" s="81">
        <f t="shared" si="163"/>
        <v>50</v>
      </c>
      <c r="AV46" s="81">
        <f t="shared" si="164"/>
        <v>25</v>
      </c>
      <c r="AW46" s="81">
        <f t="shared" si="165"/>
        <v>25</v>
      </c>
      <c r="AX46" s="81">
        <f t="shared" si="166"/>
        <v>0</v>
      </c>
      <c r="AY46" s="81">
        <f t="shared" si="167"/>
        <v>0</v>
      </c>
      <c r="AZ46" s="81">
        <f t="shared" si="168"/>
        <v>0</v>
      </c>
    </row>
    <row r="47" spans="1:52" s="165" customFormat="1" ht="20.25" customHeight="1">
      <c r="A47" s="426"/>
      <c r="B47" s="163" t="s">
        <v>233</v>
      </c>
      <c r="C47" s="159">
        <v>29</v>
      </c>
      <c r="D47" s="160">
        <v>45979</v>
      </c>
      <c r="E47" s="160">
        <v>45979</v>
      </c>
      <c r="F47" s="159">
        <v>12</v>
      </c>
      <c r="G47" s="159">
        <v>0</v>
      </c>
      <c r="H47" s="298">
        <f t="shared" si="68"/>
        <v>12</v>
      </c>
      <c r="I47" s="159">
        <v>1</v>
      </c>
      <c r="J47" s="159">
        <v>0</v>
      </c>
      <c r="K47" s="298">
        <f t="shared" si="69"/>
        <v>13</v>
      </c>
      <c r="L47" s="159">
        <v>0</v>
      </c>
      <c r="M47" s="159">
        <v>0</v>
      </c>
      <c r="N47" s="159">
        <v>12</v>
      </c>
      <c r="O47" s="159">
        <v>3</v>
      </c>
      <c r="P47" s="159">
        <v>2</v>
      </c>
      <c r="Q47" s="159">
        <v>5</v>
      </c>
      <c r="R47" s="159">
        <v>0</v>
      </c>
      <c r="S47" s="159">
        <v>3</v>
      </c>
      <c r="T47" s="159">
        <v>22</v>
      </c>
      <c r="U47" s="159">
        <v>5</v>
      </c>
      <c r="V47" s="159">
        <v>45</v>
      </c>
      <c r="W47" s="159">
        <v>9</v>
      </c>
      <c r="X47" s="159">
        <v>0</v>
      </c>
      <c r="Y47" s="159">
        <v>2</v>
      </c>
      <c r="Z47" s="159">
        <v>2</v>
      </c>
      <c r="AA47" s="159">
        <v>0</v>
      </c>
      <c r="AB47" s="159">
        <v>0</v>
      </c>
      <c r="AC47" s="159">
        <v>0</v>
      </c>
      <c r="AD47" s="159">
        <v>0</v>
      </c>
      <c r="AE47" s="159">
        <v>175</v>
      </c>
      <c r="AF47" s="159">
        <v>0</v>
      </c>
      <c r="AG47" s="159">
        <v>0</v>
      </c>
      <c r="AH47" s="159">
        <v>0</v>
      </c>
      <c r="AI47" s="159">
        <v>0</v>
      </c>
      <c r="AJ47" s="159">
        <v>0</v>
      </c>
      <c r="AK47" s="298">
        <f t="shared" si="153"/>
        <v>227</v>
      </c>
      <c r="AL47" s="298">
        <f t="shared" si="154"/>
        <v>38</v>
      </c>
      <c r="AM47" s="298">
        <f t="shared" si="155"/>
        <v>265</v>
      </c>
      <c r="AN47" s="298">
        <f t="shared" si="156"/>
        <v>5</v>
      </c>
      <c r="AO47" s="189">
        <f t="shared" si="157"/>
        <v>25</v>
      </c>
      <c r="AP47" s="189">
        <f t="shared" si="158"/>
        <v>41.666666666666671</v>
      </c>
      <c r="AQ47" s="81">
        <f t="shared" si="159"/>
        <v>1.8867924528301887</v>
      </c>
      <c r="AR47" s="81">
        <f t="shared" si="160"/>
        <v>85.660377358490564</v>
      </c>
      <c r="AS47" s="81">
        <f t="shared" si="161"/>
        <v>14.339622641509434</v>
      </c>
      <c r="AT47" s="81">
        <f t="shared" si="162"/>
        <v>0</v>
      </c>
      <c r="AU47" s="81">
        <f t="shared" si="163"/>
        <v>100</v>
      </c>
      <c r="AV47" s="81">
        <f t="shared" si="164"/>
        <v>0</v>
      </c>
      <c r="AW47" s="81">
        <f t="shared" si="165"/>
        <v>0</v>
      </c>
      <c r="AX47" s="81">
        <f t="shared" si="166"/>
        <v>0</v>
      </c>
      <c r="AY47" s="81">
        <f t="shared" si="167"/>
        <v>0</v>
      </c>
      <c r="AZ47" s="81">
        <f t="shared" si="168"/>
        <v>0</v>
      </c>
    </row>
    <row r="48" spans="1:52" s="165" customFormat="1" ht="20.25" customHeight="1">
      <c r="A48" s="426"/>
      <c r="B48" s="163" t="s">
        <v>234</v>
      </c>
      <c r="C48" s="159">
        <v>52</v>
      </c>
      <c r="D48" s="160">
        <v>45980</v>
      </c>
      <c r="E48" s="160">
        <v>45980</v>
      </c>
      <c r="F48" s="159">
        <v>25</v>
      </c>
      <c r="G48" s="159">
        <v>0</v>
      </c>
      <c r="H48" s="298">
        <f t="shared" si="68"/>
        <v>25</v>
      </c>
      <c r="I48" s="159">
        <v>1</v>
      </c>
      <c r="J48" s="159">
        <v>0</v>
      </c>
      <c r="K48" s="298">
        <f t="shared" si="69"/>
        <v>26</v>
      </c>
      <c r="L48" s="159">
        <v>0</v>
      </c>
      <c r="M48" s="159">
        <v>0</v>
      </c>
      <c r="N48" s="159">
        <v>25</v>
      </c>
      <c r="O48" s="159">
        <v>2</v>
      </c>
      <c r="P48" s="159">
        <v>1</v>
      </c>
      <c r="Q48" s="159">
        <v>2</v>
      </c>
      <c r="R48" s="159">
        <v>0</v>
      </c>
      <c r="S48" s="159">
        <v>4</v>
      </c>
      <c r="T48" s="159">
        <v>16</v>
      </c>
      <c r="U48" s="159">
        <v>2</v>
      </c>
      <c r="V48" s="159">
        <v>0</v>
      </c>
      <c r="W48" s="159">
        <v>4</v>
      </c>
      <c r="X48" s="159">
        <v>0</v>
      </c>
      <c r="Y48" s="159">
        <v>10</v>
      </c>
      <c r="Z48" s="159">
        <v>3</v>
      </c>
      <c r="AA48" s="159">
        <v>0</v>
      </c>
      <c r="AB48" s="159">
        <v>3</v>
      </c>
      <c r="AC48" s="159">
        <v>2</v>
      </c>
      <c r="AD48" s="159">
        <v>0</v>
      </c>
      <c r="AE48" s="159">
        <v>126</v>
      </c>
      <c r="AF48" s="159">
        <v>0</v>
      </c>
      <c r="AG48" s="159">
        <v>0</v>
      </c>
      <c r="AH48" s="159">
        <v>0</v>
      </c>
      <c r="AI48" s="159">
        <v>0</v>
      </c>
      <c r="AJ48" s="159">
        <v>0</v>
      </c>
      <c r="AK48" s="298">
        <f t="shared" si="153"/>
        <v>144</v>
      </c>
      <c r="AL48" s="298">
        <f t="shared" si="154"/>
        <v>27</v>
      </c>
      <c r="AM48" s="298">
        <f t="shared" si="155"/>
        <v>171</v>
      </c>
      <c r="AN48" s="298">
        <f t="shared" si="156"/>
        <v>2</v>
      </c>
      <c r="AO48" s="189">
        <f t="shared" si="157"/>
        <v>8</v>
      </c>
      <c r="AP48" s="189">
        <f t="shared" si="158"/>
        <v>8</v>
      </c>
      <c r="AQ48" s="81">
        <f t="shared" si="159"/>
        <v>1.1695906432748537</v>
      </c>
      <c r="AR48" s="81">
        <f t="shared" si="160"/>
        <v>84.210526315789465</v>
      </c>
      <c r="AS48" s="81">
        <f t="shared" si="161"/>
        <v>15.789473684210526</v>
      </c>
      <c r="AT48" s="81">
        <f t="shared" si="162"/>
        <v>0</v>
      </c>
      <c r="AU48" s="81">
        <f t="shared" si="163"/>
        <v>100</v>
      </c>
      <c r="AV48" s="81">
        <f t="shared" si="164"/>
        <v>0</v>
      </c>
      <c r="AW48" s="81">
        <f t="shared" si="165"/>
        <v>0</v>
      </c>
      <c r="AX48" s="81">
        <f t="shared" si="166"/>
        <v>0</v>
      </c>
      <c r="AY48" s="81">
        <f t="shared" si="167"/>
        <v>0</v>
      </c>
      <c r="AZ48" s="81">
        <f t="shared" si="168"/>
        <v>0</v>
      </c>
    </row>
    <row r="49" spans="1:52" s="165" customFormat="1" ht="20.25" customHeight="1">
      <c r="A49" s="426"/>
      <c r="B49" s="163" t="s">
        <v>236</v>
      </c>
      <c r="C49" s="159">
        <v>185</v>
      </c>
      <c r="D49" s="160">
        <v>45980</v>
      </c>
      <c r="E49" s="160">
        <v>45982</v>
      </c>
      <c r="F49" s="159">
        <v>103</v>
      </c>
      <c r="G49" s="159">
        <v>0</v>
      </c>
      <c r="H49" s="298">
        <f t="shared" si="68"/>
        <v>103</v>
      </c>
      <c r="I49" s="159">
        <v>23</v>
      </c>
      <c r="J49" s="159">
        <v>0</v>
      </c>
      <c r="K49" s="298">
        <f t="shared" si="69"/>
        <v>126</v>
      </c>
      <c r="L49" s="159">
        <v>0</v>
      </c>
      <c r="M49" s="159">
        <v>0</v>
      </c>
      <c r="N49" s="159">
        <v>23</v>
      </c>
      <c r="O49" s="159">
        <v>4</v>
      </c>
      <c r="P49" s="159">
        <v>6</v>
      </c>
      <c r="Q49" s="159">
        <v>37</v>
      </c>
      <c r="R49" s="159">
        <v>0</v>
      </c>
      <c r="S49" s="159">
        <v>32</v>
      </c>
      <c r="T49" s="159">
        <v>26</v>
      </c>
      <c r="U49" s="159">
        <v>2</v>
      </c>
      <c r="V49" s="159">
        <v>121</v>
      </c>
      <c r="W49" s="159">
        <v>7</v>
      </c>
      <c r="X49" s="159">
        <v>0</v>
      </c>
      <c r="Y49" s="159">
        <v>3</v>
      </c>
      <c r="Z49" s="159">
        <v>6</v>
      </c>
      <c r="AA49" s="159">
        <v>0</v>
      </c>
      <c r="AB49" s="159">
        <v>39</v>
      </c>
      <c r="AC49" s="159">
        <v>2</v>
      </c>
      <c r="AD49" s="159">
        <v>2</v>
      </c>
      <c r="AE49" s="159">
        <v>402</v>
      </c>
      <c r="AF49" s="159">
        <v>0</v>
      </c>
      <c r="AG49" s="159">
        <v>0</v>
      </c>
      <c r="AH49" s="159">
        <v>0</v>
      </c>
      <c r="AI49" s="159">
        <v>0</v>
      </c>
      <c r="AJ49" s="159">
        <v>0</v>
      </c>
      <c r="AK49" s="298">
        <f t="shared" si="153"/>
        <v>603</v>
      </c>
      <c r="AL49" s="298">
        <f t="shared" si="154"/>
        <v>78</v>
      </c>
      <c r="AM49" s="298">
        <f t="shared" si="155"/>
        <v>681</v>
      </c>
      <c r="AN49" s="298">
        <f t="shared" si="156"/>
        <v>4</v>
      </c>
      <c r="AO49" s="189">
        <f t="shared" si="157"/>
        <v>3.8834951456310676</v>
      </c>
      <c r="AP49" s="189">
        <f t="shared" si="158"/>
        <v>3.8834951456310676</v>
      </c>
      <c r="AQ49" s="81">
        <f t="shared" si="159"/>
        <v>0.58737151248164465</v>
      </c>
      <c r="AR49" s="81">
        <f t="shared" si="160"/>
        <v>88.546255506607935</v>
      </c>
      <c r="AS49" s="81">
        <f t="shared" si="161"/>
        <v>11.453744493392071</v>
      </c>
      <c r="AT49" s="81">
        <f t="shared" si="162"/>
        <v>0</v>
      </c>
      <c r="AU49" s="81">
        <f t="shared" si="163"/>
        <v>50</v>
      </c>
      <c r="AV49" s="81">
        <f t="shared" si="164"/>
        <v>0</v>
      </c>
      <c r="AW49" s="81">
        <f t="shared" si="165"/>
        <v>0</v>
      </c>
      <c r="AX49" s="81">
        <f t="shared" si="166"/>
        <v>50</v>
      </c>
      <c r="AY49" s="81">
        <f t="shared" si="167"/>
        <v>0</v>
      </c>
      <c r="AZ49" s="81">
        <f t="shared" si="168"/>
        <v>0</v>
      </c>
    </row>
    <row r="50" spans="1:52" s="165" customFormat="1" ht="20.25" customHeight="1">
      <c r="A50" s="369"/>
      <c r="B50" s="163" t="s">
        <v>235</v>
      </c>
      <c r="C50" s="159">
        <v>55</v>
      </c>
      <c r="D50" s="160">
        <v>45985</v>
      </c>
      <c r="E50" s="160">
        <v>45986</v>
      </c>
      <c r="F50" s="159">
        <v>25</v>
      </c>
      <c r="G50" s="159">
        <v>0</v>
      </c>
      <c r="H50" s="298">
        <f t="shared" si="68"/>
        <v>25</v>
      </c>
      <c r="I50" s="159">
        <v>0</v>
      </c>
      <c r="J50" s="159">
        <v>0</v>
      </c>
      <c r="K50" s="298">
        <f t="shared" si="69"/>
        <v>25</v>
      </c>
      <c r="L50" s="159">
        <v>0</v>
      </c>
      <c r="M50" s="159">
        <v>0</v>
      </c>
      <c r="N50" s="159">
        <v>0</v>
      </c>
      <c r="O50" s="159">
        <v>0</v>
      </c>
      <c r="P50" s="159">
        <v>0</v>
      </c>
      <c r="Q50" s="159">
        <v>2</v>
      </c>
      <c r="R50" s="159">
        <v>0</v>
      </c>
      <c r="S50" s="159">
        <v>0</v>
      </c>
      <c r="T50" s="159">
        <v>14</v>
      </c>
      <c r="U50" s="159">
        <v>0</v>
      </c>
      <c r="V50" s="159">
        <v>29</v>
      </c>
      <c r="W50" s="159">
        <v>10</v>
      </c>
      <c r="X50" s="159">
        <v>0</v>
      </c>
      <c r="Y50" s="159">
        <v>0</v>
      </c>
      <c r="Z50" s="159">
        <v>0</v>
      </c>
      <c r="AA50" s="159">
        <v>0</v>
      </c>
      <c r="AB50" s="159">
        <v>19</v>
      </c>
      <c r="AC50" s="159">
        <v>0</v>
      </c>
      <c r="AD50" s="159">
        <v>0</v>
      </c>
      <c r="AE50" s="159">
        <v>11</v>
      </c>
      <c r="AF50" s="159">
        <v>0</v>
      </c>
      <c r="AG50" s="159">
        <v>0</v>
      </c>
      <c r="AH50" s="159">
        <v>0</v>
      </c>
      <c r="AI50" s="159">
        <v>0</v>
      </c>
      <c r="AJ50" s="159">
        <v>0</v>
      </c>
      <c r="AK50" s="298">
        <f t="shared" si="153"/>
        <v>59</v>
      </c>
      <c r="AL50" s="298">
        <f t="shared" si="154"/>
        <v>26</v>
      </c>
      <c r="AM50" s="298">
        <f t="shared" si="155"/>
        <v>85</v>
      </c>
      <c r="AN50" s="298">
        <f t="shared" si="156"/>
        <v>0</v>
      </c>
      <c r="AO50" s="189">
        <f t="shared" si="157"/>
        <v>0</v>
      </c>
      <c r="AP50" s="189">
        <f t="shared" si="158"/>
        <v>0</v>
      </c>
      <c r="AQ50" s="81">
        <f t="shared" si="159"/>
        <v>0</v>
      </c>
      <c r="AR50" s="81">
        <f t="shared" si="160"/>
        <v>69.411764705882348</v>
      </c>
      <c r="AS50" s="81">
        <f t="shared" si="161"/>
        <v>30.588235294117649</v>
      </c>
      <c r="AT50" s="81" t="e">
        <f t="shared" si="162"/>
        <v>#DIV/0!</v>
      </c>
      <c r="AU50" s="81" t="e">
        <f t="shared" si="163"/>
        <v>#DIV/0!</v>
      </c>
      <c r="AV50" s="81" t="e">
        <f t="shared" si="164"/>
        <v>#DIV/0!</v>
      </c>
      <c r="AW50" s="81" t="e">
        <f t="shared" si="165"/>
        <v>#DIV/0!</v>
      </c>
      <c r="AX50" s="81" t="e">
        <f t="shared" si="166"/>
        <v>#DIV/0!</v>
      </c>
      <c r="AY50" s="81" t="e">
        <f t="shared" si="167"/>
        <v>#DIV/0!</v>
      </c>
      <c r="AZ50" s="81" t="e">
        <f t="shared" si="168"/>
        <v>#DIV/0!</v>
      </c>
    </row>
    <row r="51" spans="1:52" s="65" customFormat="1" ht="20.25" customHeight="1">
      <c r="A51" s="70" t="s">
        <v>295</v>
      </c>
      <c r="B51" s="70">
        <v>2</v>
      </c>
      <c r="C51" s="70">
        <f>SUM(C42:C50)</f>
        <v>1091</v>
      </c>
      <c r="D51" s="68">
        <f>MIN(D42:D50)</f>
        <v>45967</v>
      </c>
      <c r="E51" s="68">
        <f>MAX(E42:E50)</f>
        <v>45986</v>
      </c>
      <c r="F51" s="70">
        <f>SUM(F42:F50)</f>
        <v>510</v>
      </c>
      <c r="G51" s="70">
        <f t="shared" ref="G51:AI51" si="169">SUM(G42:G50)</f>
        <v>0</v>
      </c>
      <c r="H51" s="70">
        <f t="shared" si="169"/>
        <v>510</v>
      </c>
      <c r="I51" s="70">
        <f t="shared" si="169"/>
        <v>82</v>
      </c>
      <c r="J51" s="70">
        <f t="shared" si="169"/>
        <v>0</v>
      </c>
      <c r="K51" s="70">
        <f t="shared" si="169"/>
        <v>592</v>
      </c>
      <c r="L51" s="70">
        <f t="shared" si="169"/>
        <v>0</v>
      </c>
      <c r="M51" s="70">
        <f t="shared" si="169"/>
        <v>0</v>
      </c>
      <c r="N51" s="70">
        <f>SUM(N42:N50)</f>
        <v>405</v>
      </c>
      <c r="O51" s="70">
        <f t="shared" si="169"/>
        <v>19</v>
      </c>
      <c r="P51" s="70">
        <f t="shared" si="169"/>
        <v>26</v>
      </c>
      <c r="Q51" s="70">
        <f t="shared" si="169"/>
        <v>106</v>
      </c>
      <c r="R51" s="70">
        <f t="shared" si="169"/>
        <v>0</v>
      </c>
      <c r="S51" s="70">
        <f t="shared" si="169"/>
        <v>124</v>
      </c>
      <c r="T51" s="70">
        <f t="shared" si="169"/>
        <v>253</v>
      </c>
      <c r="U51" s="70">
        <f t="shared" si="169"/>
        <v>15</v>
      </c>
      <c r="V51" s="70">
        <f t="shared" si="169"/>
        <v>598</v>
      </c>
      <c r="W51" s="70">
        <f t="shared" si="169"/>
        <v>104</v>
      </c>
      <c r="X51" s="70">
        <f t="shared" si="169"/>
        <v>2</v>
      </c>
      <c r="Y51" s="70">
        <f t="shared" si="169"/>
        <v>24</v>
      </c>
      <c r="Z51" s="70">
        <f t="shared" si="169"/>
        <v>18</v>
      </c>
      <c r="AA51" s="70">
        <f t="shared" si="169"/>
        <v>2</v>
      </c>
      <c r="AB51" s="70">
        <f t="shared" si="169"/>
        <v>181</v>
      </c>
      <c r="AC51" s="70">
        <f t="shared" si="169"/>
        <v>4</v>
      </c>
      <c r="AD51" s="70">
        <f t="shared" si="169"/>
        <v>2</v>
      </c>
      <c r="AE51" s="70">
        <f t="shared" si="169"/>
        <v>1416</v>
      </c>
      <c r="AF51" s="70">
        <f t="shared" si="169"/>
        <v>32</v>
      </c>
      <c r="AG51" s="70">
        <f t="shared" si="169"/>
        <v>0</v>
      </c>
      <c r="AH51" s="70">
        <f t="shared" si="169"/>
        <v>0</v>
      </c>
      <c r="AI51" s="70">
        <f t="shared" si="169"/>
        <v>0</v>
      </c>
      <c r="AJ51" s="70">
        <f>SUM(AJ42:AJ50)</f>
        <v>0</v>
      </c>
      <c r="AK51" s="70">
        <f>P51+S51+V51+Y51+AB51+AE51+AH51</f>
        <v>2369</v>
      </c>
      <c r="AL51" s="70">
        <f t="shared" ref="AL51:AL52" si="170">Q51+T51+W51+Z51+AC51+AF51+AI51</f>
        <v>517</v>
      </c>
      <c r="AM51" s="70">
        <f t="shared" ref="AM51:AM52" si="171">AK51+AL51</f>
        <v>2886</v>
      </c>
      <c r="AN51" s="70">
        <f t="shared" ref="AN51:AN52" si="172">R51+U51+X51+AA51+AD51+AG51+AJ51</f>
        <v>21</v>
      </c>
      <c r="AO51" s="183">
        <f t="shared" ref="AO51:AO52" si="173">O51/H51*100</f>
        <v>3.7254901960784315</v>
      </c>
      <c r="AP51" s="183">
        <f t="shared" ref="AP51:AP52" si="174">AN51/H51*100</f>
        <v>4.117647058823529</v>
      </c>
      <c r="AQ51" s="69">
        <f t="shared" ref="AQ51:AQ52" si="175">AN51/AM51*100</f>
        <v>0.72765072765072769</v>
      </c>
      <c r="AR51" s="69">
        <f t="shared" ref="AR51:AR52" si="176">AK51/AM51*100</f>
        <v>82.085932085932086</v>
      </c>
      <c r="AS51" s="69">
        <f t="shared" ref="AS51:AS52" si="177">AL51/AM51*100</f>
        <v>17.914067914067914</v>
      </c>
      <c r="AT51" s="85">
        <f t="shared" ref="AT51:AT52" si="178">R51/AN51*100</f>
        <v>0</v>
      </c>
      <c r="AU51" s="85">
        <f t="shared" ref="AU51:AU52" si="179">U51/AN51*100</f>
        <v>71.428571428571431</v>
      </c>
      <c r="AV51" s="85">
        <f t="shared" ref="AV51:AV52" si="180">X51/AN51*100</f>
        <v>9.5238095238095237</v>
      </c>
      <c r="AW51" s="85">
        <f t="shared" ref="AW51:AW52" si="181">AA51/AN51*100</f>
        <v>9.5238095238095237</v>
      </c>
      <c r="AX51" s="85">
        <f t="shared" ref="AX51:AX52" si="182">AD51/AN51*100</f>
        <v>9.5238095238095237</v>
      </c>
      <c r="AY51" s="85">
        <f t="shared" ref="AY51:AY52" si="183">AG51/AN51*100</f>
        <v>0</v>
      </c>
      <c r="AZ51" s="85">
        <f t="shared" ref="AZ51:AZ52" si="184">AJ51/AN51*100</f>
        <v>0</v>
      </c>
    </row>
    <row r="52" spans="1:52" s="299" customFormat="1" ht="20.25" customHeight="1">
      <c r="A52" s="159" t="s">
        <v>310</v>
      </c>
      <c r="B52" s="202" t="s">
        <v>311</v>
      </c>
      <c r="C52" s="159">
        <v>618</v>
      </c>
      <c r="D52" s="160">
        <v>45994</v>
      </c>
      <c r="E52" s="160">
        <v>46007</v>
      </c>
      <c r="F52" s="159">
        <v>248</v>
      </c>
      <c r="G52" s="159">
        <v>0</v>
      </c>
      <c r="H52" s="314">
        <f t="shared" si="68"/>
        <v>248</v>
      </c>
      <c r="I52" s="159">
        <v>46</v>
      </c>
      <c r="J52" s="159">
        <v>0</v>
      </c>
      <c r="K52" s="314">
        <f t="shared" si="69"/>
        <v>294</v>
      </c>
      <c r="L52" s="159">
        <v>0</v>
      </c>
      <c r="M52" s="159">
        <v>0</v>
      </c>
      <c r="N52" s="159">
        <v>248</v>
      </c>
      <c r="O52" s="159">
        <v>7</v>
      </c>
      <c r="P52" s="159">
        <v>12</v>
      </c>
      <c r="Q52" s="159">
        <v>41</v>
      </c>
      <c r="R52" s="159">
        <v>0</v>
      </c>
      <c r="S52" s="159">
        <v>10</v>
      </c>
      <c r="T52" s="159">
        <v>42</v>
      </c>
      <c r="U52" s="159">
        <v>2</v>
      </c>
      <c r="V52" s="159">
        <v>26</v>
      </c>
      <c r="W52" s="159">
        <v>39</v>
      </c>
      <c r="X52" s="159">
        <v>2</v>
      </c>
      <c r="Y52" s="159">
        <v>16</v>
      </c>
      <c r="Z52" s="159">
        <v>30</v>
      </c>
      <c r="AA52" s="159">
        <v>0</v>
      </c>
      <c r="AB52" s="159">
        <v>88</v>
      </c>
      <c r="AC52" s="159">
        <v>20</v>
      </c>
      <c r="AD52" s="159">
        <v>3</v>
      </c>
      <c r="AE52" s="159">
        <v>954</v>
      </c>
      <c r="AF52" s="159">
        <v>0</v>
      </c>
      <c r="AG52" s="159">
        <v>0</v>
      </c>
      <c r="AH52" s="159">
        <v>0</v>
      </c>
      <c r="AI52" s="159">
        <v>0</v>
      </c>
      <c r="AJ52" s="159">
        <v>0</v>
      </c>
      <c r="AK52" s="314">
        <f t="shared" ref="AK52" si="185">P52+S52+V52+Y52+AB52+AE52+AH52</f>
        <v>1106</v>
      </c>
      <c r="AL52" s="314">
        <f t="shared" si="170"/>
        <v>172</v>
      </c>
      <c r="AM52" s="314">
        <f t="shared" si="171"/>
        <v>1278</v>
      </c>
      <c r="AN52" s="314">
        <f t="shared" si="172"/>
        <v>7</v>
      </c>
      <c r="AO52" s="189">
        <f t="shared" si="173"/>
        <v>2.82258064516129</v>
      </c>
      <c r="AP52" s="189">
        <f t="shared" si="174"/>
        <v>2.82258064516129</v>
      </c>
      <c r="AQ52" s="81">
        <f t="shared" si="175"/>
        <v>0.54773082942097029</v>
      </c>
      <c r="AR52" s="81">
        <f t="shared" si="176"/>
        <v>86.541471048513301</v>
      </c>
      <c r="AS52" s="81">
        <f t="shared" si="177"/>
        <v>13.458528951486699</v>
      </c>
      <c r="AT52" s="81">
        <f t="shared" si="178"/>
        <v>0</v>
      </c>
      <c r="AU52" s="81">
        <f t="shared" si="179"/>
        <v>28.571428571428569</v>
      </c>
      <c r="AV52" s="81">
        <f t="shared" si="180"/>
        <v>28.571428571428569</v>
      </c>
      <c r="AW52" s="81">
        <f t="shared" si="181"/>
        <v>0</v>
      </c>
      <c r="AX52" s="81">
        <f t="shared" si="182"/>
        <v>42.857142857142854</v>
      </c>
      <c r="AY52" s="81">
        <f t="shared" si="183"/>
        <v>0</v>
      </c>
      <c r="AZ52" s="81">
        <f t="shared" si="184"/>
        <v>0</v>
      </c>
    </row>
    <row r="53" spans="1:52" s="65" customFormat="1" ht="20.25" customHeight="1">
      <c r="A53" s="70" t="s">
        <v>305</v>
      </c>
      <c r="B53" s="70">
        <v>1</v>
      </c>
      <c r="C53" s="70">
        <f>C52</f>
        <v>618</v>
      </c>
      <c r="D53" s="68">
        <f>MIN(D52)</f>
        <v>45994</v>
      </c>
      <c r="E53" s="68">
        <f>MAX(E52)</f>
        <v>46007</v>
      </c>
      <c r="F53" s="70">
        <f>F52</f>
        <v>248</v>
      </c>
      <c r="G53" s="70">
        <f t="shared" ref="G53:AJ53" si="186">G52</f>
        <v>0</v>
      </c>
      <c r="H53" s="70">
        <f t="shared" si="186"/>
        <v>248</v>
      </c>
      <c r="I53" s="70">
        <f t="shared" si="186"/>
        <v>46</v>
      </c>
      <c r="J53" s="70">
        <f t="shared" si="186"/>
        <v>0</v>
      </c>
      <c r="K53" s="70">
        <f t="shared" si="186"/>
        <v>294</v>
      </c>
      <c r="L53" s="70">
        <f t="shared" si="186"/>
        <v>0</v>
      </c>
      <c r="M53" s="70">
        <f t="shared" si="186"/>
        <v>0</v>
      </c>
      <c r="N53" s="70">
        <f t="shared" si="186"/>
        <v>248</v>
      </c>
      <c r="O53" s="70">
        <f t="shared" si="186"/>
        <v>7</v>
      </c>
      <c r="P53" s="70">
        <f t="shared" si="186"/>
        <v>12</v>
      </c>
      <c r="Q53" s="70">
        <f t="shared" si="186"/>
        <v>41</v>
      </c>
      <c r="R53" s="70">
        <f t="shared" si="186"/>
        <v>0</v>
      </c>
      <c r="S53" s="70">
        <f t="shared" si="186"/>
        <v>10</v>
      </c>
      <c r="T53" s="70">
        <f t="shared" si="186"/>
        <v>42</v>
      </c>
      <c r="U53" s="70">
        <f t="shared" si="186"/>
        <v>2</v>
      </c>
      <c r="V53" s="70">
        <f t="shared" si="186"/>
        <v>26</v>
      </c>
      <c r="W53" s="70">
        <f t="shared" si="186"/>
        <v>39</v>
      </c>
      <c r="X53" s="70">
        <f t="shared" si="186"/>
        <v>2</v>
      </c>
      <c r="Y53" s="70">
        <f t="shared" si="186"/>
        <v>16</v>
      </c>
      <c r="Z53" s="70">
        <f t="shared" si="186"/>
        <v>30</v>
      </c>
      <c r="AA53" s="70">
        <f t="shared" si="186"/>
        <v>0</v>
      </c>
      <c r="AB53" s="70">
        <f t="shared" si="186"/>
        <v>88</v>
      </c>
      <c r="AC53" s="70">
        <f t="shared" si="186"/>
        <v>20</v>
      </c>
      <c r="AD53" s="70">
        <f t="shared" si="186"/>
        <v>3</v>
      </c>
      <c r="AE53" s="70">
        <f t="shared" si="186"/>
        <v>954</v>
      </c>
      <c r="AF53" s="70">
        <f t="shared" si="186"/>
        <v>0</v>
      </c>
      <c r="AG53" s="70">
        <f t="shared" si="186"/>
        <v>0</v>
      </c>
      <c r="AH53" s="70">
        <f t="shared" si="186"/>
        <v>0</v>
      </c>
      <c r="AI53" s="70">
        <f t="shared" si="186"/>
        <v>0</v>
      </c>
      <c r="AJ53" s="70">
        <f t="shared" si="186"/>
        <v>0</v>
      </c>
      <c r="AK53" s="70">
        <f>P53+S53+V53+Y53+AB53+AE53+AH53</f>
        <v>1106</v>
      </c>
      <c r="AL53" s="70">
        <f>Q53+T53+W53+Z53+AC53+AF53+AI53</f>
        <v>172</v>
      </c>
      <c r="AM53" s="70">
        <f>AK53+AL53</f>
        <v>1278</v>
      </c>
      <c r="AN53" s="70">
        <f t="shared" ref="AN53" si="187">R53+U53+X53+AA53+AD53+AG53+AJ53</f>
        <v>7</v>
      </c>
      <c r="AO53" s="183">
        <f t="shared" ref="AO53" si="188">O53/H53*100</f>
        <v>2.82258064516129</v>
      </c>
      <c r="AP53" s="183">
        <f t="shared" ref="AP53" si="189">AN53/H53*100</f>
        <v>2.82258064516129</v>
      </c>
      <c r="AQ53" s="69">
        <f t="shared" ref="AQ53" si="190">AN53/AM53*100</f>
        <v>0.54773082942097029</v>
      </c>
      <c r="AR53" s="69">
        <f t="shared" ref="AR53" si="191">AK53/AM53*100</f>
        <v>86.541471048513301</v>
      </c>
      <c r="AS53" s="69">
        <f t="shared" ref="AS53" si="192">AL53/AM53*100</f>
        <v>13.458528951486699</v>
      </c>
      <c r="AT53" s="85">
        <f t="shared" ref="AT53" si="193">R53/AN53*100</f>
        <v>0</v>
      </c>
      <c r="AU53" s="85">
        <f t="shared" ref="AU53" si="194">U53/AN53*100</f>
        <v>28.571428571428569</v>
      </c>
      <c r="AV53" s="85">
        <f t="shared" ref="AV53" si="195">X53/AN53*100</f>
        <v>28.571428571428569</v>
      </c>
      <c r="AW53" s="85">
        <f t="shared" ref="AW53" si="196">AA53/AN53*100</f>
        <v>0</v>
      </c>
      <c r="AX53" s="85">
        <f t="shared" ref="AX53" si="197">AD53/AN53*100</f>
        <v>42.857142857142854</v>
      </c>
      <c r="AY53" s="85">
        <f t="shared" ref="AY53" si="198">AG53/AN53*100</f>
        <v>0</v>
      </c>
      <c r="AZ53" s="85">
        <f t="shared" ref="AZ53" si="199">AJ53/AN53*100</f>
        <v>0</v>
      </c>
    </row>
    <row r="54" spans="1:52" s="40" customFormat="1" ht="20.25" customHeight="1">
      <c r="A54" s="83" t="s">
        <v>38</v>
      </c>
      <c r="B54" s="83">
        <f>B23+B34+B38+B41+B51+B53</f>
        <v>46</v>
      </c>
      <c r="C54" s="83">
        <f>C23+C34+C38+C41+C51+C53</f>
        <v>11646</v>
      </c>
      <c r="D54" s="84">
        <f>MIN(D6:D53)</f>
        <v>45693</v>
      </c>
      <c r="E54" s="84">
        <f>MAX(E6:E52)</f>
        <v>46007</v>
      </c>
      <c r="F54" s="83">
        <f>F23+F34+F38+F41+F51+F53</f>
        <v>2794</v>
      </c>
      <c r="G54" s="83">
        <f t="shared" ref="G54:AJ54" si="200">G23+G34+G38+G41+G51+G53</f>
        <v>0</v>
      </c>
      <c r="H54" s="83">
        <f t="shared" si="200"/>
        <v>2794</v>
      </c>
      <c r="I54" s="83">
        <f t="shared" si="200"/>
        <v>361</v>
      </c>
      <c r="J54" s="83">
        <f t="shared" si="200"/>
        <v>0</v>
      </c>
      <c r="K54" s="83">
        <f t="shared" si="200"/>
        <v>5479</v>
      </c>
      <c r="L54" s="83">
        <f t="shared" si="200"/>
        <v>0</v>
      </c>
      <c r="M54" s="83">
        <f t="shared" si="200"/>
        <v>0</v>
      </c>
      <c r="N54" s="83">
        <f t="shared" si="200"/>
        <v>4816</v>
      </c>
      <c r="O54" s="83">
        <f>O23+O34+O38+O41+O51+O53</f>
        <v>225</v>
      </c>
      <c r="P54" s="83">
        <f t="shared" si="200"/>
        <v>215</v>
      </c>
      <c r="Q54" s="83">
        <f t="shared" si="200"/>
        <v>913</v>
      </c>
      <c r="R54" s="83">
        <f t="shared" si="200"/>
        <v>9</v>
      </c>
      <c r="S54" s="83">
        <f t="shared" si="200"/>
        <v>1011</v>
      </c>
      <c r="T54" s="83">
        <f t="shared" si="200"/>
        <v>2460</v>
      </c>
      <c r="U54" s="83">
        <f t="shared" si="200"/>
        <v>106</v>
      </c>
      <c r="V54" s="83">
        <f t="shared" si="200"/>
        <v>4506</v>
      </c>
      <c r="W54" s="83">
        <f t="shared" si="200"/>
        <v>1320</v>
      </c>
      <c r="X54" s="83">
        <f t="shared" si="200"/>
        <v>61</v>
      </c>
      <c r="Y54" s="83">
        <f t="shared" si="200"/>
        <v>182</v>
      </c>
      <c r="Z54" s="83">
        <f t="shared" si="200"/>
        <v>358</v>
      </c>
      <c r="AA54" s="83">
        <f t="shared" si="200"/>
        <v>8</v>
      </c>
      <c r="AB54" s="83">
        <f t="shared" si="200"/>
        <v>1582</v>
      </c>
      <c r="AC54" s="83">
        <f t="shared" si="200"/>
        <v>509</v>
      </c>
      <c r="AD54" s="83">
        <f t="shared" si="200"/>
        <v>59</v>
      </c>
      <c r="AE54" s="83">
        <f t="shared" si="200"/>
        <v>12876</v>
      </c>
      <c r="AF54" s="83">
        <f t="shared" si="200"/>
        <v>988</v>
      </c>
      <c r="AG54" s="83">
        <f t="shared" si="200"/>
        <v>7</v>
      </c>
      <c r="AH54" s="83">
        <f t="shared" si="200"/>
        <v>0</v>
      </c>
      <c r="AI54" s="83">
        <f t="shared" si="200"/>
        <v>0</v>
      </c>
      <c r="AJ54" s="83">
        <f t="shared" si="200"/>
        <v>0</v>
      </c>
      <c r="AK54" s="83">
        <f>P54+S54+V54+Y54+AB54+AE54+AH54</f>
        <v>20372</v>
      </c>
      <c r="AL54" s="83">
        <f>Q54+T54+W54+Z54+AC54+AF54+AI54</f>
        <v>6548</v>
      </c>
      <c r="AM54" s="83">
        <f>AK54+AL54</f>
        <v>26920</v>
      </c>
      <c r="AN54" s="83">
        <f>R54+U54+X54+AA54+AD54+AG54+AJ54</f>
        <v>250</v>
      </c>
      <c r="AO54" s="190">
        <f>O54/H54*100</f>
        <v>8.0529706513958477</v>
      </c>
      <c r="AP54" s="190">
        <f>AN54/H54*100</f>
        <v>8.9477451682176099</v>
      </c>
      <c r="AQ54" s="190">
        <f t="shared" si="58"/>
        <v>0.92867756315007433</v>
      </c>
      <c r="AR54" s="85">
        <f t="shared" si="59"/>
        <v>75.676077265973248</v>
      </c>
      <c r="AS54" s="85">
        <f t="shared" si="60"/>
        <v>24.323922734026745</v>
      </c>
      <c r="AT54" s="85">
        <f t="shared" si="61"/>
        <v>3.5999999999999996</v>
      </c>
      <c r="AU54" s="85">
        <f t="shared" si="62"/>
        <v>42.4</v>
      </c>
      <c r="AV54" s="85">
        <f t="shared" si="63"/>
        <v>24.4</v>
      </c>
      <c r="AW54" s="85">
        <f t="shared" si="64"/>
        <v>3.2</v>
      </c>
      <c r="AX54" s="85">
        <f t="shared" si="65"/>
        <v>23.599999999999998</v>
      </c>
      <c r="AY54" s="85">
        <f t="shared" si="66"/>
        <v>2.8000000000000003</v>
      </c>
      <c r="AZ54" s="85">
        <f t="shared" si="67"/>
        <v>0</v>
      </c>
    </row>
    <row r="55" spans="1:52" ht="18">
      <c r="A55" s="9" t="s">
        <v>52</v>
      </c>
    </row>
  </sheetData>
  <mergeCells count="53">
    <mergeCell ref="A1:AP1"/>
    <mergeCell ref="A3:A5"/>
    <mergeCell ref="B3:B5"/>
    <mergeCell ref="D3:E3"/>
    <mergeCell ref="F3:J3"/>
    <mergeCell ref="K3:K5"/>
    <mergeCell ref="L3:M3"/>
    <mergeCell ref="N3:O3"/>
    <mergeCell ref="N4:N5"/>
    <mergeCell ref="P4:R4"/>
    <mergeCell ref="S4:U4"/>
    <mergeCell ref="P3:U3"/>
    <mergeCell ref="AE4:AG4"/>
    <mergeCell ref="V3:X3"/>
    <mergeCell ref="V4:X4"/>
    <mergeCell ref="AB3:AG3"/>
    <mergeCell ref="AZ4:AZ5"/>
    <mergeCell ref="AO3:AS3"/>
    <mergeCell ref="AR4:AS4"/>
    <mergeCell ref="AO4:AQ4"/>
    <mergeCell ref="AK3:AN3"/>
    <mergeCell ref="AK4:AK5"/>
    <mergeCell ref="AL4:AL5"/>
    <mergeCell ref="AM4:AM5"/>
    <mergeCell ref="AN4:AN5"/>
    <mergeCell ref="AT3:AZ3"/>
    <mergeCell ref="AT4:AT5"/>
    <mergeCell ref="AU4:AU5"/>
    <mergeCell ref="AY4:AY5"/>
    <mergeCell ref="AW4:AW5"/>
    <mergeCell ref="AH3:AJ3"/>
    <mergeCell ref="A35:A37"/>
    <mergeCell ref="Y4:AA4"/>
    <mergeCell ref="A25:A33"/>
    <mergeCell ref="F4:G4"/>
    <mergeCell ref="L4:L5"/>
    <mergeCell ref="A6:A7"/>
    <mergeCell ref="J4:J5"/>
    <mergeCell ref="D4:D5"/>
    <mergeCell ref="E4:E5"/>
    <mergeCell ref="C3:C5"/>
    <mergeCell ref="O4:O5"/>
    <mergeCell ref="Y3:AA3"/>
    <mergeCell ref="M4:M5"/>
    <mergeCell ref="A8:A12"/>
    <mergeCell ref="A42:A50"/>
    <mergeCell ref="AB4:AD4"/>
    <mergeCell ref="AX4:AX5"/>
    <mergeCell ref="AV4:AV5"/>
    <mergeCell ref="AH4:AJ4"/>
    <mergeCell ref="A13:A22"/>
    <mergeCell ref="H4:H5"/>
    <mergeCell ref="I4:I5"/>
  </mergeCells>
  <pageMargins left="0.11811023622047245" right="0.19685039370078741" top="0.43" bottom="0.28000000000000003" header="0.31496062992125984" footer="0.31496062992125984"/>
  <pageSetup paperSize="5" scale="95" orientation="landscape" r:id="rId1"/>
  <ignoredErrors>
    <ignoredError sqref="F38:I38" formulaRange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Z23"/>
  <sheetViews>
    <sheetView zoomScaleNormal="100" workbookViewId="0">
      <pane xSplit="3" ySplit="5" topLeftCell="R18" activePane="bottomRight" state="frozen"/>
      <selection activeCell="C20" sqref="C20"/>
      <selection pane="topRight" activeCell="C20" sqref="C20"/>
      <selection pane="bottomLeft" activeCell="C20" sqref="C20"/>
      <selection pane="bottomRight" activeCell="B14" sqref="A14:XFD14"/>
    </sheetView>
  </sheetViews>
  <sheetFormatPr baseColWidth="10" defaultRowHeight="12.75"/>
  <cols>
    <col min="1" max="1" width="22.5703125" customWidth="1"/>
    <col min="2" max="2" width="29.85546875" customWidth="1"/>
    <col min="3" max="3" width="13.85546875" style="43" customWidth="1"/>
    <col min="4" max="5" width="12.7109375" customWidth="1"/>
    <col min="6" max="7" width="9" customWidth="1"/>
    <col min="8" max="8" width="8.42578125" customWidth="1"/>
    <col min="9" max="9" width="5.5703125" customWidth="1"/>
    <col min="10" max="10" width="5.85546875" customWidth="1"/>
    <col min="11" max="11" width="8" customWidth="1"/>
    <col min="12" max="13" width="5.5703125" customWidth="1"/>
    <col min="14" max="14" width="8.7109375" customWidth="1"/>
    <col min="15" max="19" width="6.85546875" customWidth="1"/>
    <col min="20" max="22" width="5.5703125" customWidth="1"/>
    <col min="23" max="23" width="6.140625" customWidth="1"/>
    <col min="24" max="25" width="5.5703125" customWidth="1"/>
    <col min="26" max="26" width="6.140625" customWidth="1"/>
    <col min="27" max="29" width="5.5703125" customWidth="1"/>
    <col min="30" max="30" width="6.140625" customWidth="1"/>
    <col min="31" max="31" width="5.5703125" customWidth="1"/>
    <col min="32" max="32" width="6.28515625" customWidth="1"/>
    <col min="33" max="36" width="5.5703125" customWidth="1"/>
    <col min="37" max="40" width="8.42578125" customWidth="1"/>
    <col min="41" max="41" width="11" style="5" customWidth="1"/>
    <col min="42" max="43" width="9.85546875" style="5" customWidth="1"/>
    <col min="44" max="45" width="9.7109375" style="46" customWidth="1"/>
    <col min="46" max="47" width="7.7109375" style="46" customWidth="1"/>
    <col min="48" max="48" width="8" style="46" customWidth="1"/>
    <col min="49" max="49" width="8.140625" style="46" customWidth="1"/>
    <col min="50" max="52" width="7.85546875" style="46" customWidth="1"/>
  </cols>
  <sheetData>
    <row r="1" spans="1:52" ht="44.25" customHeight="1">
      <c r="A1" s="326" t="s">
        <v>182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  <c r="AO1" s="326"/>
      <c r="AP1" s="326"/>
      <c r="AQ1" s="179"/>
      <c r="AR1" s="48"/>
      <c r="AS1" s="48"/>
    </row>
    <row r="2" spans="1:5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80"/>
      <c r="AP2" s="180"/>
      <c r="AQ2" s="180"/>
      <c r="AR2" s="49"/>
      <c r="AS2" s="49"/>
    </row>
    <row r="3" spans="1:52" s="11" customFormat="1" ht="51" customHeight="1">
      <c r="A3" s="327" t="s">
        <v>46</v>
      </c>
      <c r="B3" s="328" t="s">
        <v>47</v>
      </c>
      <c r="C3" s="329" t="s">
        <v>76</v>
      </c>
      <c r="D3" s="327" t="s">
        <v>0</v>
      </c>
      <c r="E3" s="327"/>
      <c r="F3" s="327" t="s">
        <v>4</v>
      </c>
      <c r="G3" s="327"/>
      <c r="H3" s="327"/>
      <c r="I3" s="327"/>
      <c r="J3" s="327"/>
      <c r="K3" s="332" t="s">
        <v>3</v>
      </c>
      <c r="L3" s="333" t="s">
        <v>8</v>
      </c>
      <c r="M3" s="333"/>
      <c r="N3" s="334" t="s">
        <v>71</v>
      </c>
      <c r="O3" s="334"/>
      <c r="P3" s="335" t="s">
        <v>60</v>
      </c>
      <c r="Q3" s="336"/>
      <c r="R3" s="336"/>
      <c r="S3" s="336"/>
      <c r="T3" s="336"/>
      <c r="U3" s="337"/>
      <c r="V3" s="335" t="s">
        <v>57</v>
      </c>
      <c r="W3" s="336"/>
      <c r="X3" s="337"/>
      <c r="Y3" s="335" t="s">
        <v>58</v>
      </c>
      <c r="Z3" s="336"/>
      <c r="AA3" s="337"/>
      <c r="AB3" s="348" t="s">
        <v>56</v>
      </c>
      <c r="AC3" s="349"/>
      <c r="AD3" s="349"/>
      <c r="AE3" s="349"/>
      <c r="AF3" s="349"/>
      <c r="AG3" s="350"/>
      <c r="AH3" s="335" t="s">
        <v>59</v>
      </c>
      <c r="AI3" s="336"/>
      <c r="AJ3" s="337"/>
      <c r="AK3" s="335" t="s">
        <v>2</v>
      </c>
      <c r="AL3" s="336"/>
      <c r="AM3" s="336"/>
      <c r="AN3" s="337"/>
      <c r="AO3" s="351" t="s">
        <v>90</v>
      </c>
      <c r="AP3" s="352"/>
      <c r="AQ3" s="352"/>
      <c r="AR3" s="352"/>
      <c r="AS3" s="353"/>
      <c r="AT3" s="344" t="s">
        <v>89</v>
      </c>
      <c r="AU3" s="344"/>
      <c r="AV3" s="344"/>
      <c r="AW3" s="344"/>
      <c r="AX3" s="344"/>
      <c r="AY3" s="344"/>
      <c r="AZ3" s="344"/>
    </row>
    <row r="4" spans="1:52" s="11" customFormat="1" ht="23.25" customHeight="1">
      <c r="A4" s="327"/>
      <c r="B4" s="328"/>
      <c r="C4" s="330"/>
      <c r="D4" s="327" t="s">
        <v>10</v>
      </c>
      <c r="E4" s="327" t="s">
        <v>9</v>
      </c>
      <c r="F4" s="345" t="s">
        <v>5</v>
      </c>
      <c r="G4" s="345"/>
      <c r="H4" s="346" t="s">
        <v>2</v>
      </c>
      <c r="I4" s="346" t="s">
        <v>13</v>
      </c>
      <c r="J4" s="346" t="s">
        <v>14</v>
      </c>
      <c r="K4" s="332"/>
      <c r="L4" s="347" t="s">
        <v>7</v>
      </c>
      <c r="M4" s="340" t="s">
        <v>6</v>
      </c>
      <c r="N4" s="347" t="s">
        <v>1</v>
      </c>
      <c r="O4" s="340" t="s">
        <v>6</v>
      </c>
      <c r="P4" s="335" t="s">
        <v>34</v>
      </c>
      <c r="Q4" s="336"/>
      <c r="R4" s="337"/>
      <c r="S4" s="341" t="s">
        <v>35</v>
      </c>
      <c r="T4" s="342"/>
      <c r="U4" s="343"/>
      <c r="V4" s="335" t="s">
        <v>31</v>
      </c>
      <c r="W4" s="336"/>
      <c r="X4" s="337"/>
      <c r="Y4" s="335" t="s">
        <v>32</v>
      </c>
      <c r="Z4" s="336"/>
      <c r="AA4" s="337"/>
      <c r="AB4" s="354" t="s">
        <v>36</v>
      </c>
      <c r="AC4" s="355"/>
      <c r="AD4" s="356"/>
      <c r="AE4" s="335" t="s">
        <v>37</v>
      </c>
      <c r="AF4" s="336"/>
      <c r="AG4" s="337"/>
      <c r="AH4" s="335" t="s">
        <v>33</v>
      </c>
      <c r="AI4" s="336"/>
      <c r="AJ4" s="337"/>
      <c r="AK4" s="357" t="s">
        <v>84</v>
      </c>
      <c r="AL4" s="357" t="s">
        <v>85</v>
      </c>
      <c r="AM4" s="357" t="s">
        <v>86</v>
      </c>
      <c r="AN4" s="338" t="s">
        <v>87</v>
      </c>
      <c r="AO4" s="360" t="s">
        <v>91</v>
      </c>
      <c r="AP4" s="361"/>
      <c r="AQ4" s="362"/>
      <c r="AR4" s="363" t="s">
        <v>92</v>
      </c>
      <c r="AS4" s="364"/>
      <c r="AT4" s="359" t="s">
        <v>97</v>
      </c>
      <c r="AU4" s="359" t="s">
        <v>88</v>
      </c>
      <c r="AV4" s="359" t="s">
        <v>80</v>
      </c>
      <c r="AW4" s="359" t="s">
        <v>81</v>
      </c>
      <c r="AX4" s="359" t="s">
        <v>294</v>
      </c>
      <c r="AY4" s="359" t="s">
        <v>82</v>
      </c>
      <c r="AZ4" s="359" t="s">
        <v>83</v>
      </c>
    </row>
    <row r="5" spans="1:52" s="11" customFormat="1" ht="57" customHeight="1">
      <c r="A5" s="327"/>
      <c r="B5" s="328"/>
      <c r="C5" s="331"/>
      <c r="D5" s="327"/>
      <c r="E5" s="327"/>
      <c r="F5" s="12" t="s">
        <v>11</v>
      </c>
      <c r="G5" s="12" t="s">
        <v>12</v>
      </c>
      <c r="H5" s="346"/>
      <c r="I5" s="346"/>
      <c r="J5" s="346"/>
      <c r="K5" s="332"/>
      <c r="L5" s="347"/>
      <c r="M5" s="340"/>
      <c r="N5" s="347"/>
      <c r="O5" s="340"/>
      <c r="P5" s="41" t="s">
        <v>77</v>
      </c>
      <c r="Q5" s="41" t="s">
        <v>78</v>
      </c>
      <c r="R5" s="45" t="s">
        <v>79</v>
      </c>
      <c r="S5" s="41" t="s">
        <v>77</v>
      </c>
      <c r="T5" s="41" t="s">
        <v>78</v>
      </c>
      <c r="U5" s="45" t="s">
        <v>79</v>
      </c>
      <c r="V5" s="41" t="s">
        <v>77</v>
      </c>
      <c r="W5" s="41" t="s">
        <v>78</v>
      </c>
      <c r="X5" s="45" t="s">
        <v>79</v>
      </c>
      <c r="Y5" s="41" t="s">
        <v>77</v>
      </c>
      <c r="Z5" s="41" t="s">
        <v>78</v>
      </c>
      <c r="AA5" s="45" t="s">
        <v>79</v>
      </c>
      <c r="AB5" s="41" t="s">
        <v>77</v>
      </c>
      <c r="AC5" s="41" t="s">
        <v>78</v>
      </c>
      <c r="AD5" s="45" t="s">
        <v>79</v>
      </c>
      <c r="AE5" s="41" t="s">
        <v>77</v>
      </c>
      <c r="AF5" s="41" t="s">
        <v>78</v>
      </c>
      <c r="AG5" s="45" t="s">
        <v>79</v>
      </c>
      <c r="AH5" s="41" t="s">
        <v>77</v>
      </c>
      <c r="AI5" s="41" t="s">
        <v>78</v>
      </c>
      <c r="AJ5" s="45" t="s">
        <v>79</v>
      </c>
      <c r="AK5" s="358"/>
      <c r="AL5" s="358"/>
      <c r="AM5" s="358"/>
      <c r="AN5" s="339"/>
      <c r="AO5" s="187" t="s">
        <v>93</v>
      </c>
      <c r="AP5" s="187" t="s">
        <v>94</v>
      </c>
      <c r="AQ5" s="187" t="s">
        <v>98</v>
      </c>
      <c r="AR5" s="50" t="s">
        <v>95</v>
      </c>
      <c r="AS5" s="50" t="s">
        <v>96</v>
      </c>
      <c r="AT5" s="359"/>
      <c r="AU5" s="359"/>
      <c r="AV5" s="359"/>
      <c r="AW5" s="359"/>
      <c r="AX5" s="359"/>
      <c r="AY5" s="359"/>
      <c r="AZ5" s="359"/>
    </row>
    <row r="6" spans="1:52" s="40" customFormat="1" ht="20.25" customHeight="1">
      <c r="A6" s="125" t="s">
        <v>139</v>
      </c>
      <c r="B6" s="152" t="s">
        <v>154</v>
      </c>
      <c r="C6" s="38">
        <v>344</v>
      </c>
      <c r="D6" s="107">
        <v>45663</v>
      </c>
      <c r="E6" s="107">
        <v>45673</v>
      </c>
      <c r="F6" s="38">
        <v>129</v>
      </c>
      <c r="G6" s="38">
        <v>0</v>
      </c>
      <c r="H6" s="38">
        <f>F6+G6</f>
        <v>129</v>
      </c>
      <c r="I6" s="38">
        <v>0</v>
      </c>
      <c r="J6" s="38">
        <v>0</v>
      </c>
      <c r="K6" s="38">
        <f>J6+H6+I6</f>
        <v>129</v>
      </c>
      <c r="L6" s="38">
        <v>10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  <c r="R6" s="38">
        <v>0</v>
      </c>
      <c r="S6" s="38">
        <v>1</v>
      </c>
      <c r="T6" s="38">
        <v>3</v>
      </c>
      <c r="U6" s="38">
        <v>0</v>
      </c>
      <c r="V6" s="38">
        <v>45</v>
      </c>
      <c r="W6" s="38">
        <v>40</v>
      </c>
      <c r="X6" s="38">
        <v>0</v>
      </c>
      <c r="Y6" s="38">
        <v>0</v>
      </c>
      <c r="Z6" s="38">
        <v>0</v>
      </c>
      <c r="AA6" s="38">
        <v>0</v>
      </c>
      <c r="AB6" s="38">
        <v>0</v>
      </c>
      <c r="AC6" s="38">
        <v>2</v>
      </c>
      <c r="AD6" s="38">
        <v>0</v>
      </c>
      <c r="AE6" s="38">
        <v>0</v>
      </c>
      <c r="AF6" s="38">
        <v>0</v>
      </c>
      <c r="AG6" s="38">
        <v>0</v>
      </c>
      <c r="AH6" s="38">
        <v>0</v>
      </c>
      <c r="AI6" s="38">
        <v>0</v>
      </c>
      <c r="AJ6" s="38">
        <v>0</v>
      </c>
      <c r="AK6" s="38">
        <f t="shared" ref="AK6" si="0">P6+S6+V6+Y6+AB6+AE6+AH6</f>
        <v>46</v>
      </c>
      <c r="AL6" s="38">
        <f t="shared" ref="AL6" si="1">Q6+T6+W6+Z6+AC6+AF6+AI6</f>
        <v>45</v>
      </c>
      <c r="AM6" s="38">
        <f t="shared" ref="AM6" si="2">AK6+AL6</f>
        <v>91</v>
      </c>
      <c r="AN6" s="38">
        <f t="shared" ref="AN6" si="3">R6+U6+X6+AA6+AD6+AG6+AJ6</f>
        <v>0</v>
      </c>
      <c r="AO6" s="189">
        <f t="shared" ref="AO6:AO7" si="4">O6/H6*100</f>
        <v>0</v>
      </c>
      <c r="AP6" s="189">
        <f t="shared" ref="AP6:AP7" si="5">AN6/H6*100</f>
        <v>0</v>
      </c>
      <c r="AQ6" s="189">
        <f>AN6/AM6*100</f>
        <v>0</v>
      </c>
      <c r="AR6" s="81">
        <f>AK6/AM6*100</f>
        <v>50.549450549450547</v>
      </c>
      <c r="AS6" s="81">
        <f>AL6/AM6*100</f>
        <v>49.450549450549453</v>
      </c>
      <c r="AT6" s="54" t="e">
        <f t="shared" ref="AT6" si="6">R6/AN6*100</f>
        <v>#DIV/0!</v>
      </c>
      <c r="AU6" s="54" t="e">
        <f>U6/AN6*100</f>
        <v>#DIV/0!</v>
      </c>
      <c r="AV6" s="54" t="e">
        <f>X6/AN6*100</f>
        <v>#DIV/0!</v>
      </c>
      <c r="AW6" s="54" t="e">
        <f>AA6/AN6*100</f>
        <v>#DIV/0!</v>
      </c>
      <c r="AX6" s="54" t="e">
        <f>AD6/AN6*100</f>
        <v>#DIV/0!</v>
      </c>
      <c r="AY6" s="54" t="e">
        <f>AG6/AN6*100</f>
        <v>#DIV/0!</v>
      </c>
      <c r="AZ6" s="54" t="e">
        <f>AJ6/AN6*100</f>
        <v>#DIV/0!</v>
      </c>
    </row>
    <row r="7" spans="1:52" s="40" customFormat="1" ht="20.25" customHeight="1">
      <c r="A7" s="83" t="s">
        <v>62</v>
      </c>
      <c r="B7" s="83">
        <f>COUNTA(B4:B6)</f>
        <v>1</v>
      </c>
      <c r="C7" s="83">
        <f>SUM(C6:C6)</f>
        <v>344</v>
      </c>
      <c r="D7" s="84">
        <f>MIN(D6:D6)</f>
        <v>45663</v>
      </c>
      <c r="E7" s="84">
        <f>MAX(E6:E6)</f>
        <v>45673</v>
      </c>
      <c r="F7" s="83">
        <f>SUM(F6:F6)</f>
        <v>129</v>
      </c>
      <c r="G7" s="83">
        <f>SUM(G6:G6)</f>
        <v>0</v>
      </c>
      <c r="H7" s="83">
        <f>F7+G7</f>
        <v>129</v>
      </c>
      <c r="I7" s="83">
        <f>SUM(I6:I6)</f>
        <v>0</v>
      </c>
      <c r="J7" s="83">
        <f>SUM(J6:J6)</f>
        <v>0</v>
      </c>
      <c r="K7" s="83">
        <f>H7+I7+J7</f>
        <v>129</v>
      </c>
      <c r="L7" s="83">
        <f t="shared" ref="L7:AJ7" si="7">SUM(L6:L6)</f>
        <v>10</v>
      </c>
      <c r="M7" s="83">
        <f t="shared" si="7"/>
        <v>0</v>
      </c>
      <c r="N7" s="83">
        <f t="shared" si="7"/>
        <v>0</v>
      </c>
      <c r="O7" s="83">
        <f t="shared" si="7"/>
        <v>0</v>
      </c>
      <c r="P7" s="83">
        <f t="shared" si="7"/>
        <v>0</v>
      </c>
      <c r="Q7" s="83">
        <f t="shared" si="7"/>
        <v>0</v>
      </c>
      <c r="R7" s="83">
        <f t="shared" si="7"/>
        <v>0</v>
      </c>
      <c r="S7" s="83">
        <f t="shared" si="7"/>
        <v>1</v>
      </c>
      <c r="T7" s="83">
        <f t="shared" si="7"/>
        <v>3</v>
      </c>
      <c r="U7" s="83">
        <f t="shared" si="7"/>
        <v>0</v>
      </c>
      <c r="V7" s="83">
        <f t="shared" si="7"/>
        <v>45</v>
      </c>
      <c r="W7" s="83">
        <f t="shared" si="7"/>
        <v>40</v>
      </c>
      <c r="X7" s="83">
        <f t="shared" si="7"/>
        <v>0</v>
      </c>
      <c r="Y7" s="83">
        <f t="shared" si="7"/>
        <v>0</v>
      </c>
      <c r="Z7" s="83">
        <f t="shared" si="7"/>
        <v>0</v>
      </c>
      <c r="AA7" s="83">
        <f t="shared" si="7"/>
        <v>0</v>
      </c>
      <c r="AB7" s="83">
        <f t="shared" si="7"/>
        <v>0</v>
      </c>
      <c r="AC7" s="83">
        <f t="shared" si="7"/>
        <v>2</v>
      </c>
      <c r="AD7" s="83">
        <f t="shared" si="7"/>
        <v>0</v>
      </c>
      <c r="AE7" s="83">
        <f t="shared" si="7"/>
        <v>0</v>
      </c>
      <c r="AF7" s="83">
        <f t="shared" si="7"/>
        <v>0</v>
      </c>
      <c r="AG7" s="83">
        <f t="shared" si="7"/>
        <v>0</v>
      </c>
      <c r="AH7" s="83">
        <f t="shared" si="7"/>
        <v>0</v>
      </c>
      <c r="AI7" s="83">
        <f t="shared" si="7"/>
        <v>0</v>
      </c>
      <c r="AJ7" s="83">
        <f t="shared" si="7"/>
        <v>0</v>
      </c>
      <c r="AK7" s="83">
        <f t="shared" ref="AK7:AL8" si="8">P7+S7+V7+Y7+AB7+AE7+AH7</f>
        <v>46</v>
      </c>
      <c r="AL7" s="83">
        <f t="shared" si="8"/>
        <v>45</v>
      </c>
      <c r="AM7" s="83">
        <f t="shared" ref="AM7:AM8" si="9">AK7+AL7</f>
        <v>91</v>
      </c>
      <c r="AN7" s="83">
        <f t="shared" ref="AN7:AN8" si="10">R7+U7+X7+AA7+AD7+AG7+AJ7</f>
        <v>0</v>
      </c>
      <c r="AO7" s="190">
        <f t="shared" si="4"/>
        <v>0</v>
      </c>
      <c r="AP7" s="190">
        <f t="shared" si="5"/>
        <v>0</v>
      </c>
      <c r="AQ7" s="190">
        <f t="shared" ref="AQ7" si="11">AN7/AM7*100</f>
        <v>0</v>
      </c>
      <c r="AR7" s="85">
        <f t="shared" ref="AR7:AR22" si="12">AK7/AM7*100</f>
        <v>50.549450549450547</v>
      </c>
      <c r="AS7" s="85">
        <f t="shared" ref="AS7:AS22" si="13">AL7/AM7*100</f>
        <v>49.450549450549453</v>
      </c>
      <c r="AT7" s="61" t="e">
        <f t="shared" ref="AT7:AT22" si="14">R7/AN7*100</f>
        <v>#DIV/0!</v>
      </c>
      <c r="AU7" s="61" t="e">
        <f t="shared" ref="AU7:AU22" si="15">U7/AN7*100</f>
        <v>#DIV/0!</v>
      </c>
      <c r="AV7" s="61" t="e">
        <f t="shared" ref="AV7:AV22" si="16">X7/AN7*100</f>
        <v>#DIV/0!</v>
      </c>
      <c r="AW7" s="61" t="e">
        <f t="shared" ref="AW7:AW22" si="17">AA7/AN7*100</f>
        <v>#DIV/0!</v>
      </c>
      <c r="AX7" s="61" t="e">
        <f t="shared" ref="AX7:AX22" si="18">AD7/AN7*100</f>
        <v>#DIV/0!</v>
      </c>
      <c r="AY7" s="61" t="e">
        <f t="shared" ref="AY7:AY22" si="19">AG7/AN7*100</f>
        <v>#DIV/0!</v>
      </c>
      <c r="AZ7" s="61" t="e">
        <f t="shared" ref="AZ7:AZ22" si="20">AJ7/AN7*100</f>
        <v>#DIV/0!</v>
      </c>
    </row>
    <row r="8" spans="1:52" s="63" customFormat="1" ht="20.25" customHeight="1">
      <c r="A8" s="175" t="s">
        <v>139</v>
      </c>
      <c r="B8" s="175" t="s">
        <v>205</v>
      </c>
      <c r="C8" s="120">
        <v>1215</v>
      </c>
      <c r="D8" s="177">
        <v>45705</v>
      </c>
      <c r="E8" s="177">
        <v>45716</v>
      </c>
      <c r="F8" s="120">
        <v>473</v>
      </c>
      <c r="G8" s="120">
        <v>0</v>
      </c>
      <c r="H8" s="140">
        <f>F8+G8</f>
        <v>473</v>
      </c>
      <c r="I8" s="120">
        <v>69</v>
      </c>
      <c r="J8" s="120">
        <v>0</v>
      </c>
      <c r="K8" s="140">
        <f>J8+H8+I8</f>
        <v>542</v>
      </c>
      <c r="L8" s="120">
        <v>0</v>
      </c>
      <c r="M8" s="120">
        <v>0</v>
      </c>
      <c r="N8" s="120">
        <v>473</v>
      </c>
      <c r="O8" s="120">
        <v>1</v>
      </c>
      <c r="P8" s="120">
        <v>0</v>
      </c>
      <c r="Q8" s="120">
        <v>9</v>
      </c>
      <c r="R8" s="120">
        <v>0</v>
      </c>
      <c r="S8" s="120">
        <v>4</v>
      </c>
      <c r="T8" s="120">
        <v>65</v>
      </c>
      <c r="U8" s="120">
        <v>0</v>
      </c>
      <c r="V8" s="120">
        <v>22</v>
      </c>
      <c r="W8" s="120">
        <v>75</v>
      </c>
      <c r="X8" s="120">
        <v>0</v>
      </c>
      <c r="Y8" s="120">
        <v>0</v>
      </c>
      <c r="Z8" s="120">
        <v>0</v>
      </c>
      <c r="AA8" s="120">
        <v>0</v>
      </c>
      <c r="AB8" s="120">
        <v>16</v>
      </c>
      <c r="AC8" s="120">
        <v>64</v>
      </c>
      <c r="AD8" s="120">
        <v>2</v>
      </c>
      <c r="AE8" s="120">
        <v>36</v>
      </c>
      <c r="AF8" s="120">
        <v>143</v>
      </c>
      <c r="AG8" s="120">
        <v>0</v>
      </c>
      <c r="AH8" s="120">
        <v>0</v>
      </c>
      <c r="AI8" s="120">
        <v>0</v>
      </c>
      <c r="AJ8" s="120">
        <v>0</v>
      </c>
      <c r="AK8" s="140">
        <f t="shared" si="8"/>
        <v>78</v>
      </c>
      <c r="AL8" s="140">
        <f t="shared" si="8"/>
        <v>356</v>
      </c>
      <c r="AM8" s="140">
        <f t="shared" si="9"/>
        <v>434</v>
      </c>
      <c r="AN8" s="140">
        <f t="shared" si="10"/>
        <v>2</v>
      </c>
      <c r="AO8" s="189">
        <f t="shared" ref="AO8:AO11" si="21">O8/H8*100</f>
        <v>0.21141649048625794</v>
      </c>
      <c r="AP8" s="189">
        <f t="shared" ref="AP8:AP11" si="22">AN8/H8*100</f>
        <v>0.42283298097251587</v>
      </c>
      <c r="AQ8" s="189">
        <f>AN8/AM8*100</f>
        <v>0.46082949308755761</v>
      </c>
      <c r="AR8" s="81">
        <f>AK8/AM8*100</f>
        <v>17.972350230414747</v>
      </c>
      <c r="AS8" s="81">
        <f>AL8/AM8*100</f>
        <v>82.027649769585253</v>
      </c>
      <c r="AT8" s="131">
        <f t="shared" si="14"/>
        <v>0</v>
      </c>
      <c r="AU8" s="131">
        <f>U8/AN8*100</f>
        <v>0</v>
      </c>
      <c r="AV8" s="131">
        <f>X8/AN8*100</f>
        <v>0</v>
      </c>
      <c r="AW8" s="131">
        <f>AA8/AN8*100</f>
        <v>0</v>
      </c>
      <c r="AX8" s="131">
        <f>AD8/AN8*100</f>
        <v>100</v>
      </c>
      <c r="AY8" s="131">
        <f>AG8/AN8*100</f>
        <v>0</v>
      </c>
      <c r="AZ8" s="131">
        <f>AJ8/AN8*100</f>
        <v>0</v>
      </c>
    </row>
    <row r="9" spans="1:52" s="3" customFormat="1" ht="20.25" customHeight="1">
      <c r="A9" s="83" t="s">
        <v>99</v>
      </c>
      <c r="B9" s="83">
        <v>1</v>
      </c>
      <c r="C9" s="83">
        <f>C8</f>
        <v>1215</v>
      </c>
      <c r="D9" s="84">
        <f>D8</f>
        <v>45705</v>
      </c>
      <c r="E9" s="84">
        <f>E8</f>
        <v>45716</v>
      </c>
      <c r="F9" s="83">
        <f>F8</f>
        <v>473</v>
      </c>
      <c r="G9" s="83">
        <f t="shared" ref="G9:AJ9" si="23">G8</f>
        <v>0</v>
      </c>
      <c r="H9" s="83">
        <f t="shared" si="23"/>
        <v>473</v>
      </c>
      <c r="I9" s="83">
        <f t="shared" si="23"/>
        <v>69</v>
      </c>
      <c r="J9" s="83">
        <f t="shared" si="23"/>
        <v>0</v>
      </c>
      <c r="K9" s="83">
        <f t="shared" si="23"/>
        <v>542</v>
      </c>
      <c r="L9" s="83">
        <f t="shared" si="23"/>
        <v>0</v>
      </c>
      <c r="M9" s="83">
        <f t="shared" si="23"/>
        <v>0</v>
      </c>
      <c r="N9" s="83">
        <f t="shared" si="23"/>
        <v>473</v>
      </c>
      <c r="O9" s="83">
        <f t="shared" si="23"/>
        <v>1</v>
      </c>
      <c r="P9" s="83">
        <f t="shared" si="23"/>
        <v>0</v>
      </c>
      <c r="Q9" s="83">
        <f t="shared" si="23"/>
        <v>9</v>
      </c>
      <c r="R9" s="83">
        <f t="shared" si="23"/>
        <v>0</v>
      </c>
      <c r="S9" s="83">
        <f t="shared" si="23"/>
        <v>4</v>
      </c>
      <c r="T9" s="83">
        <f t="shared" si="23"/>
        <v>65</v>
      </c>
      <c r="U9" s="83">
        <f t="shared" si="23"/>
        <v>0</v>
      </c>
      <c r="V9" s="83">
        <f t="shared" si="23"/>
        <v>22</v>
      </c>
      <c r="W9" s="83">
        <f t="shared" si="23"/>
        <v>75</v>
      </c>
      <c r="X9" s="83">
        <f t="shared" si="23"/>
        <v>0</v>
      </c>
      <c r="Y9" s="83">
        <f t="shared" si="23"/>
        <v>0</v>
      </c>
      <c r="Z9" s="83">
        <f t="shared" si="23"/>
        <v>0</v>
      </c>
      <c r="AA9" s="83">
        <f t="shared" si="23"/>
        <v>0</v>
      </c>
      <c r="AB9" s="83">
        <f t="shared" si="23"/>
        <v>16</v>
      </c>
      <c r="AC9" s="83">
        <f t="shared" si="23"/>
        <v>64</v>
      </c>
      <c r="AD9" s="83">
        <f t="shared" si="23"/>
        <v>2</v>
      </c>
      <c r="AE9" s="83">
        <f t="shared" si="23"/>
        <v>36</v>
      </c>
      <c r="AF9" s="83">
        <f t="shared" si="23"/>
        <v>143</v>
      </c>
      <c r="AG9" s="83">
        <f t="shared" si="23"/>
        <v>0</v>
      </c>
      <c r="AH9" s="83">
        <f t="shared" si="23"/>
        <v>0</v>
      </c>
      <c r="AI9" s="83">
        <f t="shared" si="23"/>
        <v>0</v>
      </c>
      <c r="AJ9" s="83">
        <f t="shared" si="23"/>
        <v>0</v>
      </c>
      <c r="AK9" s="83">
        <f t="shared" ref="AK9:AK11" si="24">P9+S9+V9+Y9+AB9+AE9+AH9</f>
        <v>78</v>
      </c>
      <c r="AL9" s="83">
        <f t="shared" ref="AL9:AL11" si="25">Q9+T9+W9+Z9+AC9+AF9+AI9</f>
        <v>356</v>
      </c>
      <c r="AM9" s="83">
        <f t="shared" ref="AM9:AM11" si="26">AK9+AL9</f>
        <v>434</v>
      </c>
      <c r="AN9" s="83">
        <f t="shared" ref="AN9:AN11" si="27">R9+U9+X9+AA9+AD9+AG9+AJ9</f>
        <v>2</v>
      </c>
      <c r="AO9" s="190">
        <f t="shared" si="21"/>
        <v>0.21141649048625794</v>
      </c>
      <c r="AP9" s="190">
        <f t="shared" si="22"/>
        <v>0.42283298097251587</v>
      </c>
      <c r="AQ9" s="190">
        <f t="shared" ref="AQ9" si="28">AN9/AM9*100</f>
        <v>0.46082949308755761</v>
      </c>
      <c r="AR9" s="85">
        <f t="shared" ref="AR9" si="29">AK9/AM9*100</f>
        <v>17.972350230414747</v>
      </c>
      <c r="AS9" s="85">
        <f t="shared" ref="AS9" si="30">AL9/AM9*100</f>
        <v>82.027649769585253</v>
      </c>
      <c r="AT9" s="61">
        <f t="shared" ref="AT9:AT11" si="31">R9/AN9*100</f>
        <v>0</v>
      </c>
      <c r="AU9" s="61">
        <f t="shared" ref="AU9" si="32">U9/AN9*100</f>
        <v>0</v>
      </c>
      <c r="AV9" s="61">
        <f t="shared" ref="AV9" si="33">X9/AN9*100</f>
        <v>0</v>
      </c>
      <c r="AW9" s="61">
        <f t="shared" ref="AW9" si="34">AA9/AN9*100</f>
        <v>0</v>
      </c>
      <c r="AX9" s="61">
        <f t="shared" ref="AX9" si="35">AD9/AN9*100</f>
        <v>100</v>
      </c>
      <c r="AY9" s="61">
        <f t="shared" ref="AY9" si="36">AG9/AN9*100</f>
        <v>0</v>
      </c>
      <c r="AZ9" s="61">
        <f t="shared" ref="AZ9" si="37">AJ9/AN9*100</f>
        <v>0</v>
      </c>
    </row>
    <row r="10" spans="1:52" s="238" customFormat="1" ht="20.25" customHeight="1">
      <c r="A10" s="205" t="s">
        <v>237</v>
      </c>
      <c r="B10" s="175" t="s">
        <v>297</v>
      </c>
      <c r="C10" s="120">
        <v>857</v>
      </c>
      <c r="D10" s="177">
        <v>45726</v>
      </c>
      <c r="E10" s="177">
        <v>45744</v>
      </c>
      <c r="F10" s="120">
        <v>342</v>
      </c>
      <c r="G10" s="120">
        <v>0</v>
      </c>
      <c r="H10" s="204">
        <f t="shared" ref="H10:H20" si="38">F10+G10</f>
        <v>342</v>
      </c>
      <c r="I10" s="120">
        <v>0</v>
      </c>
      <c r="J10" s="120">
        <v>0</v>
      </c>
      <c r="K10" s="204">
        <f>J10+H10+I10</f>
        <v>342</v>
      </c>
      <c r="L10" s="120">
        <v>0</v>
      </c>
      <c r="M10" s="120">
        <v>0</v>
      </c>
      <c r="N10" s="120">
        <v>342</v>
      </c>
      <c r="O10" s="120">
        <v>13</v>
      </c>
      <c r="P10" s="120">
        <v>0</v>
      </c>
      <c r="Q10" s="120">
        <v>1</v>
      </c>
      <c r="R10" s="120">
        <v>0</v>
      </c>
      <c r="S10" s="120">
        <v>2</v>
      </c>
      <c r="T10" s="120">
        <v>31</v>
      </c>
      <c r="U10" s="120">
        <v>0</v>
      </c>
      <c r="V10" s="120">
        <v>43</v>
      </c>
      <c r="W10" s="120">
        <v>58</v>
      </c>
      <c r="X10" s="120">
        <v>0</v>
      </c>
      <c r="Y10" s="120">
        <v>0</v>
      </c>
      <c r="Z10" s="120">
        <v>0</v>
      </c>
      <c r="AA10" s="120">
        <v>0</v>
      </c>
      <c r="AB10" s="120">
        <v>24</v>
      </c>
      <c r="AC10" s="120">
        <v>88</v>
      </c>
      <c r="AD10" s="120">
        <v>18</v>
      </c>
      <c r="AE10" s="120">
        <v>5</v>
      </c>
      <c r="AF10" s="120">
        <v>84</v>
      </c>
      <c r="AG10" s="120">
        <v>2</v>
      </c>
      <c r="AH10" s="120">
        <v>3</v>
      </c>
      <c r="AI10" s="120">
        <v>2</v>
      </c>
      <c r="AJ10" s="120">
        <v>0</v>
      </c>
      <c r="AK10" s="204">
        <f t="shared" si="24"/>
        <v>77</v>
      </c>
      <c r="AL10" s="204">
        <f t="shared" si="25"/>
        <v>264</v>
      </c>
      <c r="AM10" s="204">
        <f t="shared" si="26"/>
        <v>341</v>
      </c>
      <c r="AN10" s="204">
        <f t="shared" si="27"/>
        <v>20</v>
      </c>
      <c r="AO10" s="81">
        <f t="shared" si="21"/>
        <v>3.8011695906432745</v>
      </c>
      <c r="AP10" s="81">
        <f t="shared" si="22"/>
        <v>5.8479532163742682</v>
      </c>
      <c r="AQ10" s="81">
        <f>AN10/AM10*100</f>
        <v>5.8651026392961878</v>
      </c>
      <c r="AR10" s="81">
        <f>AK10/AM10*100</f>
        <v>22.58064516129032</v>
      </c>
      <c r="AS10" s="81">
        <f>AL10/AM10*100</f>
        <v>77.41935483870968</v>
      </c>
      <c r="AT10" s="131">
        <f t="shared" si="31"/>
        <v>0</v>
      </c>
      <c r="AU10" s="131">
        <f>U10/AN10*100</f>
        <v>0</v>
      </c>
      <c r="AV10" s="131">
        <f>X10/AN10*100</f>
        <v>0</v>
      </c>
      <c r="AW10" s="131">
        <f>AA10/AN10*100</f>
        <v>0</v>
      </c>
      <c r="AX10" s="131">
        <f>AD10/AN10*100</f>
        <v>90</v>
      </c>
      <c r="AY10" s="131">
        <f>AG10/AN10*100</f>
        <v>10</v>
      </c>
      <c r="AZ10" s="131">
        <f>AJ10/AN10*100</f>
        <v>0</v>
      </c>
    </row>
    <row r="11" spans="1:52" s="3" customFormat="1" ht="20.25" customHeight="1">
      <c r="A11" s="83" t="s">
        <v>103</v>
      </c>
      <c r="B11" s="83">
        <f>COUNTA(B8:B10)</f>
        <v>3</v>
      </c>
      <c r="C11" s="83">
        <f>SUM(C10:C10)</f>
        <v>857</v>
      </c>
      <c r="D11" s="84">
        <f>MIN(D10:D10)</f>
        <v>45726</v>
      </c>
      <c r="E11" s="84">
        <f>MAX(E10:E10)</f>
        <v>45744</v>
      </c>
      <c r="F11" s="83">
        <f>SUM(F10:F10)</f>
        <v>342</v>
      </c>
      <c r="G11" s="83">
        <f>SUM(G10:G10)</f>
        <v>0</v>
      </c>
      <c r="H11" s="83">
        <f t="shared" si="38"/>
        <v>342</v>
      </c>
      <c r="I11" s="83">
        <f>SUM(I10:I10)</f>
        <v>0</v>
      </c>
      <c r="J11" s="83">
        <f>SUM(J10:J10)</f>
        <v>0</v>
      </c>
      <c r="K11" s="83">
        <f>H11+I11+J11</f>
        <v>342</v>
      </c>
      <c r="L11" s="83">
        <f t="shared" ref="L11:AJ13" si="39">SUM(L10:L10)</f>
        <v>0</v>
      </c>
      <c r="M11" s="83">
        <f t="shared" si="39"/>
        <v>0</v>
      </c>
      <c r="N11" s="83">
        <f t="shared" si="39"/>
        <v>342</v>
      </c>
      <c r="O11" s="83">
        <f t="shared" si="39"/>
        <v>13</v>
      </c>
      <c r="P11" s="83">
        <f t="shared" si="39"/>
        <v>0</v>
      </c>
      <c r="Q11" s="83">
        <f t="shared" si="39"/>
        <v>1</v>
      </c>
      <c r="R11" s="83">
        <f t="shared" si="39"/>
        <v>0</v>
      </c>
      <c r="S11" s="83">
        <f t="shared" si="39"/>
        <v>2</v>
      </c>
      <c r="T11" s="83">
        <f t="shared" si="39"/>
        <v>31</v>
      </c>
      <c r="U11" s="83">
        <f t="shared" si="39"/>
        <v>0</v>
      </c>
      <c r="V11" s="83">
        <f t="shared" si="39"/>
        <v>43</v>
      </c>
      <c r="W11" s="83">
        <f t="shared" si="39"/>
        <v>58</v>
      </c>
      <c r="X11" s="83">
        <f t="shared" si="39"/>
        <v>0</v>
      </c>
      <c r="Y11" s="83">
        <f t="shared" si="39"/>
        <v>0</v>
      </c>
      <c r="Z11" s="83">
        <f t="shared" si="39"/>
        <v>0</v>
      </c>
      <c r="AA11" s="83">
        <f t="shared" si="39"/>
        <v>0</v>
      </c>
      <c r="AB11" s="83">
        <f t="shared" si="39"/>
        <v>24</v>
      </c>
      <c r="AC11" s="83">
        <f t="shared" si="39"/>
        <v>88</v>
      </c>
      <c r="AD11" s="83">
        <f t="shared" si="39"/>
        <v>18</v>
      </c>
      <c r="AE11" s="83">
        <f t="shared" si="39"/>
        <v>5</v>
      </c>
      <c r="AF11" s="83">
        <f t="shared" si="39"/>
        <v>84</v>
      </c>
      <c r="AG11" s="83">
        <f t="shared" si="39"/>
        <v>2</v>
      </c>
      <c r="AH11" s="83">
        <f t="shared" si="39"/>
        <v>3</v>
      </c>
      <c r="AI11" s="83">
        <f t="shared" si="39"/>
        <v>2</v>
      </c>
      <c r="AJ11" s="83">
        <f t="shared" si="39"/>
        <v>0</v>
      </c>
      <c r="AK11" s="83">
        <f t="shared" si="24"/>
        <v>77</v>
      </c>
      <c r="AL11" s="83">
        <f t="shared" si="25"/>
        <v>264</v>
      </c>
      <c r="AM11" s="83">
        <f t="shared" si="26"/>
        <v>341</v>
      </c>
      <c r="AN11" s="83">
        <f t="shared" si="27"/>
        <v>20</v>
      </c>
      <c r="AO11" s="85">
        <f t="shared" si="21"/>
        <v>3.8011695906432745</v>
      </c>
      <c r="AP11" s="85">
        <f t="shared" si="22"/>
        <v>5.8479532163742682</v>
      </c>
      <c r="AQ11" s="85">
        <f t="shared" ref="AQ11" si="40">AN11/AM11*100</f>
        <v>5.8651026392961878</v>
      </c>
      <c r="AR11" s="85">
        <f t="shared" ref="AR11" si="41">AK11/AM11*100</f>
        <v>22.58064516129032</v>
      </c>
      <c r="AS11" s="85">
        <f t="shared" ref="AS11" si="42">AL11/AM11*100</f>
        <v>77.41935483870968</v>
      </c>
      <c r="AT11" s="61">
        <f t="shared" si="31"/>
        <v>0</v>
      </c>
      <c r="AU11" s="61">
        <f t="shared" ref="AU11" si="43">U11/AN11*100</f>
        <v>0</v>
      </c>
      <c r="AV11" s="61">
        <f t="shared" ref="AV11" si="44">X11/AN11*100</f>
        <v>0</v>
      </c>
      <c r="AW11" s="61">
        <f t="shared" ref="AW11" si="45">AA11/AN11*100</f>
        <v>0</v>
      </c>
      <c r="AX11" s="61">
        <f t="shared" ref="AX11" si="46">AD11/AN11*100</f>
        <v>90</v>
      </c>
      <c r="AY11" s="61">
        <f t="shared" ref="AY11" si="47">AG11/AN11*100</f>
        <v>10</v>
      </c>
      <c r="AZ11" s="61">
        <f t="shared" ref="AZ11" si="48">AJ11/AN11*100</f>
        <v>0</v>
      </c>
    </row>
    <row r="12" spans="1:52" s="238" customFormat="1" ht="20.25" customHeight="1">
      <c r="A12" s="255" t="s">
        <v>139</v>
      </c>
      <c r="B12" s="202" t="s">
        <v>154</v>
      </c>
      <c r="C12" s="254">
        <v>1195</v>
      </c>
      <c r="D12" s="177">
        <v>45744</v>
      </c>
      <c r="E12" s="177">
        <v>45777</v>
      </c>
      <c r="F12" s="254">
        <v>481</v>
      </c>
      <c r="G12" s="254">
        <v>0</v>
      </c>
      <c r="H12" s="256">
        <f t="shared" si="38"/>
        <v>481</v>
      </c>
      <c r="I12" s="254">
        <v>0</v>
      </c>
      <c r="J12" s="254">
        <v>0</v>
      </c>
      <c r="K12" s="256">
        <f>J12+H12+I12</f>
        <v>481</v>
      </c>
      <c r="L12" s="254">
        <v>0</v>
      </c>
      <c r="M12" s="254">
        <v>0</v>
      </c>
      <c r="N12" s="254">
        <v>481</v>
      </c>
      <c r="O12" s="254">
        <v>14</v>
      </c>
      <c r="P12" s="254">
        <v>0</v>
      </c>
      <c r="Q12" s="254">
        <v>25</v>
      </c>
      <c r="R12" s="254">
        <v>0</v>
      </c>
      <c r="S12" s="254">
        <v>4</v>
      </c>
      <c r="T12" s="254">
        <v>116</v>
      </c>
      <c r="U12" s="254">
        <v>4</v>
      </c>
      <c r="V12" s="254">
        <v>23</v>
      </c>
      <c r="W12" s="254">
        <v>51</v>
      </c>
      <c r="X12" s="254">
        <v>1</v>
      </c>
      <c r="Y12" s="254">
        <v>0</v>
      </c>
      <c r="Z12" s="254">
        <v>9</v>
      </c>
      <c r="AA12" s="254">
        <v>0</v>
      </c>
      <c r="AB12" s="254">
        <v>53</v>
      </c>
      <c r="AC12" s="254">
        <v>69</v>
      </c>
      <c r="AD12" s="254">
        <v>12</v>
      </c>
      <c r="AE12" s="254">
        <v>151</v>
      </c>
      <c r="AF12" s="254">
        <v>256</v>
      </c>
      <c r="AG12" s="254">
        <v>7</v>
      </c>
      <c r="AH12" s="254">
        <v>0</v>
      </c>
      <c r="AI12" s="254">
        <v>0</v>
      </c>
      <c r="AJ12" s="254">
        <v>0</v>
      </c>
      <c r="AK12" s="256">
        <f t="shared" ref="AK12" si="49">P12+S12+V12+Y12+AB12+AE12+AH12</f>
        <v>231</v>
      </c>
      <c r="AL12" s="256">
        <f t="shared" ref="AL12" si="50">Q12+T12+W12+Z12+AC12+AF12+AI12</f>
        <v>526</v>
      </c>
      <c r="AM12" s="256">
        <f t="shared" ref="AM12" si="51">AK12+AL12</f>
        <v>757</v>
      </c>
      <c r="AN12" s="256">
        <f t="shared" ref="AN12" si="52">R12+U12+X12+AA12+AD12+AG12+AJ12</f>
        <v>24</v>
      </c>
      <c r="AO12" s="81">
        <f t="shared" ref="AO12" si="53">O12/H12*100</f>
        <v>2.9106029106029108</v>
      </c>
      <c r="AP12" s="81">
        <f t="shared" ref="AP12" si="54">AN12/H12*100</f>
        <v>4.9896049896049899</v>
      </c>
      <c r="AQ12" s="81">
        <f>AN12/AM12*100</f>
        <v>3.1704095112285335</v>
      </c>
      <c r="AR12" s="81">
        <f>AK12/AM12*100</f>
        <v>30.515191545574638</v>
      </c>
      <c r="AS12" s="81">
        <f>AL12/AM12*100</f>
        <v>69.484808454425362</v>
      </c>
      <c r="AT12" s="131">
        <f t="shared" ref="AT12" si="55">R12/AN12*100</f>
        <v>0</v>
      </c>
      <c r="AU12" s="131">
        <f>U12/AN12*100</f>
        <v>16.666666666666664</v>
      </c>
      <c r="AV12" s="131">
        <f>X12/AN12*100</f>
        <v>4.1666666666666661</v>
      </c>
      <c r="AW12" s="131">
        <f>AA12/AN12*100</f>
        <v>0</v>
      </c>
      <c r="AX12" s="131">
        <f>AD12/AN12*100</f>
        <v>50</v>
      </c>
      <c r="AY12" s="131">
        <f>AG12/AN12*100</f>
        <v>29.166666666666668</v>
      </c>
      <c r="AZ12" s="131">
        <f>AJ12/AN12*100</f>
        <v>0</v>
      </c>
    </row>
    <row r="13" spans="1:52" s="3" customFormat="1" ht="20.25" customHeight="1">
      <c r="A13" s="83" t="s">
        <v>254</v>
      </c>
      <c r="B13" s="83">
        <f>COUNTA(B10:B12)</f>
        <v>3</v>
      </c>
      <c r="C13" s="83">
        <f>SUM(C12:C12)</f>
        <v>1195</v>
      </c>
      <c r="D13" s="84">
        <f>MIN(D12:D12)</f>
        <v>45744</v>
      </c>
      <c r="E13" s="84">
        <f>MAX(E12:E12)</f>
        <v>45777</v>
      </c>
      <c r="F13" s="83">
        <f>SUM(F12:F12)</f>
        <v>481</v>
      </c>
      <c r="G13" s="83">
        <f>SUM(G12:G12)</f>
        <v>0</v>
      </c>
      <c r="H13" s="83">
        <f t="shared" ref="H13" si="56">F13+G13</f>
        <v>481</v>
      </c>
      <c r="I13" s="83">
        <f>SUM(I12:I12)</f>
        <v>0</v>
      </c>
      <c r="J13" s="83">
        <f>SUM(J12:J12)</f>
        <v>0</v>
      </c>
      <c r="K13" s="83">
        <f>H13+I13+J13</f>
        <v>481</v>
      </c>
      <c r="L13" s="83">
        <f t="shared" si="39"/>
        <v>0</v>
      </c>
      <c r="M13" s="83">
        <f t="shared" si="39"/>
        <v>0</v>
      </c>
      <c r="N13" s="83">
        <f t="shared" si="39"/>
        <v>481</v>
      </c>
      <c r="O13" s="83">
        <f t="shared" si="39"/>
        <v>14</v>
      </c>
      <c r="P13" s="83">
        <f t="shared" si="39"/>
        <v>0</v>
      </c>
      <c r="Q13" s="83">
        <f t="shared" si="39"/>
        <v>25</v>
      </c>
      <c r="R13" s="83">
        <f t="shared" si="39"/>
        <v>0</v>
      </c>
      <c r="S13" s="83">
        <f t="shared" si="39"/>
        <v>4</v>
      </c>
      <c r="T13" s="83">
        <f t="shared" si="39"/>
        <v>116</v>
      </c>
      <c r="U13" s="83">
        <f t="shared" si="39"/>
        <v>4</v>
      </c>
      <c r="V13" s="83">
        <f t="shared" si="39"/>
        <v>23</v>
      </c>
      <c r="W13" s="83">
        <f t="shared" si="39"/>
        <v>51</v>
      </c>
      <c r="X13" s="83">
        <f t="shared" si="39"/>
        <v>1</v>
      </c>
      <c r="Y13" s="83">
        <f t="shared" si="39"/>
        <v>0</v>
      </c>
      <c r="Z13" s="83">
        <f t="shared" si="39"/>
        <v>9</v>
      </c>
      <c r="AA13" s="83">
        <f t="shared" si="39"/>
        <v>0</v>
      </c>
      <c r="AB13" s="83">
        <f t="shared" si="39"/>
        <v>53</v>
      </c>
      <c r="AC13" s="83">
        <f t="shared" si="39"/>
        <v>69</v>
      </c>
      <c r="AD13" s="83">
        <f t="shared" si="39"/>
        <v>12</v>
      </c>
      <c r="AE13" s="83">
        <f t="shared" si="39"/>
        <v>151</v>
      </c>
      <c r="AF13" s="83">
        <f t="shared" si="39"/>
        <v>256</v>
      </c>
      <c r="AG13" s="83">
        <f t="shared" si="39"/>
        <v>7</v>
      </c>
      <c r="AH13" s="83">
        <f t="shared" si="39"/>
        <v>0</v>
      </c>
      <c r="AI13" s="83">
        <f t="shared" si="39"/>
        <v>0</v>
      </c>
      <c r="AJ13" s="83">
        <f t="shared" si="39"/>
        <v>0</v>
      </c>
      <c r="AK13" s="83">
        <f t="shared" ref="AK13:AK14" si="57">P13+S13+V13+Y13+AB13+AE13+AH13</f>
        <v>231</v>
      </c>
      <c r="AL13" s="83">
        <f t="shared" ref="AL13:AL14" si="58">Q13+T13+W13+Z13+AC13+AF13+AI13</f>
        <v>526</v>
      </c>
      <c r="AM13" s="83">
        <f t="shared" ref="AM13:AM14" si="59">AK13+AL13</f>
        <v>757</v>
      </c>
      <c r="AN13" s="83">
        <f t="shared" ref="AN13:AN14" si="60">R13+U13+X13+AA13+AD13+AG13+AJ13</f>
        <v>24</v>
      </c>
      <c r="AO13" s="85">
        <f t="shared" ref="AO13:AO14" si="61">O13/H13*100</f>
        <v>2.9106029106029108</v>
      </c>
      <c r="AP13" s="85">
        <f t="shared" ref="AP13:AP14" si="62">AN13/H13*100</f>
        <v>4.9896049896049899</v>
      </c>
      <c r="AQ13" s="85">
        <f t="shared" ref="AQ13" si="63">AN13/AM13*100</f>
        <v>3.1704095112285335</v>
      </c>
      <c r="AR13" s="85">
        <f t="shared" ref="AR13" si="64">AK13/AM13*100</f>
        <v>30.515191545574638</v>
      </c>
      <c r="AS13" s="85">
        <f t="shared" ref="AS13" si="65">AL13/AM13*100</f>
        <v>69.484808454425362</v>
      </c>
      <c r="AT13" s="61">
        <f t="shared" ref="AT13:AT14" si="66">R13/AN13*100</f>
        <v>0</v>
      </c>
      <c r="AU13" s="61">
        <f t="shared" ref="AU13" si="67">U13/AN13*100</f>
        <v>16.666666666666664</v>
      </c>
      <c r="AV13" s="61">
        <f t="shared" ref="AV13" si="68">X13/AN13*100</f>
        <v>4.1666666666666661</v>
      </c>
      <c r="AW13" s="61">
        <f t="shared" ref="AW13" si="69">AA13/AN13*100</f>
        <v>0</v>
      </c>
      <c r="AX13" s="61">
        <f t="shared" ref="AX13" si="70">AD13/AN13*100</f>
        <v>50</v>
      </c>
      <c r="AY13" s="61">
        <f t="shared" ref="AY13" si="71">AG13/AN13*100</f>
        <v>29.166666666666668</v>
      </c>
      <c r="AZ13" s="61">
        <f t="shared" ref="AZ13" si="72">AJ13/AN13*100</f>
        <v>0</v>
      </c>
    </row>
    <row r="14" spans="1:52" s="209" customFormat="1" ht="20.25" customHeight="1">
      <c r="A14" s="416" t="s">
        <v>139</v>
      </c>
      <c r="B14" s="296" t="s">
        <v>297</v>
      </c>
      <c r="C14" s="261">
        <v>382</v>
      </c>
      <c r="D14" s="177">
        <v>45965</v>
      </c>
      <c r="E14" s="177">
        <v>45968</v>
      </c>
      <c r="F14" s="261">
        <v>131</v>
      </c>
      <c r="G14" s="261">
        <v>0</v>
      </c>
      <c r="H14" s="298">
        <f t="shared" si="38"/>
        <v>131</v>
      </c>
      <c r="I14" s="261">
        <v>0</v>
      </c>
      <c r="J14" s="261">
        <v>0</v>
      </c>
      <c r="K14" s="298">
        <f>J14+H14+I14</f>
        <v>131</v>
      </c>
      <c r="L14" s="261">
        <v>0</v>
      </c>
      <c r="M14" s="261">
        <v>0</v>
      </c>
      <c r="N14" s="261">
        <v>131</v>
      </c>
      <c r="O14" s="261">
        <v>1</v>
      </c>
      <c r="P14" s="261">
        <v>0</v>
      </c>
      <c r="Q14" s="261">
        <v>3</v>
      </c>
      <c r="R14" s="261">
        <v>0</v>
      </c>
      <c r="S14" s="261">
        <v>4</v>
      </c>
      <c r="T14" s="261">
        <v>1</v>
      </c>
      <c r="U14" s="261">
        <v>0</v>
      </c>
      <c r="V14" s="261">
        <v>18</v>
      </c>
      <c r="W14" s="261">
        <v>24</v>
      </c>
      <c r="X14" s="261">
        <v>0</v>
      </c>
      <c r="Y14" s="261">
        <v>0</v>
      </c>
      <c r="Z14" s="261">
        <v>0</v>
      </c>
      <c r="AA14" s="261">
        <v>0</v>
      </c>
      <c r="AB14" s="261">
        <v>45</v>
      </c>
      <c r="AC14" s="261">
        <v>43</v>
      </c>
      <c r="AD14" s="261">
        <v>1</v>
      </c>
      <c r="AE14" s="261">
        <v>36</v>
      </c>
      <c r="AF14" s="261">
        <v>49</v>
      </c>
      <c r="AG14" s="261">
        <v>0</v>
      </c>
      <c r="AH14" s="261">
        <v>0</v>
      </c>
      <c r="AI14" s="261">
        <v>0</v>
      </c>
      <c r="AJ14" s="261">
        <v>0</v>
      </c>
      <c r="AK14" s="298">
        <f t="shared" si="57"/>
        <v>103</v>
      </c>
      <c r="AL14" s="298">
        <f t="shared" si="58"/>
        <v>120</v>
      </c>
      <c r="AM14" s="298">
        <f t="shared" si="59"/>
        <v>223</v>
      </c>
      <c r="AN14" s="298">
        <f t="shared" si="60"/>
        <v>1</v>
      </c>
      <c r="AO14" s="81">
        <f t="shared" si="61"/>
        <v>0.76335877862595414</v>
      </c>
      <c r="AP14" s="81">
        <f t="shared" si="62"/>
        <v>0.76335877862595414</v>
      </c>
      <c r="AQ14" s="81">
        <f>AN14/AM14*100</f>
        <v>0.44843049327354262</v>
      </c>
      <c r="AR14" s="81">
        <f>AK14/AM14*100</f>
        <v>46.188340807174889</v>
      </c>
      <c r="AS14" s="81">
        <f>AL14/AM14*100</f>
        <v>53.811659192825111</v>
      </c>
      <c r="AT14" s="131">
        <f t="shared" si="66"/>
        <v>0</v>
      </c>
      <c r="AU14" s="131">
        <f>U14/AN14*100</f>
        <v>0</v>
      </c>
      <c r="AV14" s="131">
        <f>X14/AN14*100</f>
        <v>0</v>
      </c>
      <c r="AW14" s="131">
        <f>AA14/AN14*100</f>
        <v>0</v>
      </c>
      <c r="AX14" s="131">
        <f>AD14/AN14*100</f>
        <v>100</v>
      </c>
      <c r="AY14" s="131">
        <f>AG14/AN14*100</f>
        <v>0</v>
      </c>
      <c r="AZ14" s="131">
        <f>AJ14/AN14*100</f>
        <v>0</v>
      </c>
    </row>
    <row r="15" spans="1:52" s="209" customFormat="1" ht="20.25" customHeight="1">
      <c r="A15" s="416"/>
      <c r="B15" s="202" t="s">
        <v>154</v>
      </c>
      <c r="C15" s="261">
        <v>493</v>
      </c>
      <c r="D15" s="177">
        <v>45968</v>
      </c>
      <c r="E15" s="177">
        <v>45975</v>
      </c>
      <c r="F15" s="261">
        <v>192</v>
      </c>
      <c r="G15" s="261">
        <v>0</v>
      </c>
      <c r="H15" s="298">
        <f t="shared" si="38"/>
        <v>192</v>
      </c>
      <c r="I15" s="261">
        <v>0</v>
      </c>
      <c r="J15" s="261">
        <v>0</v>
      </c>
      <c r="K15" s="298">
        <f t="shared" ref="K15:K20" si="73">J15+H15+I15</f>
        <v>192</v>
      </c>
      <c r="L15" s="261">
        <v>0</v>
      </c>
      <c r="M15" s="261">
        <v>0</v>
      </c>
      <c r="N15" s="261">
        <v>192</v>
      </c>
      <c r="O15" s="261">
        <v>2</v>
      </c>
      <c r="P15" s="261">
        <v>0</v>
      </c>
      <c r="Q15" s="261">
        <v>1</v>
      </c>
      <c r="R15" s="261">
        <v>0</v>
      </c>
      <c r="S15" s="261">
        <v>1</v>
      </c>
      <c r="T15" s="261">
        <v>9</v>
      </c>
      <c r="U15" s="261">
        <v>0</v>
      </c>
      <c r="V15" s="261">
        <v>17</v>
      </c>
      <c r="W15" s="261">
        <v>40</v>
      </c>
      <c r="X15" s="261">
        <v>0</v>
      </c>
      <c r="Y15" s="261">
        <v>0</v>
      </c>
      <c r="Z15" s="261">
        <v>0</v>
      </c>
      <c r="AA15" s="261">
        <v>0</v>
      </c>
      <c r="AB15" s="261">
        <v>16</v>
      </c>
      <c r="AC15" s="261">
        <v>34</v>
      </c>
      <c r="AD15" s="261">
        <v>3</v>
      </c>
      <c r="AE15" s="261">
        <v>27</v>
      </c>
      <c r="AF15" s="261">
        <v>51</v>
      </c>
      <c r="AG15" s="261">
        <v>1</v>
      </c>
      <c r="AH15" s="261">
        <v>0</v>
      </c>
      <c r="AI15" s="261">
        <v>0</v>
      </c>
      <c r="AJ15" s="261">
        <v>0</v>
      </c>
      <c r="AK15" s="298">
        <f t="shared" ref="AK15:AK16" si="74">P15+S15+V15+Y15+AB15+AE15+AH15</f>
        <v>61</v>
      </c>
      <c r="AL15" s="298">
        <f t="shared" ref="AL15:AL16" si="75">Q15+T15+W15+Z15+AC15+AF15+AI15</f>
        <v>135</v>
      </c>
      <c r="AM15" s="298">
        <f t="shared" ref="AM15:AM16" si="76">AK15+AL15</f>
        <v>196</v>
      </c>
      <c r="AN15" s="298">
        <f t="shared" ref="AN15:AN16" si="77">R15+U15+X15+AA15+AD15+AG15+AJ15</f>
        <v>4</v>
      </c>
      <c r="AO15" s="81">
        <f t="shared" ref="AO15:AO16" si="78">O15/H15*100</f>
        <v>1.0416666666666665</v>
      </c>
      <c r="AP15" s="81">
        <f t="shared" ref="AP15:AP16" si="79">AN15/H15*100</f>
        <v>2.083333333333333</v>
      </c>
      <c r="AQ15" s="81">
        <f t="shared" ref="AQ15:AQ16" si="80">AN15/AM15*100</f>
        <v>2.0408163265306123</v>
      </c>
      <c r="AR15" s="81">
        <f t="shared" ref="AR15:AR16" si="81">AK15/AM15*100</f>
        <v>31.122448979591837</v>
      </c>
      <c r="AS15" s="81">
        <f t="shared" ref="AS15:AS16" si="82">AL15/AM15*100</f>
        <v>68.877551020408163</v>
      </c>
      <c r="AT15" s="131">
        <f t="shared" ref="AT15:AT16" si="83">R15/AN15*100</f>
        <v>0</v>
      </c>
      <c r="AU15" s="131">
        <f t="shared" ref="AU15:AU16" si="84">U15/AN15*100</f>
        <v>0</v>
      </c>
      <c r="AV15" s="131">
        <f t="shared" ref="AV15:AV16" si="85">X15/AN15*100</f>
        <v>0</v>
      </c>
      <c r="AW15" s="131">
        <f t="shared" ref="AW15:AW16" si="86">AA15/AN15*100</f>
        <v>0</v>
      </c>
      <c r="AX15" s="131">
        <f t="shared" ref="AX15:AX16" si="87">AD15/AN15*100</f>
        <v>75</v>
      </c>
      <c r="AY15" s="131">
        <f t="shared" ref="AY15:AY16" si="88">AG15/AN15*100</f>
        <v>25</v>
      </c>
      <c r="AZ15" s="131">
        <f t="shared" ref="AZ15:AZ16" si="89">AJ15/AN15*100</f>
        <v>0</v>
      </c>
    </row>
    <row r="16" spans="1:52" s="209" customFormat="1" ht="20.25" customHeight="1">
      <c r="A16" s="417"/>
      <c r="B16" s="296" t="s">
        <v>205</v>
      </c>
      <c r="C16" s="261">
        <v>493</v>
      </c>
      <c r="D16" s="177">
        <v>45974</v>
      </c>
      <c r="E16" s="177">
        <v>45980</v>
      </c>
      <c r="F16" s="261">
        <v>169</v>
      </c>
      <c r="G16" s="261">
        <v>0</v>
      </c>
      <c r="H16" s="298">
        <f t="shared" si="38"/>
        <v>169</v>
      </c>
      <c r="I16" s="261">
        <v>0</v>
      </c>
      <c r="J16" s="261">
        <v>0</v>
      </c>
      <c r="K16" s="298">
        <f t="shared" si="73"/>
        <v>169</v>
      </c>
      <c r="L16" s="261">
        <v>0</v>
      </c>
      <c r="M16" s="261">
        <v>0</v>
      </c>
      <c r="N16" s="261">
        <v>169</v>
      </c>
      <c r="O16" s="261">
        <v>0</v>
      </c>
      <c r="P16" s="261">
        <v>0</v>
      </c>
      <c r="Q16" s="261">
        <v>0</v>
      </c>
      <c r="R16" s="261">
        <v>0</v>
      </c>
      <c r="S16" s="261">
        <v>2</v>
      </c>
      <c r="T16" s="261">
        <v>10</v>
      </c>
      <c r="U16" s="261">
        <v>0</v>
      </c>
      <c r="V16" s="261">
        <v>32</v>
      </c>
      <c r="W16" s="261">
        <v>47</v>
      </c>
      <c r="X16" s="261">
        <v>0</v>
      </c>
      <c r="Y16" s="261">
        <v>0</v>
      </c>
      <c r="Z16" s="261">
        <v>0</v>
      </c>
      <c r="AA16" s="261">
        <v>0</v>
      </c>
      <c r="AB16" s="261">
        <v>18</v>
      </c>
      <c r="AC16" s="261">
        <v>24</v>
      </c>
      <c r="AD16" s="261">
        <v>0</v>
      </c>
      <c r="AE16" s="261">
        <v>23</v>
      </c>
      <c r="AF16" s="261">
        <v>42</v>
      </c>
      <c r="AG16" s="261">
        <v>0</v>
      </c>
      <c r="AH16" s="261">
        <v>0</v>
      </c>
      <c r="AI16" s="261">
        <v>0</v>
      </c>
      <c r="AJ16" s="261">
        <v>0</v>
      </c>
      <c r="AK16" s="298">
        <f t="shared" si="74"/>
        <v>75</v>
      </c>
      <c r="AL16" s="298">
        <f t="shared" si="75"/>
        <v>123</v>
      </c>
      <c r="AM16" s="298">
        <f t="shared" si="76"/>
        <v>198</v>
      </c>
      <c r="AN16" s="298">
        <f t="shared" si="77"/>
        <v>0</v>
      </c>
      <c r="AO16" s="81">
        <f t="shared" si="78"/>
        <v>0</v>
      </c>
      <c r="AP16" s="81">
        <f t="shared" si="79"/>
        <v>0</v>
      </c>
      <c r="AQ16" s="81">
        <f t="shared" si="80"/>
        <v>0</v>
      </c>
      <c r="AR16" s="81">
        <f t="shared" si="81"/>
        <v>37.878787878787875</v>
      </c>
      <c r="AS16" s="81">
        <f t="shared" si="82"/>
        <v>62.121212121212125</v>
      </c>
      <c r="AT16" s="131" t="e">
        <f t="shared" si="83"/>
        <v>#DIV/0!</v>
      </c>
      <c r="AU16" s="131" t="e">
        <f t="shared" si="84"/>
        <v>#DIV/0!</v>
      </c>
      <c r="AV16" s="131" t="e">
        <f t="shared" si="85"/>
        <v>#DIV/0!</v>
      </c>
      <c r="AW16" s="131" t="e">
        <f t="shared" si="86"/>
        <v>#DIV/0!</v>
      </c>
      <c r="AX16" s="131" t="e">
        <f t="shared" si="87"/>
        <v>#DIV/0!</v>
      </c>
      <c r="AY16" s="131" t="e">
        <f t="shared" si="88"/>
        <v>#DIV/0!</v>
      </c>
      <c r="AZ16" s="131" t="e">
        <f t="shared" si="89"/>
        <v>#DIV/0!</v>
      </c>
    </row>
    <row r="17" spans="1:52" s="3" customFormat="1" ht="20.25" customHeight="1">
      <c r="A17" s="83" t="s">
        <v>295</v>
      </c>
      <c r="B17" s="83">
        <f>COUNTA(B14:B16)</f>
        <v>3</v>
      </c>
      <c r="C17" s="83">
        <f>SUM(C14:C16)</f>
        <v>1368</v>
      </c>
      <c r="D17" s="84">
        <f>MIN(D14:D16)</f>
        <v>45965</v>
      </c>
      <c r="E17" s="84">
        <f>MAX(E14:E16)</f>
        <v>45980</v>
      </c>
      <c r="F17" s="83">
        <f>SUM(F14:F16)</f>
        <v>492</v>
      </c>
      <c r="G17" s="83">
        <f t="shared" ref="G17:AJ17" si="90">SUM(G14:G16)</f>
        <v>0</v>
      </c>
      <c r="H17" s="83">
        <f t="shared" si="90"/>
        <v>492</v>
      </c>
      <c r="I17" s="83">
        <f t="shared" si="90"/>
        <v>0</v>
      </c>
      <c r="J17" s="83">
        <f t="shared" si="90"/>
        <v>0</v>
      </c>
      <c r="K17" s="83">
        <f t="shared" si="90"/>
        <v>492</v>
      </c>
      <c r="L17" s="83">
        <f t="shared" si="90"/>
        <v>0</v>
      </c>
      <c r="M17" s="83">
        <f t="shared" si="90"/>
        <v>0</v>
      </c>
      <c r="N17" s="83">
        <f t="shared" si="90"/>
        <v>492</v>
      </c>
      <c r="O17" s="83">
        <f t="shared" si="90"/>
        <v>3</v>
      </c>
      <c r="P17" s="83">
        <f t="shared" si="90"/>
        <v>0</v>
      </c>
      <c r="Q17" s="83">
        <f t="shared" si="90"/>
        <v>4</v>
      </c>
      <c r="R17" s="83">
        <f t="shared" si="90"/>
        <v>0</v>
      </c>
      <c r="S17" s="83">
        <f t="shared" si="90"/>
        <v>7</v>
      </c>
      <c r="T17" s="83">
        <f t="shared" si="90"/>
        <v>20</v>
      </c>
      <c r="U17" s="83">
        <f t="shared" si="90"/>
        <v>0</v>
      </c>
      <c r="V17" s="83">
        <f t="shared" si="90"/>
        <v>67</v>
      </c>
      <c r="W17" s="83">
        <f t="shared" si="90"/>
        <v>111</v>
      </c>
      <c r="X17" s="83">
        <f t="shared" si="90"/>
        <v>0</v>
      </c>
      <c r="Y17" s="83">
        <f t="shared" si="90"/>
        <v>0</v>
      </c>
      <c r="Z17" s="83">
        <f t="shared" si="90"/>
        <v>0</v>
      </c>
      <c r="AA17" s="83">
        <f t="shared" si="90"/>
        <v>0</v>
      </c>
      <c r="AB17" s="83">
        <f t="shared" si="90"/>
        <v>79</v>
      </c>
      <c r="AC17" s="83">
        <f t="shared" si="90"/>
        <v>101</v>
      </c>
      <c r="AD17" s="83">
        <f t="shared" si="90"/>
        <v>4</v>
      </c>
      <c r="AE17" s="83">
        <f t="shared" si="90"/>
        <v>86</v>
      </c>
      <c r="AF17" s="83">
        <f t="shared" si="90"/>
        <v>142</v>
      </c>
      <c r="AG17" s="83">
        <f t="shared" si="90"/>
        <v>1</v>
      </c>
      <c r="AH17" s="83">
        <f t="shared" si="90"/>
        <v>0</v>
      </c>
      <c r="AI17" s="83">
        <f t="shared" si="90"/>
        <v>0</v>
      </c>
      <c r="AJ17" s="83">
        <f t="shared" si="90"/>
        <v>0</v>
      </c>
      <c r="AK17" s="83">
        <f t="shared" ref="AK17:AK18" si="91">P17+S17+V17+Y17+AB17+AE17+AH17</f>
        <v>239</v>
      </c>
      <c r="AL17" s="83">
        <f t="shared" ref="AL17:AL18" si="92">Q17+T17+W17+Z17+AC17+AF17+AI17</f>
        <v>378</v>
      </c>
      <c r="AM17" s="83">
        <f t="shared" ref="AM17:AM18" si="93">AK17+AL17</f>
        <v>617</v>
      </c>
      <c r="AN17" s="83">
        <f t="shared" ref="AN17:AN18" si="94">R17+U17+X17+AA17+AD17+AG17+AJ17</f>
        <v>5</v>
      </c>
      <c r="AO17" s="85">
        <f t="shared" ref="AO17:AO18" si="95">O17/H17*100</f>
        <v>0.6097560975609756</v>
      </c>
      <c r="AP17" s="85">
        <f t="shared" ref="AP17:AP18" si="96">AN17/H17*100</f>
        <v>1.0162601626016259</v>
      </c>
      <c r="AQ17" s="85">
        <f t="shared" ref="AQ17:AQ18" si="97">AN17/AM17*100</f>
        <v>0.81037277147487841</v>
      </c>
      <c r="AR17" s="85">
        <f t="shared" ref="AR17:AR18" si="98">AK17/AM17*100</f>
        <v>38.73581847649919</v>
      </c>
      <c r="AS17" s="85">
        <f t="shared" ref="AS17:AS18" si="99">AL17/AM17*100</f>
        <v>61.264181523500817</v>
      </c>
      <c r="AT17" s="61">
        <f t="shared" ref="AT17:AT18" si="100">R17/AN17*100</f>
        <v>0</v>
      </c>
      <c r="AU17" s="61">
        <f t="shared" ref="AU17:AU18" si="101">U17/AN17*100</f>
        <v>0</v>
      </c>
      <c r="AV17" s="61">
        <f t="shared" ref="AV17:AV18" si="102">X17/AN17*100</f>
        <v>0</v>
      </c>
      <c r="AW17" s="61">
        <f t="shared" ref="AW17:AW18" si="103">AA17/AN17*100</f>
        <v>0</v>
      </c>
      <c r="AX17" s="61">
        <f t="shared" ref="AX17:AX18" si="104">AD17/AN17*100</f>
        <v>80</v>
      </c>
      <c r="AY17" s="61">
        <f t="shared" ref="AY17:AY18" si="105">AG17/AN17*100</f>
        <v>20</v>
      </c>
      <c r="AZ17" s="61">
        <f t="shared" ref="AZ17:AZ18" si="106">AJ17/AN17*100</f>
        <v>0</v>
      </c>
    </row>
    <row r="18" spans="1:52" s="209" customFormat="1" ht="20.25" customHeight="1">
      <c r="A18" s="416" t="s">
        <v>139</v>
      </c>
      <c r="B18" s="312" t="s">
        <v>297</v>
      </c>
      <c r="C18" s="313">
        <v>385</v>
      </c>
      <c r="D18" s="177">
        <v>45993</v>
      </c>
      <c r="E18" s="177">
        <v>45996</v>
      </c>
      <c r="F18" s="313">
        <v>131</v>
      </c>
      <c r="G18" s="313">
        <v>0</v>
      </c>
      <c r="H18" s="314">
        <f t="shared" si="38"/>
        <v>131</v>
      </c>
      <c r="I18" s="313">
        <v>0</v>
      </c>
      <c r="J18" s="313">
        <v>0</v>
      </c>
      <c r="K18" s="314">
        <f t="shared" si="73"/>
        <v>131</v>
      </c>
      <c r="L18" s="313">
        <v>0</v>
      </c>
      <c r="M18" s="313">
        <v>0</v>
      </c>
      <c r="N18" s="313">
        <v>131</v>
      </c>
      <c r="O18" s="313">
        <v>3</v>
      </c>
      <c r="P18" s="313">
        <v>0</v>
      </c>
      <c r="Q18" s="313">
        <v>0</v>
      </c>
      <c r="R18" s="313">
        <v>0</v>
      </c>
      <c r="S18" s="313">
        <v>2</v>
      </c>
      <c r="T18" s="313">
        <v>10</v>
      </c>
      <c r="U18" s="313">
        <v>0</v>
      </c>
      <c r="V18" s="313">
        <v>8</v>
      </c>
      <c r="W18" s="313">
        <v>31</v>
      </c>
      <c r="X18" s="313">
        <v>1</v>
      </c>
      <c r="Y18" s="313">
        <v>0</v>
      </c>
      <c r="Z18" s="313">
        <v>0</v>
      </c>
      <c r="AA18" s="313">
        <v>0</v>
      </c>
      <c r="AB18" s="313">
        <v>10</v>
      </c>
      <c r="AC18" s="313">
        <v>27</v>
      </c>
      <c r="AD18" s="313">
        <v>2</v>
      </c>
      <c r="AE18" s="313">
        <v>19</v>
      </c>
      <c r="AF18" s="313">
        <v>43</v>
      </c>
      <c r="AG18" s="313">
        <v>0</v>
      </c>
      <c r="AH18" s="313">
        <v>0</v>
      </c>
      <c r="AI18" s="313">
        <v>0</v>
      </c>
      <c r="AJ18" s="313">
        <v>0</v>
      </c>
      <c r="AK18" s="314">
        <f t="shared" si="91"/>
        <v>39</v>
      </c>
      <c r="AL18" s="314">
        <f t="shared" si="92"/>
        <v>111</v>
      </c>
      <c r="AM18" s="314">
        <f t="shared" si="93"/>
        <v>150</v>
      </c>
      <c r="AN18" s="314">
        <f t="shared" si="94"/>
        <v>3</v>
      </c>
      <c r="AO18" s="81">
        <f t="shared" si="95"/>
        <v>2.2900763358778624</v>
      </c>
      <c r="AP18" s="81">
        <f t="shared" si="96"/>
        <v>2.2900763358778624</v>
      </c>
      <c r="AQ18" s="81">
        <f t="shared" si="97"/>
        <v>2</v>
      </c>
      <c r="AR18" s="81">
        <f t="shared" si="98"/>
        <v>26</v>
      </c>
      <c r="AS18" s="81">
        <f t="shared" si="99"/>
        <v>74</v>
      </c>
      <c r="AT18" s="131">
        <f t="shared" si="100"/>
        <v>0</v>
      </c>
      <c r="AU18" s="131">
        <f t="shared" si="101"/>
        <v>0</v>
      </c>
      <c r="AV18" s="131">
        <f t="shared" si="102"/>
        <v>33.333333333333329</v>
      </c>
      <c r="AW18" s="131">
        <f t="shared" si="103"/>
        <v>0</v>
      </c>
      <c r="AX18" s="131">
        <f t="shared" si="104"/>
        <v>66.666666666666657</v>
      </c>
      <c r="AY18" s="131">
        <f t="shared" si="105"/>
        <v>0</v>
      </c>
      <c r="AZ18" s="131">
        <f t="shared" si="106"/>
        <v>0</v>
      </c>
    </row>
    <row r="19" spans="1:52" s="209" customFormat="1" ht="20.25" customHeight="1">
      <c r="A19" s="416"/>
      <c r="B19" s="202" t="s">
        <v>154</v>
      </c>
      <c r="C19" s="313">
        <v>647</v>
      </c>
      <c r="D19" s="177">
        <v>45996</v>
      </c>
      <c r="E19" s="177">
        <v>46007</v>
      </c>
      <c r="F19" s="313">
        <v>269</v>
      </c>
      <c r="G19" s="313">
        <v>0</v>
      </c>
      <c r="H19" s="314">
        <f t="shared" si="38"/>
        <v>269</v>
      </c>
      <c r="I19" s="313">
        <v>0</v>
      </c>
      <c r="J19" s="313">
        <v>0</v>
      </c>
      <c r="K19" s="314">
        <f t="shared" si="73"/>
        <v>269</v>
      </c>
      <c r="L19" s="313">
        <v>0</v>
      </c>
      <c r="M19" s="313">
        <v>0</v>
      </c>
      <c r="N19" s="313">
        <v>269</v>
      </c>
      <c r="O19" s="313">
        <v>5</v>
      </c>
      <c r="P19" s="313">
        <v>0</v>
      </c>
      <c r="Q19" s="313">
        <v>0</v>
      </c>
      <c r="R19" s="313">
        <v>0</v>
      </c>
      <c r="S19" s="313">
        <v>1</v>
      </c>
      <c r="T19" s="313">
        <v>10</v>
      </c>
      <c r="U19" s="313">
        <v>2</v>
      </c>
      <c r="V19" s="313">
        <v>43</v>
      </c>
      <c r="W19" s="313">
        <v>52</v>
      </c>
      <c r="X19" s="313">
        <v>0</v>
      </c>
      <c r="Y19" s="313">
        <v>0</v>
      </c>
      <c r="Z19" s="313">
        <v>0</v>
      </c>
      <c r="AA19" s="313">
        <v>0</v>
      </c>
      <c r="AB19" s="313">
        <v>77</v>
      </c>
      <c r="AC19" s="313">
        <v>89</v>
      </c>
      <c r="AD19" s="313">
        <v>0</v>
      </c>
      <c r="AE19" s="313">
        <v>65</v>
      </c>
      <c r="AF19" s="313">
        <v>75</v>
      </c>
      <c r="AG19" s="313">
        <v>3</v>
      </c>
      <c r="AH19" s="313">
        <v>0</v>
      </c>
      <c r="AI19" s="313">
        <v>0</v>
      </c>
      <c r="AJ19" s="313">
        <v>0</v>
      </c>
      <c r="AK19" s="314">
        <f t="shared" ref="AK19:AK20" si="107">P19+S19+V19+Y19+AB19+AE19+AH19</f>
        <v>186</v>
      </c>
      <c r="AL19" s="314">
        <f t="shared" ref="AL19:AL21" si="108">Q19+T19+W19+Z19+AC19+AF19+AI19</f>
        <v>226</v>
      </c>
      <c r="AM19" s="314">
        <f t="shared" ref="AM19:AM21" si="109">AK19+AL19</f>
        <v>412</v>
      </c>
      <c r="AN19" s="314">
        <f t="shared" ref="AN19:AN21" si="110">R19+U19+X19+AA19+AD19+AG19+AJ19</f>
        <v>5</v>
      </c>
      <c r="AO19" s="81">
        <f t="shared" ref="AO19:AO21" si="111">O19/H19*100</f>
        <v>1.8587360594795539</v>
      </c>
      <c r="AP19" s="81">
        <f t="shared" ref="AP19:AP21" si="112">AN19/H19*100</f>
        <v>1.8587360594795539</v>
      </c>
      <c r="AQ19" s="81">
        <f t="shared" ref="AQ19:AQ21" si="113">AN19/AM19*100</f>
        <v>1.2135922330097086</v>
      </c>
      <c r="AR19" s="81">
        <f t="shared" ref="AR19:AR21" si="114">AK19/AM19*100</f>
        <v>45.145631067961169</v>
      </c>
      <c r="AS19" s="81">
        <f t="shared" ref="AS19:AS21" si="115">AL19/AM19*100</f>
        <v>54.854368932038831</v>
      </c>
      <c r="AT19" s="131">
        <f t="shared" ref="AT19:AT21" si="116">R19/AN19*100</f>
        <v>0</v>
      </c>
      <c r="AU19" s="131">
        <f t="shared" ref="AU19:AU21" si="117">U19/AN19*100</f>
        <v>40</v>
      </c>
      <c r="AV19" s="131">
        <f t="shared" ref="AV19:AV21" si="118">X19/AN19*100</f>
        <v>0</v>
      </c>
      <c r="AW19" s="131">
        <f t="shared" ref="AW19:AW21" si="119">AA19/AN19*100</f>
        <v>0</v>
      </c>
      <c r="AX19" s="131">
        <f t="shared" ref="AX19:AX21" si="120">AD19/AN19*100</f>
        <v>0</v>
      </c>
      <c r="AY19" s="131">
        <f t="shared" ref="AY19:AY21" si="121">AG19/AN19*100</f>
        <v>60</v>
      </c>
      <c r="AZ19" s="131">
        <f t="shared" ref="AZ19:AZ21" si="122">AJ19/AN19*100</f>
        <v>0</v>
      </c>
    </row>
    <row r="20" spans="1:52" s="209" customFormat="1" ht="20.25" customHeight="1">
      <c r="A20" s="417"/>
      <c r="B20" s="312" t="s">
        <v>205</v>
      </c>
      <c r="C20" s="313">
        <v>669</v>
      </c>
      <c r="D20" s="177">
        <v>46007</v>
      </c>
      <c r="E20" s="177">
        <v>46015</v>
      </c>
      <c r="F20" s="313">
        <v>221</v>
      </c>
      <c r="G20" s="313">
        <v>0</v>
      </c>
      <c r="H20" s="314">
        <f t="shared" si="38"/>
        <v>221</v>
      </c>
      <c r="I20" s="313">
        <v>0</v>
      </c>
      <c r="J20" s="313">
        <v>0</v>
      </c>
      <c r="K20" s="314">
        <f t="shared" si="73"/>
        <v>221</v>
      </c>
      <c r="L20" s="313">
        <v>0</v>
      </c>
      <c r="M20" s="313">
        <v>0</v>
      </c>
      <c r="N20" s="313">
        <v>221</v>
      </c>
      <c r="O20" s="313">
        <v>2</v>
      </c>
      <c r="P20" s="313">
        <v>0</v>
      </c>
      <c r="Q20" s="313">
        <v>0</v>
      </c>
      <c r="R20" s="313">
        <v>0</v>
      </c>
      <c r="S20" s="313">
        <v>2</v>
      </c>
      <c r="T20" s="313">
        <v>7</v>
      </c>
      <c r="U20" s="313">
        <v>0</v>
      </c>
      <c r="V20" s="313">
        <v>34</v>
      </c>
      <c r="W20" s="313">
        <v>18</v>
      </c>
      <c r="X20" s="313">
        <v>0</v>
      </c>
      <c r="Y20" s="313">
        <v>0</v>
      </c>
      <c r="Z20" s="313">
        <v>0</v>
      </c>
      <c r="AA20" s="313">
        <v>0</v>
      </c>
      <c r="AB20" s="313">
        <v>14</v>
      </c>
      <c r="AC20" s="313">
        <v>29</v>
      </c>
      <c r="AD20" s="313">
        <v>0</v>
      </c>
      <c r="AE20" s="313">
        <v>79</v>
      </c>
      <c r="AF20" s="313">
        <v>86</v>
      </c>
      <c r="AG20" s="313">
        <v>2</v>
      </c>
      <c r="AH20" s="313">
        <v>0</v>
      </c>
      <c r="AI20" s="313">
        <v>0</v>
      </c>
      <c r="AJ20" s="313">
        <v>0</v>
      </c>
      <c r="AK20" s="314">
        <f t="shared" si="107"/>
        <v>129</v>
      </c>
      <c r="AL20" s="314">
        <f t="shared" si="108"/>
        <v>140</v>
      </c>
      <c r="AM20" s="314">
        <f t="shared" si="109"/>
        <v>269</v>
      </c>
      <c r="AN20" s="314">
        <f t="shared" si="110"/>
        <v>2</v>
      </c>
      <c r="AO20" s="81">
        <f t="shared" si="111"/>
        <v>0.90497737556561098</v>
      </c>
      <c r="AP20" s="81">
        <f t="shared" si="112"/>
        <v>0.90497737556561098</v>
      </c>
      <c r="AQ20" s="81">
        <f t="shared" si="113"/>
        <v>0.74349442379182151</v>
      </c>
      <c r="AR20" s="81">
        <f t="shared" si="114"/>
        <v>47.955390334572492</v>
      </c>
      <c r="AS20" s="81">
        <f t="shared" si="115"/>
        <v>52.044609665427508</v>
      </c>
      <c r="AT20" s="131">
        <f>R20/AN20*100</f>
        <v>0</v>
      </c>
      <c r="AU20" s="131">
        <f t="shared" si="117"/>
        <v>0</v>
      </c>
      <c r="AV20" s="131">
        <f t="shared" si="118"/>
        <v>0</v>
      </c>
      <c r="AW20" s="131">
        <f t="shared" si="119"/>
        <v>0</v>
      </c>
      <c r="AX20" s="131">
        <f t="shared" si="120"/>
        <v>0</v>
      </c>
      <c r="AY20" s="131">
        <f t="shared" si="121"/>
        <v>100</v>
      </c>
      <c r="AZ20" s="131">
        <f t="shared" si="122"/>
        <v>0</v>
      </c>
    </row>
    <row r="21" spans="1:52" s="3" customFormat="1" ht="20.25" customHeight="1">
      <c r="A21" s="83" t="s">
        <v>305</v>
      </c>
      <c r="B21" s="83">
        <f>COUNTA(B18:B20)</f>
        <v>3</v>
      </c>
      <c r="C21" s="83">
        <f>SUM(C18:C20)</f>
        <v>1701</v>
      </c>
      <c r="D21" s="84">
        <f>MIN(D18:D20)</f>
        <v>45993</v>
      </c>
      <c r="E21" s="84">
        <f>MAX(E18:E20)</f>
        <v>46015</v>
      </c>
      <c r="F21" s="83">
        <f>SUM(F18:F20)</f>
        <v>621</v>
      </c>
      <c r="G21" s="83">
        <f t="shared" ref="G21:AJ21" si="123">SUM(G18:G20)</f>
        <v>0</v>
      </c>
      <c r="H21" s="83">
        <f t="shared" si="123"/>
        <v>621</v>
      </c>
      <c r="I21" s="83">
        <f t="shared" si="123"/>
        <v>0</v>
      </c>
      <c r="J21" s="83">
        <f t="shared" si="123"/>
        <v>0</v>
      </c>
      <c r="K21" s="83">
        <f t="shared" si="123"/>
        <v>621</v>
      </c>
      <c r="L21" s="83">
        <f t="shared" si="123"/>
        <v>0</v>
      </c>
      <c r="M21" s="83">
        <f t="shared" si="123"/>
        <v>0</v>
      </c>
      <c r="N21" s="83">
        <f t="shared" si="123"/>
        <v>621</v>
      </c>
      <c r="O21" s="83">
        <f t="shared" si="123"/>
        <v>10</v>
      </c>
      <c r="P21" s="83">
        <f t="shared" si="123"/>
        <v>0</v>
      </c>
      <c r="Q21" s="83">
        <f t="shared" si="123"/>
        <v>0</v>
      </c>
      <c r="R21" s="83">
        <f t="shared" si="123"/>
        <v>0</v>
      </c>
      <c r="S21" s="83">
        <f t="shared" si="123"/>
        <v>5</v>
      </c>
      <c r="T21" s="83">
        <f t="shared" si="123"/>
        <v>27</v>
      </c>
      <c r="U21" s="83">
        <f t="shared" si="123"/>
        <v>2</v>
      </c>
      <c r="V21" s="83">
        <f t="shared" si="123"/>
        <v>85</v>
      </c>
      <c r="W21" s="83">
        <f t="shared" si="123"/>
        <v>101</v>
      </c>
      <c r="X21" s="83">
        <f t="shared" si="123"/>
        <v>1</v>
      </c>
      <c r="Y21" s="83">
        <f t="shared" si="123"/>
        <v>0</v>
      </c>
      <c r="Z21" s="83">
        <f t="shared" si="123"/>
        <v>0</v>
      </c>
      <c r="AA21" s="83">
        <f t="shared" si="123"/>
        <v>0</v>
      </c>
      <c r="AB21" s="83">
        <f t="shared" si="123"/>
        <v>101</v>
      </c>
      <c r="AC21" s="83">
        <f t="shared" si="123"/>
        <v>145</v>
      </c>
      <c r="AD21" s="83">
        <f t="shared" si="123"/>
        <v>2</v>
      </c>
      <c r="AE21" s="83">
        <f t="shared" si="123"/>
        <v>163</v>
      </c>
      <c r="AF21" s="83">
        <f t="shared" si="123"/>
        <v>204</v>
      </c>
      <c r="AG21" s="83">
        <f t="shared" si="123"/>
        <v>5</v>
      </c>
      <c r="AH21" s="83">
        <f t="shared" si="123"/>
        <v>0</v>
      </c>
      <c r="AI21" s="83">
        <f t="shared" si="123"/>
        <v>0</v>
      </c>
      <c r="AJ21" s="83">
        <f t="shared" si="123"/>
        <v>0</v>
      </c>
      <c r="AK21" s="83">
        <f>P21+S21+V21+Y21+AB21+AE21+AH21</f>
        <v>354</v>
      </c>
      <c r="AL21" s="83">
        <f t="shared" si="108"/>
        <v>477</v>
      </c>
      <c r="AM21" s="83">
        <f t="shared" si="109"/>
        <v>831</v>
      </c>
      <c r="AN21" s="83">
        <f t="shared" si="110"/>
        <v>10</v>
      </c>
      <c r="AO21" s="85">
        <f t="shared" si="111"/>
        <v>1.6103059581320449</v>
      </c>
      <c r="AP21" s="85">
        <f t="shared" si="112"/>
        <v>1.6103059581320449</v>
      </c>
      <c r="AQ21" s="85">
        <f t="shared" si="113"/>
        <v>1.2033694344163659</v>
      </c>
      <c r="AR21" s="85">
        <f t="shared" si="114"/>
        <v>42.599277978339352</v>
      </c>
      <c r="AS21" s="85">
        <f t="shared" si="115"/>
        <v>57.400722021660656</v>
      </c>
      <c r="AT21" s="61">
        <f t="shared" si="116"/>
        <v>0</v>
      </c>
      <c r="AU21" s="61">
        <f t="shared" si="117"/>
        <v>20</v>
      </c>
      <c r="AV21" s="61">
        <f t="shared" si="118"/>
        <v>10</v>
      </c>
      <c r="AW21" s="61">
        <f t="shared" si="119"/>
        <v>0</v>
      </c>
      <c r="AX21" s="61">
        <f t="shared" si="120"/>
        <v>20</v>
      </c>
      <c r="AY21" s="61">
        <f t="shared" si="121"/>
        <v>50</v>
      </c>
      <c r="AZ21" s="61">
        <f t="shared" si="122"/>
        <v>0</v>
      </c>
    </row>
    <row r="22" spans="1:52" s="63" customFormat="1" ht="20.25" customHeight="1">
      <c r="A22" s="83" t="s">
        <v>38</v>
      </c>
      <c r="B22" s="87">
        <f>B7+B9+B11+B13+B17+B21</f>
        <v>14</v>
      </c>
      <c r="C22" s="87">
        <f>C7+C9+C11+C13+C17+C21</f>
        <v>6680</v>
      </c>
      <c r="D22" s="84">
        <f>MIN(D6:D13)</f>
        <v>45663</v>
      </c>
      <c r="E22" s="84">
        <f>MAX(E6:E21)</f>
        <v>46015</v>
      </c>
      <c r="F22" s="87">
        <f>F7+F9+F11+F13+F17+F21</f>
        <v>2538</v>
      </c>
      <c r="G22" s="87">
        <f t="shared" ref="G22:AJ22" si="124">G7+G9+G11+G13+G17+G21</f>
        <v>0</v>
      </c>
      <c r="H22" s="87">
        <f t="shared" si="124"/>
        <v>2538</v>
      </c>
      <c r="I22" s="87">
        <f t="shared" si="124"/>
        <v>69</v>
      </c>
      <c r="J22" s="87">
        <f t="shared" si="124"/>
        <v>0</v>
      </c>
      <c r="K22" s="87">
        <f t="shared" si="124"/>
        <v>2607</v>
      </c>
      <c r="L22" s="87">
        <f t="shared" si="124"/>
        <v>10</v>
      </c>
      <c r="M22" s="87">
        <f t="shared" si="124"/>
        <v>0</v>
      </c>
      <c r="N22" s="87">
        <f t="shared" si="124"/>
        <v>2409</v>
      </c>
      <c r="O22" s="87">
        <f t="shared" si="124"/>
        <v>41</v>
      </c>
      <c r="P22" s="87">
        <f t="shared" si="124"/>
        <v>0</v>
      </c>
      <c r="Q22" s="87">
        <f t="shared" si="124"/>
        <v>39</v>
      </c>
      <c r="R22" s="87">
        <f t="shared" si="124"/>
        <v>0</v>
      </c>
      <c r="S22" s="87">
        <f t="shared" si="124"/>
        <v>23</v>
      </c>
      <c r="T22" s="87">
        <f t="shared" si="124"/>
        <v>262</v>
      </c>
      <c r="U22" s="87">
        <f t="shared" si="124"/>
        <v>6</v>
      </c>
      <c r="V22" s="87">
        <f t="shared" si="124"/>
        <v>285</v>
      </c>
      <c r="W22" s="87">
        <f t="shared" si="124"/>
        <v>436</v>
      </c>
      <c r="X22" s="87">
        <f t="shared" si="124"/>
        <v>2</v>
      </c>
      <c r="Y22" s="87">
        <f t="shared" si="124"/>
        <v>0</v>
      </c>
      <c r="Z22" s="87">
        <f t="shared" si="124"/>
        <v>9</v>
      </c>
      <c r="AA22" s="87">
        <f t="shared" si="124"/>
        <v>0</v>
      </c>
      <c r="AB22" s="87">
        <f t="shared" si="124"/>
        <v>273</v>
      </c>
      <c r="AC22" s="87">
        <f t="shared" si="124"/>
        <v>469</v>
      </c>
      <c r="AD22" s="87">
        <f t="shared" si="124"/>
        <v>38</v>
      </c>
      <c r="AE22" s="87">
        <f t="shared" si="124"/>
        <v>441</v>
      </c>
      <c r="AF22" s="87">
        <f t="shared" si="124"/>
        <v>829</v>
      </c>
      <c r="AG22" s="87">
        <f t="shared" si="124"/>
        <v>15</v>
      </c>
      <c r="AH22" s="87">
        <f t="shared" si="124"/>
        <v>3</v>
      </c>
      <c r="AI22" s="87">
        <f t="shared" si="124"/>
        <v>2</v>
      </c>
      <c r="AJ22" s="87">
        <f t="shared" si="124"/>
        <v>0</v>
      </c>
      <c r="AK22" s="87">
        <f>P22+S22+V22+Y22+AB22+AE22+AH22</f>
        <v>1025</v>
      </c>
      <c r="AL22" s="87">
        <f>Q22+T22+W22+Z22+AC22+AF22+AI22</f>
        <v>2046</v>
      </c>
      <c r="AM22" s="87">
        <f>AK22+AL22</f>
        <v>3071</v>
      </c>
      <c r="AN22" s="87">
        <f>R22+U22+X22+AA22+AD22+AG22+AJ22</f>
        <v>61</v>
      </c>
      <c r="AO22" s="190">
        <f>O22/H22*100</f>
        <v>1.615445232466509</v>
      </c>
      <c r="AP22" s="190">
        <f t="shared" ref="AP22" si="125">AN22/H22*100</f>
        <v>2.4034672970843185</v>
      </c>
      <c r="AQ22" s="190">
        <f t="shared" ref="AQ22" si="126">AN22/AM22*100</f>
        <v>1.9863236730706608</v>
      </c>
      <c r="AR22" s="85">
        <f t="shared" si="12"/>
        <v>33.376750244220119</v>
      </c>
      <c r="AS22" s="85">
        <f t="shared" si="13"/>
        <v>66.623249755779881</v>
      </c>
      <c r="AT22" s="85">
        <f t="shared" si="14"/>
        <v>0</v>
      </c>
      <c r="AU22" s="85">
        <f t="shared" si="15"/>
        <v>9.8360655737704921</v>
      </c>
      <c r="AV22" s="85">
        <f t="shared" si="16"/>
        <v>3.278688524590164</v>
      </c>
      <c r="AW22" s="85">
        <f t="shared" si="17"/>
        <v>0</v>
      </c>
      <c r="AX22" s="85">
        <f t="shared" si="18"/>
        <v>62.295081967213115</v>
      </c>
      <c r="AY22" s="85">
        <f t="shared" si="19"/>
        <v>24.590163934426229</v>
      </c>
      <c r="AZ22" s="85">
        <f t="shared" si="20"/>
        <v>0</v>
      </c>
    </row>
    <row r="23" spans="1:52" s="10" customFormat="1" ht="18">
      <c r="A23" s="9" t="s">
        <v>52</v>
      </c>
      <c r="C23" s="44"/>
      <c r="AO23" s="191"/>
      <c r="AP23" s="191"/>
      <c r="AQ23" s="191"/>
      <c r="AR23" s="47"/>
      <c r="AS23" s="47"/>
      <c r="AT23" s="47"/>
      <c r="AU23" s="47"/>
      <c r="AV23" s="47"/>
      <c r="AW23" s="47"/>
      <c r="AX23" s="47"/>
      <c r="AY23" s="47"/>
      <c r="AZ23" s="47"/>
    </row>
  </sheetData>
  <mergeCells count="49">
    <mergeCell ref="A18:A20"/>
    <mergeCell ref="A1:AP1"/>
    <mergeCell ref="A3:A5"/>
    <mergeCell ref="B3:B5"/>
    <mergeCell ref="C3:C5"/>
    <mergeCell ref="D3:E3"/>
    <mergeCell ref="F3:J3"/>
    <mergeCell ref="K3:K5"/>
    <mergeCell ref="L3:M3"/>
    <mergeCell ref="N3:O3"/>
    <mergeCell ref="P3:U3"/>
    <mergeCell ref="V3:X3"/>
    <mergeCell ref="Y3:AA3"/>
    <mergeCell ref="AB3:AG3"/>
    <mergeCell ref="V4:X4"/>
    <mergeCell ref="P4:R4"/>
    <mergeCell ref="AM4:AM5"/>
    <mergeCell ref="S4:U4"/>
    <mergeCell ref="O4:O5"/>
    <mergeCell ref="AT3:AZ3"/>
    <mergeCell ref="AZ4:AZ5"/>
    <mergeCell ref="AH3:AJ3"/>
    <mergeCell ref="AO3:AS3"/>
    <mergeCell ref="AY4:AY5"/>
    <mergeCell ref="AU4:AU5"/>
    <mergeCell ref="AV4:AV5"/>
    <mergeCell ref="AW4:AW5"/>
    <mergeCell ref="AX4:AX5"/>
    <mergeCell ref="AN4:AN5"/>
    <mergeCell ref="AR4:AS4"/>
    <mergeCell ref="AT4:AT5"/>
    <mergeCell ref="AO4:AQ4"/>
    <mergeCell ref="AK3:AN3"/>
    <mergeCell ref="A14:A16"/>
    <mergeCell ref="AE4:AG4"/>
    <mergeCell ref="AH4:AJ4"/>
    <mergeCell ref="AK4:AK5"/>
    <mergeCell ref="AL4:AL5"/>
    <mergeCell ref="D4:D5"/>
    <mergeCell ref="E4:E5"/>
    <mergeCell ref="F4:G4"/>
    <mergeCell ref="H4:H5"/>
    <mergeCell ref="I4:I5"/>
    <mergeCell ref="J4:J5"/>
    <mergeCell ref="L4:L5"/>
    <mergeCell ref="M4:M5"/>
    <mergeCell ref="N4:N5"/>
    <mergeCell ref="AB4:AD4"/>
    <mergeCell ref="Y4:AA4"/>
  </mergeCells>
  <pageMargins left="0.7" right="0.7" top="0.75" bottom="0.75" header="0.3" footer="0.3"/>
  <pageSetup paperSize="9" scale="95" orientation="portrait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Z23"/>
  <sheetViews>
    <sheetView zoomScale="90" zoomScaleNormal="90" workbookViewId="0">
      <pane xSplit="3" ySplit="5" topLeftCell="D24" activePane="bottomRight" state="frozen"/>
      <selection activeCell="C20" sqref="C20"/>
      <selection pane="topRight" activeCell="C20" sqref="C20"/>
      <selection pane="bottomLeft" activeCell="C20" sqref="C20"/>
      <selection pane="bottomRight" activeCell="AV30" sqref="AV30"/>
    </sheetView>
  </sheetViews>
  <sheetFormatPr baseColWidth="10" defaultRowHeight="12.75"/>
  <cols>
    <col min="1" max="1" width="22.5703125" customWidth="1"/>
    <col min="2" max="2" width="29.85546875" customWidth="1"/>
    <col min="3" max="3" width="10.85546875" style="43" customWidth="1"/>
    <col min="4" max="5" width="12.7109375" customWidth="1"/>
    <col min="6" max="7" width="9.140625" customWidth="1"/>
    <col min="8" max="8" width="8.42578125" customWidth="1"/>
    <col min="9" max="9" width="6.5703125" customWidth="1"/>
    <col min="10" max="10" width="7.28515625" customWidth="1"/>
    <col min="11" max="11" width="10" customWidth="1"/>
    <col min="12" max="12" width="8.42578125" customWidth="1"/>
    <col min="13" max="13" width="8.5703125" customWidth="1"/>
    <col min="14" max="14" width="8.7109375" customWidth="1"/>
    <col min="15" max="15" width="8.140625" customWidth="1"/>
    <col min="16" max="16" width="8.7109375" customWidth="1"/>
    <col min="17" max="17" width="9" customWidth="1"/>
    <col min="18" max="18" width="9.140625" customWidth="1"/>
    <col min="19" max="19" width="6.85546875" customWidth="1"/>
    <col min="20" max="22" width="5.5703125" customWidth="1"/>
    <col min="23" max="23" width="6.140625" customWidth="1"/>
    <col min="24" max="25" width="5.5703125" customWidth="1"/>
    <col min="26" max="26" width="6.140625" customWidth="1"/>
    <col min="27" max="29" width="5.5703125" customWidth="1"/>
    <col min="30" max="30" width="6.140625" customWidth="1"/>
    <col min="31" max="31" width="5.85546875" customWidth="1"/>
    <col min="32" max="32" width="6.28515625" customWidth="1"/>
    <col min="33" max="36" width="5.5703125" customWidth="1"/>
    <col min="37" max="40" width="8.42578125" customWidth="1"/>
    <col min="41" max="42" width="9.85546875" style="5" customWidth="1"/>
    <col min="43" max="43" width="11.140625" style="5" customWidth="1"/>
    <col min="44" max="45" width="9.7109375" style="46" customWidth="1"/>
    <col min="46" max="48" width="13.140625" style="72" customWidth="1"/>
    <col min="49" max="49" width="16.7109375" style="72" customWidth="1"/>
    <col min="50" max="52" width="13.140625" style="72" customWidth="1"/>
    <col min="53" max="53" width="13.140625" customWidth="1"/>
  </cols>
  <sheetData>
    <row r="1" spans="1:52" ht="44.25" customHeight="1">
      <c r="A1" s="326" t="s">
        <v>173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  <c r="AO1" s="326"/>
      <c r="AP1" s="326"/>
      <c r="AQ1" s="179"/>
      <c r="AR1" s="48"/>
      <c r="AS1" s="48"/>
    </row>
    <row r="2" spans="1:5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80"/>
      <c r="AP2" s="180"/>
      <c r="AQ2" s="180"/>
      <c r="AR2" s="49"/>
      <c r="AS2" s="49"/>
    </row>
    <row r="3" spans="1:52" s="11" customFormat="1" ht="51" customHeight="1">
      <c r="A3" s="327" t="s">
        <v>46</v>
      </c>
      <c r="B3" s="328" t="s">
        <v>47</v>
      </c>
      <c r="C3" s="329" t="s">
        <v>76</v>
      </c>
      <c r="D3" s="327" t="s">
        <v>0</v>
      </c>
      <c r="E3" s="327"/>
      <c r="F3" s="327" t="s">
        <v>4</v>
      </c>
      <c r="G3" s="327"/>
      <c r="H3" s="327"/>
      <c r="I3" s="327"/>
      <c r="J3" s="327"/>
      <c r="K3" s="332" t="s">
        <v>3</v>
      </c>
      <c r="L3" s="333" t="s">
        <v>8</v>
      </c>
      <c r="M3" s="333"/>
      <c r="N3" s="334" t="s">
        <v>71</v>
      </c>
      <c r="O3" s="334"/>
      <c r="P3" s="335" t="s">
        <v>60</v>
      </c>
      <c r="Q3" s="336"/>
      <c r="R3" s="336"/>
      <c r="S3" s="336"/>
      <c r="T3" s="336"/>
      <c r="U3" s="337"/>
      <c r="V3" s="335" t="s">
        <v>57</v>
      </c>
      <c r="W3" s="336"/>
      <c r="X3" s="337"/>
      <c r="Y3" s="335" t="s">
        <v>58</v>
      </c>
      <c r="Z3" s="336"/>
      <c r="AA3" s="337"/>
      <c r="AB3" s="348" t="s">
        <v>56</v>
      </c>
      <c r="AC3" s="349"/>
      <c r="AD3" s="349"/>
      <c r="AE3" s="349"/>
      <c r="AF3" s="349"/>
      <c r="AG3" s="350"/>
      <c r="AH3" s="335" t="s">
        <v>59</v>
      </c>
      <c r="AI3" s="336"/>
      <c r="AJ3" s="337"/>
      <c r="AK3" s="335" t="s">
        <v>2</v>
      </c>
      <c r="AL3" s="336"/>
      <c r="AM3" s="336"/>
      <c r="AN3" s="337"/>
      <c r="AO3" s="351" t="s">
        <v>90</v>
      </c>
      <c r="AP3" s="352"/>
      <c r="AQ3" s="352"/>
      <c r="AR3" s="352"/>
      <c r="AS3" s="353"/>
      <c r="AT3" s="344" t="s">
        <v>89</v>
      </c>
      <c r="AU3" s="344"/>
      <c r="AV3" s="344"/>
      <c r="AW3" s="344"/>
      <c r="AX3" s="344"/>
      <c r="AY3" s="344"/>
      <c r="AZ3" s="344"/>
    </row>
    <row r="4" spans="1:52" s="11" customFormat="1" ht="31.5" customHeight="1">
      <c r="A4" s="327"/>
      <c r="B4" s="328"/>
      <c r="C4" s="330"/>
      <c r="D4" s="327" t="s">
        <v>10</v>
      </c>
      <c r="E4" s="327" t="s">
        <v>9</v>
      </c>
      <c r="F4" s="345" t="s">
        <v>5</v>
      </c>
      <c r="G4" s="345"/>
      <c r="H4" s="346" t="s">
        <v>2</v>
      </c>
      <c r="I4" s="346" t="s">
        <v>13</v>
      </c>
      <c r="J4" s="346" t="s">
        <v>14</v>
      </c>
      <c r="K4" s="332"/>
      <c r="L4" s="347" t="s">
        <v>7</v>
      </c>
      <c r="M4" s="340" t="s">
        <v>6</v>
      </c>
      <c r="N4" s="347" t="s">
        <v>1</v>
      </c>
      <c r="O4" s="340" t="s">
        <v>6</v>
      </c>
      <c r="P4" s="335" t="s">
        <v>34</v>
      </c>
      <c r="Q4" s="336"/>
      <c r="R4" s="337"/>
      <c r="S4" s="341" t="s">
        <v>35</v>
      </c>
      <c r="T4" s="342"/>
      <c r="U4" s="343"/>
      <c r="V4" s="335" t="s">
        <v>31</v>
      </c>
      <c r="W4" s="336"/>
      <c r="X4" s="337"/>
      <c r="Y4" s="335" t="s">
        <v>32</v>
      </c>
      <c r="Z4" s="336"/>
      <c r="AA4" s="337"/>
      <c r="AB4" s="354" t="s">
        <v>36</v>
      </c>
      <c r="AC4" s="355"/>
      <c r="AD4" s="356"/>
      <c r="AE4" s="335" t="s">
        <v>37</v>
      </c>
      <c r="AF4" s="336"/>
      <c r="AG4" s="337"/>
      <c r="AH4" s="335" t="s">
        <v>33</v>
      </c>
      <c r="AI4" s="336"/>
      <c r="AJ4" s="337"/>
      <c r="AK4" s="357" t="s">
        <v>84</v>
      </c>
      <c r="AL4" s="357" t="s">
        <v>85</v>
      </c>
      <c r="AM4" s="357" t="s">
        <v>86</v>
      </c>
      <c r="AN4" s="338" t="s">
        <v>87</v>
      </c>
      <c r="AO4" s="360" t="s">
        <v>91</v>
      </c>
      <c r="AP4" s="361"/>
      <c r="AQ4" s="362"/>
      <c r="AR4" s="363" t="s">
        <v>92</v>
      </c>
      <c r="AS4" s="364"/>
      <c r="AT4" s="425" t="s">
        <v>97</v>
      </c>
      <c r="AU4" s="425" t="s">
        <v>88</v>
      </c>
      <c r="AV4" s="425" t="s">
        <v>80</v>
      </c>
      <c r="AW4" s="425" t="s">
        <v>81</v>
      </c>
      <c r="AX4" s="425" t="s">
        <v>294</v>
      </c>
      <c r="AY4" s="425" t="s">
        <v>82</v>
      </c>
      <c r="AZ4" s="425" t="s">
        <v>83</v>
      </c>
    </row>
    <row r="5" spans="1:52" s="11" customFormat="1" ht="48.75" customHeight="1">
      <c r="A5" s="327"/>
      <c r="B5" s="328"/>
      <c r="C5" s="331"/>
      <c r="D5" s="327"/>
      <c r="E5" s="327"/>
      <c r="F5" s="12" t="s">
        <v>11</v>
      </c>
      <c r="G5" s="12" t="s">
        <v>12</v>
      </c>
      <c r="H5" s="346"/>
      <c r="I5" s="346"/>
      <c r="J5" s="346"/>
      <c r="K5" s="332"/>
      <c r="L5" s="347"/>
      <c r="M5" s="340"/>
      <c r="N5" s="347"/>
      <c r="O5" s="340"/>
      <c r="P5" s="41" t="s">
        <v>77</v>
      </c>
      <c r="Q5" s="41" t="s">
        <v>78</v>
      </c>
      <c r="R5" s="45" t="s">
        <v>79</v>
      </c>
      <c r="S5" s="41" t="s">
        <v>77</v>
      </c>
      <c r="T5" s="41" t="s">
        <v>78</v>
      </c>
      <c r="U5" s="45" t="s">
        <v>79</v>
      </c>
      <c r="V5" s="41" t="s">
        <v>77</v>
      </c>
      <c r="W5" s="41" t="s">
        <v>78</v>
      </c>
      <c r="X5" s="45" t="s">
        <v>79</v>
      </c>
      <c r="Y5" s="41" t="s">
        <v>77</v>
      </c>
      <c r="Z5" s="41" t="s">
        <v>78</v>
      </c>
      <c r="AA5" s="45" t="s">
        <v>79</v>
      </c>
      <c r="AB5" s="41" t="s">
        <v>77</v>
      </c>
      <c r="AC5" s="41" t="s">
        <v>78</v>
      </c>
      <c r="AD5" s="45" t="s">
        <v>79</v>
      </c>
      <c r="AE5" s="41" t="s">
        <v>77</v>
      </c>
      <c r="AF5" s="41" t="s">
        <v>78</v>
      </c>
      <c r="AG5" s="45" t="s">
        <v>79</v>
      </c>
      <c r="AH5" s="41" t="s">
        <v>77</v>
      </c>
      <c r="AI5" s="41" t="s">
        <v>78</v>
      </c>
      <c r="AJ5" s="45" t="s">
        <v>79</v>
      </c>
      <c r="AK5" s="358"/>
      <c r="AL5" s="358"/>
      <c r="AM5" s="358"/>
      <c r="AN5" s="339"/>
      <c r="AO5" s="187" t="s">
        <v>93</v>
      </c>
      <c r="AP5" s="187" t="s">
        <v>94</v>
      </c>
      <c r="AQ5" s="187" t="s">
        <v>98</v>
      </c>
      <c r="AR5" s="50" t="s">
        <v>95</v>
      </c>
      <c r="AS5" s="50" t="s">
        <v>96</v>
      </c>
      <c r="AT5" s="425"/>
      <c r="AU5" s="425"/>
      <c r="AV5" s="425"/>
      <c r="AW5" s="425"/>
      <c r="AX5" s="425"/>
      <c r="AY5" s="425"/>
      <c r="AZ5" s="425"/>
    </row>
    <row r="6" spans="1:52" s="63" customFormat="1" ht="20.25" customHeight="1">
      <c r="A6" s="428" t="s">
        <v>212</v>
      </c>
      <c r="B6" s="42" t="s">
        <v>184</v>
      </c>
      <c r="C6" s="140">
        <v>604</v>
      </c>
      <c r="D6" s="103">
        <v>45692</v>
      </c>
      <c r="E6" s="103">
        <v>45706</v>
      </c>
      <c r="F6" s="140">
        <v>255</v>
      </c>
      <c r="G6" s="140">
        <v>0</v>
      </c>
      <c r="H6" s="38">
        <f>F6+G6</f>
        <v>255</v>
      </c>
      <c r="I6" s="38">
        <v>16</v>
      </c>
      <c r="J6" s="38">
        <v>0</v>
      </c>
      <c r="K6" s="38">
        <f>H6+I6+J6</f>
        <v>271</v>
      </c>
      <c r="L6" s="38">
        <v>0</v>
      </c>
      <c r="M6" s="140">
        <v>0</v>
      </c>
      <c r="N6" s="140">
        <v>0</v>
      </c>
      <c r="O6" s="140">
        <v>2</v>
      </c>
      <c r="P6" s="140">
        <v>0</v>
      </c>
      <c r="Q6" s="140">
        <v>1</v>
      </c>
      <c r="R6" s="140">
        <v>0</v>
      </c>
      <c r="S6" s="140">
        <v>3</v>
      </c>
      <c r="T6" s="140">
        <v>25</v>
      </c>
      <c r="U6" s="140">
        <v>1</v>
      </c>
      <c r="V6" s="140">
        <v>14</v>
      </c>
      <c r="W6" s="140">
        <v>22</v>
      </c>
      <c r="X6" s="140">
        <v>0</v>
      </c>
      <c r="Y6" s="140">
        <v>19</v>
      </c>
      <c r="Z6" s="140">
        <v>16</v>
      </c>
      <c r="AA6" s="140">
        <v>0</v>
      </c>
      <c r="AB6" s="140">
        <v>6</v>
      </c>
      <c r="AC6" s="140">
        <v>11</v>
      </c>
      <c r="AD6" s="140">
        <v>0</v>
      </c>
      <c r="AE6" s="140">
        <v>6</v>
      </c>
      <c r="AF6" s="140">
        <v>6</v>
      </c>
      <c r="AG6" s="140">
        <v>2</v>
      </c>
      <c r="AH6" s="140">
        <v>0</v>
      </c>
      <c r="AI6" s="140">
        <v>0</v>
      </c>
      <c r="AJ6" s="140">
        <v>0</v>
      </c>
      <c r="AK6" s="38">
        <f t="shared" ref="AK6:AL8" si="0">P6+S6+V6+Y6+AB6+AE6+AH6</f>
        <v>48</v>
      </c>
      <c r="AL6" s="38">
        <f t="shared" si="0"/>
        <v>81</v>
      </c>
      <c r="AM6" s="38">
        <f t="shared" ref="AM6:AM8" si="1">AK6+AL6</f>
        <v>129</v>
      </c>
      <c r="AN6" s="38">
        <f>R6+U6+X6+AA6+AD6+AG6+AJ6</f>
        <v>3</v>
      </c>
      <c r="AO6" s="189">
        <f t="shared" ref="AO6:AO22" si="2">O6/H6*100</f>
        <v>0.78431372549019607</v>
      </c>
      <c r="AP6" s="189">
        <f t="shared" ref="AP6:AP22" si="3">AN6/H6*100</f>
        <v>1.1764705882352942</v>
      </c>
      <c r="AQ6" s="189">
        <f t="shared" ref="AQ6:AQ22" si="4">AN6/AM6*100</f>
        <v>2.3255813953488373</v>
      </c>
      <c r="AR6" s="81">
        <f t="shared" ref="AR6:AR22" si="5">AK6/AM6*100</f>
        <v>37.209302325581397</v>
      </c>
      <c r="AS6" s="81">
        <f t="shared" ref="AS6:AS22" si="6">AL6/AM6*100</f>
        <v>62.790697674418603</v>
      </c>
      <c r="AT6" s="108">
        <f t="shared" ref="AT6:AT22" si="7">R6/AN6*100</f>
        <v>0</v>
      </c>
      <c r="AU6" s="108">
        <f t="shared" ref="AU6:AU22" si="8">U6/AN6*100</f>
        <v>33.333333333333329</v>
      </c>
      <c r="AV6" s="108">
        <f t="shared" ref="AV6:AV22" si="9">X6/AN6*100</f>
        <v>0</v>
      </c>
      <c r="AW6" s="108">
        <f t="shared" ref="AW6:AW22" si="10">AA6/AN6*100</f>
        <v>0</v>
      </c>
      <c r="AX6" s="108">
        <f t="shared" ref="AX6:AX22" si="11">AD6/AN6*100</f>
        <v>0</v>
      </c>
      <c r="AY6" s="108">
        <f t="shared" ref="AY6:AY22" si="12">AG6/AN6*100</f>
        <v>66.666666666666657</v>
      </c>
      <c r="AZ6" s="108">
        <f t="shared" ref="AZ6:AZ22" si="13">AJ6/AN6*100</f>
        <v>0</v>
      </c>
    </row>
    <row r="7" spans="1:52" s="63" customFormat="1" ht="20.25" customHeight="1">
      <c r="A7" s="428"/>
      <c r="B7" s="42" t="s">
        <v>185</v>
      </c>
      <c r="C7" s="140">
        <v>21</v>
      </c>
      <c r="D7" s="103">
        <v>45707</v>
      </c>
      <c r="E7" s="103">
        <v>45707</v>
      </c>
      <c r="F7" s="140">
        <v>13</v>
      </c>
      <c r="G7" s="140">
        <v>0</v>
      </c>
      <c r="H7" s="38">
        <f t="shared" ref="H7:H8" si="14">F7+G7</f>
        <v>13</v>
      </c>
      <c r="I7" s="140">
        <v>0</v>
      </c>
      <c r="J7" s="140">
        <v>0</v>
      </c>
      <c r="K7" s="38">
        <f t="shared" ref="K7:K8" si="15">H7+I7+J7</f>
        <v>13</v>
      </c>
      <c r="L7" s="38">
        <v>0</v>
      </c>
      <c r="M7" s="140">
        <v>0</v>
      </c>
      <c r="N7" s="140">
        <v>0</v>
      </c>
      <c r="O7" s="140">
        <v>0</v>
      </c>
      <c r="P7" s="140">
        <v>0</v>
      </c>
      <c r="Q7" s="140">
        <v>2</v>
      </c>
      <c r="R7" s="140">
        <v>0</v>
      </c>
      <c r="S7" s="140">
        <v>1</v>
      </c>
      <c r="T7" s="140">
        <v>2</v>
      </c>
      <c r="U7" s="140">
        <v>0</v>
      </c>
      <c r="V7" s="140">
        <v>1</v>
      </c>
      <c r="W7" s="140">
        <v>3</v>
      </c>
      <c r="X7" s="140">
        <v>0</v>
      </c>
      <c r="Y7" s="140">
        <v>2</v>
      </c>
      <c r="Z7" s="140">
        <v>0</v>
      </c>
      <c r="AA7" s="140">
        <v>0</v>
      </c>
      <c r="AB7" s="140">
        <v>0</v>
      </c>
      <c r="AC7" s="140">
        <v>0</v>
      </c>
      <c r="AD7" s="140">
        <v>0</v>
      </c>
      <c r="AE7" s="140">
        <v>0</v>
      </c>
      <c r="AF7" s="140">
        <v>0</v>
      </c>
      <c r="AG7" s="140">
        <v>0</v>
      </c>
      <c r="AH7" s="140">
        <v>0</v>
      </c>
      <c r="AI7" s="140">
        <v>0</v>
      </c>
      <c r="AJ7" s="140">
        <v>0</v>
      </c>
      <c r="AK7" s="38">
        <f t="shared" si="0"/>
        <v>4</v>
      </c>
      <c r="AL7" s="38">
        <f t="shared" si="0"/>
        <v>7</v>
      </c>
      <c r="AM7" s="38">
        <f t="shared" si="1"/>
        <v>11</v>
      </c>
      <c r="AN7" s="38">
        <f t="shared" ref="AN7:AN8" si="16">R7+U7+X7+AA7+AD7+AG7+AJ7</f>
        <v>0</v>
      </c>
      <c r="AO7" s="189">
        <f t="shared" si="2"/>
        <v>0</v>
      </c>
      <c r="AP7" s="189">
        <f t="shared" si="3"/>
        <v>0</v>
      </c>
      <c r="AQ7" s="189">
        <f t="shared" si="4"/>
        <v>0</v>
      </c>
      <c r="AR7" s="81">
        <f t="shared" si="5"/>
        <v>36.363636363636367</v>
      </c>
      <c r="AS7" s="81">
        <f t="shared" si="6"/>
        <v>63.636363636363633</v>
      </c>
      <c r="AT7" s="108" t="e">
        <f t="shared" si="7"/>
        <v>#DIV/0!</v>
      </c>
      <c r="AU7" s="108" t="e">
        <f t="shared" si="8"/>
        <v>#DIV/0!</v>
      </c>
      <c r="AV7" s="108" t="e">
        <f t="shared" si="9"/>
        <v>#DIV/0!</v>
      </c>
      <c r="AW7" s="108" t="e">
        <f t="shared" si="10"/>
        <v>#DIV/0!</v>
      </c>
      <c r="AX7" s="108" t="e">
        <f t="shared" si="11"/>
        <v>#DIV/0!</v>
      </c>
      <c r="AY7" s="108" t="e">
        <f t="shared" si="12"/>
        <v>#DIV/0!</v>
      </c>
      <c r="AZ7" s="108" t="e">
        <f t="shared" si="13"/>
        <v>#DIV/0!</v>
      </c>
    </row>
    <row r="8" spans="1:52" s="63" customFormat="1" ht="20.25" customHeight="1">
      <c r="A8" s="428"/>
      <c r="B8" s="42" t="s">
        <v>186</v>
      </c>
      <c r="C8" s="140">
        <v>80</v>
      </c>
      <c r="D8" s="103">
        <v>45708</v>
      </c>
      <c r="E8" s="103">
        <v>45709</v>
      </c>
      <c r="F8" s="140">
        <v>49</v>
      </c>
      <c r="G8" s="140">
        <v>0</v>
      </c>
      <c r="H8" s="38">
        <f t="shared" si="14"/>
        <v>49</v>
      </c>
      <c r="I8" s="140">
        <v>1</v>
      </c>
      <c r="J8" s="140">
        <v>0</v>
      </c>
      <c r="K8" s="38">
        <f t="shared" si="15"/>
        <v>50</v>
      </c>
      <c r="L8" s="38">
        <v>0</v>
      </c>
      <c r="M8" s="140">
        <v>0</v>
      </c>
      <c r="N8" s="140">
        <v>0</v>
      </c>
      <c r="O8" s="140">
        <v>0</v>
      </c>
      <c r="P8" s="140">
        <v>1</v>
      </c>
      <c r="Q8" s="140">
        <v>5</v>
      </c>
      <c r="R8" s="140">
        <v>0</v>
      </c>
      <c r="S8" s="140">
        <v>0</v>
      </c>
      <c r="T8" s="140">
        <v>2</v>
      </c>
      <c r="U8" s="140">
        <v>0</v>
      </c>
      <c r="V8" s="140">
        <v>0</v>
      </c>
      <c r="W8" s="140">
        <v>0</v>
      </c>
      <c r="X8" s="140">
        <v>0</v>
      </c>
      <c r="Y8" s="140">
        <v>9</v>
      </c>
      <c r="Z8" s="140">
        <v>3</v>
      </c>
      <c r="AA8" s="140">
        <v>0</v>
      </c>
      <c r="AB8" s="140">
        <v>0</v>
      </c>
      <c r="AC8" s="140">
        <v>0</v>
      </c>
      <c r="AD8" s="140">
        <v>0</v>
      </c>
      <c r="AE8" s="140">
        <v>0</v>
      </c>
      <c r="AF8" s="140">
        <v>0</v>
      </c>
      <c r="AG8" s="140">
        <v>0</v>
      </c>
      <c r="AH8" s="140">
        <v>0</v>
      </c>
      <c r="AI8" s="140">
        <v>0</v>
      </c>
      <c r="AJ8" s="140">
        <v>0</v>
      </c>
      <c r="AK8" s="38">
        <f t="shared" si="0"/>
        <v>10</v>
      </c>
      <c r="AL8" s="38">
        <f t="shared" si="0"/>
        <v>10</v>
      </c>
      <c r="AM8" s="38">
        <f t="shared" si="1"/>
        <v>20</v>
      </c>
      <c r="AN8" s="38">
        <f t="shared" si="16"/>
        <v>0</v>
      </c>
      <c r="AO8" s="189">
        <f t="shared" si="2"/>
        <v>0</v>
      </c>
      <c r="AP8" s="189">
        <f t="shared" si="3"/>
        <v>0</v>
      </c>
      <c r="AQ8" s="189">
        <f t="shared" si="4"/>
        <v>0</v>
      </c>
      <c r="AR8" s="81">
        <f t="shared" si="5"/>
        <v>50</v>
      </c>
      <c r="AS8" s="81">
        <f t="shared" si="6"/>
        <v>50</v>
      </c>
      <c r="AT8" s="108" t="e">
        <f t="shared" si="7"/>
        <v>#DIV/0!</v>
      </c>
      <c r="AU8" s="108" t="e">
        <f t="shared" si="8"/>
        <v>#DIV/0!</v>
      </c>
      <c r="AV8" s="108" t="e">
        <f t="shared" si="9"/>
        <v>#DIV/0!</v>
      </c>
      <c r="AW8" s="108" t="e">
        <f t="shared" si="10"/>
        <v>#DIV/0!</v>
      </c>
      <c r="AX8" s="108" t="e">
        <f t="shared" si="11"/>
        <v>#DIV/0!</v>
      </c>
      <c r="AY8" s="108" t="e">
        <f t="shared" si="12"/>
        <v>#DIV/0!</v>
      </c>
      <c r="AZ8" s="108" t="e">
        <f t="shared" si="13"/>
        <v>#DIV/0!</v>
      </c>
    </row>
    <row r="9" spans="1:52" s="40" customFormat="1" ht="20.25" customHeight="1">
      <c r="A9" s="83" t="s">
        <v>103</v>
      </c>
      <c r="B9" s="83">
        <f>COUNTA(B6:B8)</f>
        <v>3</v>
      </c>
      <c r="C9" s="83">
        <f>SUM(C6:C8)</f>
        <v>705</v>
      </c>
      <c r="D9" s="86">
        <f>MIN(D6:D8)</f>
        <v>45692</v>
      </c>
      <c r="E9" s="86">
        <f>MAX(E6:E8)</f>
        <v>45709</v>
      </c>
      <c r="F9" s="83">
        <f>SUM(F6:F8)</f>
        <v>317</v>
      </c>
      <c r="G9" s="83">
        <f t="shared" ref="G9:AJ9" si="17">SUM(G6:G8)</f>
        <v>0</v>
      </c>
      <c r="H9" s="83">
        <f t="shared" si="17"/>
        <v>317</v>
      </c>
      <c r="I9" s="83">
        <f t="shared" si="17"/>
        <v>17</v>
      </c>
      <c r="J9" s="83">
        <f t="shared" si="17"/>
        <v>0</v>
      </c>
      <c r="K9" s="83">
        <f t="shared" si="17"/>
        <v>334</v>
      </c>
      <c r="L9" s="83">
        <f t="shared" si="17"/>
        <v>0</v>
      </c>
      <c r="M9" s="83">
        <f>SUM(M6:M8)</f>
        <v>0</v>
      </c>
      <c r="N9" s="83">
        <f t="shared" si="17"/>
        <v>0</v>
      </c>
      <c r="O9" s="83">
        <f>SUM(O6:O8)</f>
        <v>2</v>
      </c>
      <c r="P9" s="83">
        <f t="shared" si="17"/>
        <v>1</v>
      </c>
      <c r="Q9" s="83">
        <f t="shared" si="17"/>
        <v>8</v>
      </c>
      <c r="R9" s="83">
        <f t="shared" si="17"/>
        <v>0</v>
      </c>
      <c r="S9" s="83">
        <f t="shared" si="17"/>
        <v>4</v>
      </c>
      <c r="T9" s="83">
        <f t="shared" si="17"/>
        <v>29</v>
      </c>
      <c r="U9" s="83">
        <f t="shared" si="17"/>
        <v>1</v>
      </c>
      <c r="V9" s="83">
        <f t="shared" si="17"/>
        <v>15</v>
      </c>
      <c r="W9" s="83">
        <f t="shared" si="17"/>
        <v>25</v>
      </c>
      <c r="X9" s="83">
        <f t="shared" si="17"/>
        <v>0</v>
      </c>
      <c r="Y9" s="83">
        <f t="shared" si="17"/>
        <v>30</v>
      </c>
      <c r="Z9" s="83">
        <f t="shared" si="17"/>
        <v>19</v>
      </c>
      <c r="AA9" s="83">
        <f t="shared" si="17"/>
        <v>0</v>
      </c>
      <c r="AB9" s="83">
        <f t="shared" si="17"/>
        <v>6</v>
      </c>
      <c r="AC9" s="83">
        <f t="shared" si="17"/>
        <v>11</v>
      </c>
      <c r="AD9" s="83">
        <f t="shared" si="17"/>
        <v>0</v>
      </c>
      <c r="AE9" s="83">
        <f t="shared" si="17"/>
        <v>6</v>
      </c>
      <c r="AF9" s="83">
        <f t="shared" si="17"/>
        <v>6</v>
      </c>
      <c r="AG9" s="83">
        <f t="shared" si="17"/>
        <v>2</v>
      </c>
      <c r="AH9" s="83">
        <f t="shared" si="17"/>
        <v>0</v>
      </c>
      <c r="AI9" s="83">
        <f t="shared" si="17"/>
        <v>0</v>
      </c>
      <c r="AJ9" s="83">
        <f t="shared" si="17"/>
        <v>0</v>
      </c>
      <c r="AK9" s="83">
        <f>P9+S9+V9+Y9+AB9+AE9+AH9</f>
        <v>62</v>
      </c>
      <c r="AL9" s="83">
        <f>Q9+T9+W9+Z9+AC9+AF9+AI9</f>
        <v>98</v>
      </c>
      <c r="AM9" s="83">
        <f>AK9+AL9</f>
        <v>160</v>
      </c>
      <c r="AN9" s="83">
        <f>R9+U9+X9+AA9+AD9+AG9+AJ9</f>
        <v>3</v>
      </c>
      <c r="AO9" s="190">
        <f t="shared" si="2"/>
        <v>0.63091482649842268</v>
      </c>
      <c r="AP9" s="190">
        <f t="shared" si="3"/>
        <v>0.94637223974763407</v>
      </c>
      <c r="AQ9" s="190">
        <f t="shared" si="4"/>
        <v>1.875</v>
      </c>
      <c r="AR9" s="85">
        <f t="shared" si="5"/>
        <v>38.75</v>
      </c>
      <c r="AS9" s="85">
        <f t="shared" si="6"/>
        <v>61.250000000000007</v>
      </c>
      <c r="AT9" s="85">
        <f t="shared" si="7"/>
        <v>0</v>
      </c>
      <c r="AU9" s="85">
        <f t="shared" si="8"/>
        <v>33.333333333333329</v>
      </c>
      <c r="AV9" s="85">
        <f t="shared" si="9"/>
        <v>0</v>
      </c>
      <c r="AW9" s="85">
        <f t="shared" si="10"/>
        <v>0</v>
      </c>
      <c r="AX9" s="85">
        <f t="shared" si="11"/>
        <v>0</v>
      </c>
      <c r="AY9" s="85">
        <f t="shared" si="12"/>
        <v>66.666666666666657</v>
      </c>
      <c r="AZ9" s="85">
        <f t="shared" si="13"/>
        <v>0</v>
      </c>
    </row>
    <row r="10" spans="1:52" s="63" customFormat="1" ht="20.25" customHeight="1">
      <c r="A10" s="415" t="s">
        <v>238</v>
      </c>
      <c r="B10" s="175" t="s">
        <v>239</v>
      </c>
      <c r="C10" s="120">
        <v>213</v>
      </c>
      <c r="D10" s="239">
        <v>45729</v>
      </c>
      <c r="E10" s="239">
        <v>45734</v>
      </c>
      <c r="F10" s="120">
        <v>89</v>
      </c>
      <c r="G10" s="120">
        <v>0</v>
      </c>
      <c r="H10" s="204">
        <f t="shared" ref="H10:H20" si="18">F10+G10</f>
        <v>89</v>
      </c>
      <c r="I10" s="120">
        <v>0</v>
      </c>
      <c r="J10" s="120">
        <v>0</v>
      </c>
      <c r="K10" s="204">
        <f t="shared" ref="K10:K20" si="19">H10+I10+J10</f>
        <v>89</v>
      </c>
      <c r="L10" s="120">
        <v>0</v>
      </c>
      <c r="M10" s="120">
        <v>0</v>
      </c>
      <c r="N10" s="120">
        <v>89</v>
      </c>
      <c r="O10" s="120">
        <v>3</v>
      </c>
      <c r="P10" s="120">
        <v>1</v>
      </c>
      <c r="Q10" s="120">
        <v>5</v>
      </c>
      <c r="R10" s="120">
        <v>0</v>
      </c>
      <c r="S10" s="120">
        <v>9</v>
      </c>
      <c r="T10" s="120">
        <v>29</v>
      </c>
      <c r="U10" s="120">
        <v>1</v>
      </c>
      <c r="V10" s="120">
        <v>0</v>
      </c>
      <c r="W10" s="120">
        <v>10</v>
      </c>
      <c r="X10" s="120">
        <v>0</v>
      </c>
      <c r="Y10" s="120">
        <v>10</v>
      </c>
      <c r="Z10" s="120">
        <v>0</v>
      </c>
      <c r="AA10" s="120">
        <v>0</v>
      </c>
      <c r="AB10" s="120">
        <v>0</v>
      </c>
      <c r="AC10" s="120">
        <v>10</v>
      </c>
      <c r="AD10" s="120">
        <v>2</v>
      </c>
      <c r="AE10" s="120">
        <v>4</v>
      </c>
      <c r="AF10" s="120">
        <v>8</v>
      </c>
      <c r="AG10" s="120">
        <v>0</v>
      </c>
      <c r="AH10" s="120">
        <v>0</v>
      </c>
      <c r="AI10" s="120">
        <v>0</v>
      </c>
      <c r="AJ10" s="120">
        <v>0</v>
      </c>
      <c r="AK10" s="204">
        <f t="shared" ref="AK10:AL14" si="20">P10+S10+V10+Y10+AB10+AE10+AH10</f>
        <v>24</v>
      </c>
      <c r="AL10" s="204">
        <f t="shared" si="20"/>
        <v>62</v>
      </c>
      <c r="AM10" s="204">
        <f t="shared" ref="AM10:AM14" si="21">AK10+AL10</f>
        <v>86</v>
      </c>
      <c r="AN10" s="204">
        <f t="shared" ref="AN10:AN14" si="22">R10+U10+X10+AA10+AD10+AG10+AJ10</f>
        <v>3</v>
      </c>
      <c r="AO10" s="189">
        <f t="shared" si="2"/>
        <v>3.3707865168539324</v>
      </c>
      <c r="AP10" s="189">
        <f t="shared" si="3"/>
        <v>3.3707865168539324</v>
      </c>
      <c r="AQ10" s="189">
        <f t="shared" si="4"/>
        <v>3.4883720930232558</v>
      </c>
      <c r="AR10" s="81">
        <f t="shared" si="5"/>
        <v>27.906976744186046</v>
      </c>
      <c r="AS10" s="81">
        <f t="shared" si="6"/>
        <v>72.093023255813947</v>
      </c>
      <c r="AT10" s="81">
        <f t="shared" si="7"/>
        <v>0</v>
      </c>
      <c r="AU10" s="81">
        <f t="shared" si="8"/>
        <v>33.333333333333329</v>
      </c>
      <c r="AV10" s="81">
        <f t="shared" si="9"/>
        <v>0</v>
      </c>
      <c r="AW10" s="81">
        <f t="shared" si="10"/>
        <v>0</v>
      </c>
      <c r="AX10" s="81">
        <f t="shared" si="11"/>
        <v>66.666666666666657</v>
      </c>
      <c r="AY10" s="81">
        <f t="shared" si="12"/>
        <v>0</v>
      </c>
      <c r="AZ10" s="81">
        <f t="shared" si="13"/>
        <v>0</v>
      </c>
    </row>
    <row r="11" spans="1:52" s="63" customFormat="1" ht="20.25" customHeight="1">
      <c r="A11" s="416"/>
      <c r="B11" s="175" t="s">
        <v>240</v>
      </c>
      <c r="C11" s="120">
        <v>98</v>
      </c>
      <c r="D11" s="239">
        <v>45735</v>
      </c>
      <c r="E11" s="239">
        <v>45737</v>
      </c>
      <c r="F11" s="120">
        <v>53</v>
      </c>
      <c r="G11" s="120">
        <v>0</v>
      </c>
      <c r="H11" s="204">
        <f t="shared" si="18"/>
        <v>53</v>
      </c>
      <c r="I11" s="120">
        <v>3</v>
      </c>
      <c r="J11" s="120">
        <v>0</v>
      </c>
      <c r="K11" s="204">
        <f t="shared" si="19"/>
        <v>56</v>
      </c>
      <c r="L11" s="120">
        <v>0</v>
      </c>
      <c r="M11" s="120">
        <v>0</v>
      </c>
      <c r="N11" s="120">
        <v>53</v>
      </c>
      <c r="O11" s="120">
        <v>0</v>
      </c>
      <c r="P11" s="120">
        <v>0</v>
      </c>
      <c r="Q11" s="120">
        <v>13</v>
      </c>
      <c r="R11" s="120">
        <v>0</v>
      </c>
      <c r="S11" s="120">
        <v>5</v>
      </c>
      <c r="T11" s="120">
        <v>15</v>
      </c>
      <c r="U11" s="120">
        <v>0</v>
      </c>
      <c r="V11" s="120">
        <v>0</v>
      </c>
      <c r="W11" s="120">
        <v>0</v>
      </c>
      <c r="X11" s="120">
        <v>0</v>
      </c>
      <c r="Y11" s="120">
        <v>4</v>
      </c>
      <c r="Z11" s="120">
        <v>4</v>
      </c>
      <c r="AA11" s="120">
        <v>0</v>
      </c>
      <c r="AB11" s="120">
        <v>0</v>
      </c>
      <c r="AC11" s="120">
        <v>0</v>
      </c>
      <c r="AD11" s="120">
        <v>0</v>
      </c>
      <c r="AE11" s="120">
        <v>0</v>
      </c>
      <c r="AF11" s="120">
        <v>0</v>
      </c>
      <c r="AG11" s="120">
        <v>0</v>
      </c>
      <c r="AH11" s="120">
        <v>2</v>
      </c>
      <c r="AI11" s="120">
        <v>0</v>
      </c>
      <c r="AJ11" s="120">
        <v>0</v>
      </c>
      <c r="AK11" s="204">
        <f t="shared" si="20"/>
        <v>11</v>
      </c>
      <c r="AL11" s="204">
        <f t="shared" si="20"/>
        <v>32</v>
      </c>
      <c r="AM11" s="204">
        <f t="shared" si="21"/>
        <v>43</v>
      </c>
      <c r="AN11" s="204">
        <f t="shared" si="22"/>
        <v>0</v>
      </c>
      <c r="AO11" s="189">
        <f t="shared" si="2"/>
        <v>0</v>
      </c>
      <c r="AP11" s="189">
        <f t="shared" si="3"/>
        <v>0</v>
      </c>
      <c r="AQ11" s="189">
        <f t="shared" si="4"/>
        <v>0</v>
      </c>
      <c r="AR11" s="81">
        <f t="shared" si="5"/>
        <v>25.581395348837212</v>
      </c>
      <c r="AS11" s="81">
        <f t="shared" si="6"/>
        <v>74.418604651162795</v>
      </c>
      <c r="AT11" s="81" t="e">
        <f t="shared" si="7"/>
        <v>#DIV/0!</v>
      </c>
      <c r="AU11" s="81" t="e">
        <f t="shared" si="8"/>
        <v>#DIV/0!</v>
      </c>
      <c r="AV11" s="81" t="e">
        <f t="shared" si="9"/>
        <v>#DIV/0!</v>
      </c>
      <c r="AW11" s="81" t="e">
        <f t="shared" si="10"/>
        <v>#DIV/0!</v>
      </c>
      <c r="AX11" s="81" t="e">
        <f t="shared" si="11"/>
        <v>#DIV/0!</v>
      </c>
      <c r="AY11" s="81" t="e">
        <f t="shared" si="12"/>
        <v>#DIV/0!</v>
      </c>
      <c r="AZ11" s="81" t="e">
        <f t="shared" si="13"/>
        <v>#DIV/0!</v>
      </c>
    </row>
    <row r="12" spans="1:52" s="63" customFormat="1" ht="20.25" customHeight="1">
      <c r="A12" s="416"/>
      <c r="B12" s="175" t="s">
        <v>241</v>
      </c>
      <c r="C12" s="120">
        <v>99</v>
      </c>
      <c r="D12" s="239">
        <v>45737</v>
      </c>
      <c r="E12" s="239">
        <v>45741</v>
      </c>
      <c r="F12" s="120">
        <v>54</v>
      </c>
      <c r="G12" s="120">
        <v>0</v>
      </c>
      <c r="H12" s="204">
        <f t="shared" si="18"/>
        <v>54</v>
      </c>
      <c r="I12" s="120">
        <v>3</v>
      </c>
      <c r="J12" s="120">
        <v>0</v>
      </c>
      <c r="K12" s="204">
        <f t="shared" si="19"/>
        <v>57</v>
      </c>
      <c r="L12" s="120">
        <v>0</v>
      </c>
      <c r="M12" s="120">
        <v>0</v>
      </c>
      <c r="N12" s="120">
        <v>54</v>
      </c>
      <c r="O12" s="120">
        <v>1</v>
      </c>
      <c r="P12" s="120">
        <v>0</v>
      </c>
      <c r="Q12" s="120">
        <v>2</v>
      </c>
      <c r="R12" s="120">
        <v>0</v>
      </c>
      <c r="S12" s="120">
        <v>1</v>
      </c>
      <c r="T12" s="120">
        <v>14</v>
      </c>
      <c r="U12" s="120">
        <v>0</v>
      </c>
      <c r="V12" s="120">
        <v>1</v>
      </c>
      <c r="W12" s="120">
        <v>4</v>
      </c>
      <c r="X12" s="120">
        <v>1</v>
      </c>
      <c r="Y12" s="120">
        <v>16</v>
      </c>
      <c r="Z12" s="120">
        <v>2</v>
      </c>
      <c r="AA12" s="120">
        <v>0</v>
      </c>
      <c r="AB12" s="120">
        <v>3</v>
      </c>
      <c r="AC12" s="120">
        <v>7</v>
      </c>
      <c r="AD12" s="120">
        <v>0</v>
      </c>
      <c r="AE12" s="120">
        <v>0</v>
      </c>
      <c r="AF12" s="120">
        <v>0</v>
      </c>
      <c r="AG12" s="120">
        <v>0</v>
      </c>
      <c r="AH12" s="120">
        <v>0</v>
      </c>
      <c r="AI12" s="120">
        <v>0</v>
      </c>
      <c r="AJ12" s="120">
        <v>0</v>
      </c>
      <c r="AK12" s="204">
        <f t="shared" si="20"/>
        <v>21</v>
      </c>
      <c r="AL12" s="204">
        <f t="shared" si="20"/>
        <v>29</v>
      </c>
      <c r="AM12" s="204">
        <f t="shared" si="21"/>
        <v>50</v>
      </c>
      <c r="AN12" s="204">
        <f t="shared" si="22"/>
        <v>1</v>
      </c>
      <c r="AO12" s="189">
        <f t="shared" si="2"/>
        <v>1.8518518518518516</v>
      </c>
      <c r="AP12" s="189">
        <f t="shared" si="3"/>
        <v>1.8518518518518516</v>
      </c>
      <c r="AQ12" s="189">
        <f t="shared" si="4"/>
        <v>2</v>
      </c>
      <c r="AR12" s="81">
        <f t="shared" si="5"/>
        <v>42</v>
      </c>
      <c r="AS12" s="81">
        <f t="shared" si="6"/>
        <v>57.999999999999993</v>
      </c>
      <c r="AT12" s="81">
        <f t="shared" si="7"/>
        <v>0</v>
      </c>
      <c r="AU12" s="81">
        <f t="shared" si="8"/>
        <v>0</v>
      </c>
      <c r="AV12" s="81">
        <f t="shared" si="9"/>
        <v>100</v>
      </c>
      <c r="AW12" s="81">
        <f t="shared" si="10"/>
        <v>0</v>
      </c>
      <c r="AX12" s="81">
        <f t="shared" si="11"/>
        <v>0</v>
      </c>
      <c r="AY12" s="81">
        <f t="shared" si="12"/>
        <v>0</v>
      </c>
      <c r="AZ12" s="81">
        <f t="shared" si="13"/>
        <v>0</v>
      </c>
    </row>
    <row r="13" spans="1:52" s="63" customFormat="1" ht="20.25" customHeight="1">
      <c r="A13" s="417"/>
      <c r="B13" s="175" t="s">
        <v>242</v>
      </c>
      <c r="C13" s="120">
        <v>40</v>
      </c>
      <c r="D13" s="239">
        <v>45742</v>
      </c>
      <c r="E13" s="239">
        <v>45742</v>
      </c>
      <c r="F13" s="120">
        <v>28</v>
      </c>
      <c r="G13" s="120">
        <v>0</v>
      </c>
      <c r="H13" s="204">
        <f t="shared" si="18"/>
        <v>28</v>
      </c>
      <c r="I13" s="120">
        <v>2</v>
      </c>
      <c r="J13" s="120">
        <v>0</v>
      </c>
      <c r="K13" s="204">
        <f t="shared" si="19"/>
        <v>30</v>
      </c>
      <c r="L13" s="120">
        <v>0</v>
      </c>
      <c r="M13" s="120">
        <v>0</v>
      </c>
      <c r="N13" s="120">
        <v>28</v>
      </c>
      <c r="O13" s="120">
        <v>0</v>
      </c>
      <c r="P13" s="120">
        <v>0</v>
      </c>
      <c r="Q13" s="120">
        <v>1</v>
      </c>
      <c r="R13" s="120">
        <v>0</v>
      </c>
      <c r="S13" s="120">
        <v>0</v>
      </c>
      <c r="T13" s="120">
        <v>3</v>
      </c>
      <c r="U13" s="120">
        <v>0</v>
      </c>
      <c r="V13" s="120">
        <v>0</v>
      </c>
      <c r="W13" s="120">
        <v>0</v>
      </c>
      <c r="X13" s="120">
        <v>0</v>
      </c>
      <c r="Y13" s="120">
        <v>10</v>
      </c>
      <c r="Z13" s="120">
        <v>0</v>
      </c>
      <c r="AA13" s="120">
        <v>0</v>
      </c>
      <c r="AB13" s="120">
        <v>0</v>
      </c>
      <c r="AC13" s="120">
        <v>2</v>
      </c>
      <c r="AD13" s="120">
        <v>0</v>
      </c>
      <c r="AE13" s="120">
        <v>0</v>
      </c>
      <c r="AF13" s="120">
        <v>0</v>
      </c>
      <c r="AG13" s="120">
        <v>0</v>
      </c>
      <c r="AH13" s="120">
        <v>0</v>
      </c>
      <c r="AI13" s="120">
        <v>0</v>
      </c>
      <c r="AJ13" s="120">
        <v>0</v>
      </c>
      <c r="AK13" s="204">
        <f t="shared" si="20"/>
        <v>10</v>
      </c>
      <c r="AL13" s="204">
        <f t="shared" si="20"/>
        <v>6</v>
      </c>
      <c r="AM13" s="204">
        <f t="shared" si="21"/>
        <v>16</v>
      </c>
      <c r="AN13" s="204">
        <f t="shared" si="22"/>
        <v>0</v>
      </c>
      <c r="AO13" s="189">
        <f t="shared" si="2"/>
        <v>0</v>
      </c>
      <c r="AP13" s="189">
        <f t="shared" si="3"/>
        <v>0</v>
      </c>
      <c r="AQ13" s="189">
        <f t="shared" si="4"/>
        <v>0</v>
      </c>
      <c r="AR13" s="81">
        <f t="shared" si="5"/>
        <v>62.5</v>
      </c>
      <c r="AS13" s="81">
        <f t="shared" si="6"/>
        <v>37.5</v>
      </c>
      <c r="AT13" s="81" t="e">
        <f t="shared" si="7"/>
        <v>#DIV/0!</v>
      </c>
      <c r="AU13" s="81" t="e">
        <f t="shared" si="8"/>
        <v>#DIV/0!</v>
      </c>
      <c r="AV13" s="81" t="e">
        <f t="shared" si="9"/>
        <v>#DIV/0!</v>
      </c>
      <c r="AW13" s="81" t="e">
        <f t="shared" si="10"/>
        <v>#DIV/0!</v>
      </c>
      <c r="AX13" s="81" t="e">
        <f t="shared" si="11"/>
        <v>#DIV/0!</v>
      </c>
      <c r="AY13" s="81" t="e">
        <f t="shared" si="12"/>
        <v>#DIV/0!</v>
      </c>
      <c r="AZ13" s="81" t="e">
        <f t="shared" si="13"/>
        <v>#DIV/0!</v>
      </c>
    </row>
    <row r="14" spans="1:52" s="63" customFormat="1" ht="20.25" customHeight="1">
      <c r="A14" s="120" t="s">
        <v>212</v>
      </c>
      <c r="B14" s="175" t="s">
        <v>243</v>
      </c>
      <c r="C14" s="120">
        <v>252</v>
      </c>
      <c r="D14" s="239">
        <v>45715</v>
      </c>
      <c r="E14" s="239">
        <v>45722</v>
      </c>
      <c r="F14" s="120">
        <v>141</v>
      </c>
      <c r="G14" s="120">
        <v>0</v>
      </c>
      <c r="H14" s="204">
        <f t="shared" si="18"/>
        <v>141</v>
      </c>
      <c r="I14" s="120">
        <v>4</v>
      </c>
      <c r="J14" s="120">
        <v>0</v>
      </c>
      <c r="K14" s="204">
        <f t="shared" si="19"/>
        <v>145</v>
      </c>
      <c r="L14" s="120">
        <v>0</v>
      </c>
      <c r="M14" s="120">
        <v>0</v>
      </c>
      <c r="N14" s="120">
        <v>141</v>
      </c>
      <c r="O14" s="120">
        <v>0</v>
      </c>
      <c r="P14" s="120">
        <v>12</v>
      </c>
      <c r="Q14" s="120">
        <v>11</v>
      </c>
      <c r="R14" s="120">
        <v>0</v>
      </c>
      <c r="S14" s="120">
        <v>13</v>
      </c>
      <c r="T14" s="120">
        <v>31</v>
      </c>
      <c r="U14" s="120">
        <v>0</v>
      </c>
      <c r="V14" s="120">
        <v>0</v>
      </c>
      <c r="W14" s="120">
        <v>0</v>
      </c>
      <c r="X14" s="120">
        <v>0</v>
      </c>
      <c r="Y14" s="120">
        <v>6</v>
      </c>
      <c r="Z14" s="120">
        <v>0</v>
      </c>
      <c r="AA14" s="120">
        <v>0</v>
      </c>
      <c r="AB14" s="120">
        <v>7</v>
      </c>
      <c r="AC14" s="120">
        <v>0</v>
      </c>
      <c r="AD14" s="120">
        <v>0</v>
      </c>
      <c r="AE14" s="120">
        <v>0</v>
      </c>
      <c r="AF14" s="120">
        <v>0</v>
      </c>
      <c r="AG14" s="120">
        <v>0</v>
      </c>
      <c r="AH14" s="120">
        <v>0</v>
      </c>
      <c r="AI14" s="120">
        <v>0</v>
      </c>
      <c r="AJ14" s="120">
        <v>0</v>
      </c>
      <c r="AK14" s="204">
        <f t="shared" si="20"/>
        <v>38</v>
      </c>
      <c r="AL14" s="204">
        <f t="shared" si="20"/>
        <v>42</v>
      </c>
      <c r="AM14" s="204">
        <f t="shared" si="21"/>
        <v>80</v>
      </c>
      <c r="AN14" s="204">
        <f t="shared" si="22"/>
        <v>0</v>
      </c>
      <c r="AO14" s="189">
        <f t="shared" si="2"/>
        <v>0</v>
      </c>
      <c r="AP14" s="189">
        <f t="shared" si="3"/>
        <v>0</v>
      </c>
      <c r="AQ14" s="189">
        <f t="shared" si="4"/>
        <v>0</v>
      </c>
      <c r="AR14" s="81">
        <f t="shared" si="5"/>
        <v>47.5</v>
      </c>
      <c r="AS14" s="81">
        <f t="shared" si="6"/>
        <v>52.5</v>
      </c>
      <c r="AT14" s="81" t="e">
        <f t="shared" si="7"/>
        <v>#DIV/0!</v>
      </c>
      <c r="AU14" s="81" t="e">
        <f t="shared" si="8"/>
        <v>#DIV/0!</v>
      </c>
      <c r="AV14" s="81" t="e">
        <f t="shared" si="9"/>
        <v>#DIV/0!</v>
      </c>
      <c r="AW14" s="81" t="e">
        <f t="shared" si="10"/>
        <v>#DIV/0!</v>
      </c>
      <c r="AX14" s="81" t="e">
        <f t="shared" si="11"/>
        <v>#DIV/0!</v>
      </c>
      <c r="AY14" s="81" t="e">
        <f t="shared" si="12"/>
        <v>#DIV/0!</v>
      </c>
      <c r="AZ14" s="81" t="e">
        <f t="shared" si="13"/>
        <v>#DIV/0!</v>
      </c>
    </row>
    <row r="15" spans="1:52" s="40" customFormat="1" ht="20.25" customHeight="1">
      <c r="A15" s="83" t="s">
        <v>103</v>
      </c>
      <c r="B15" s="83">
        <f>COUNTA(B12:B14)</f>
        <v>3</v>
      </c>
      <c r="C15" s="83">
        <f>SUM(C10:C14)</f>
        <v>702</v>
      </c>
      <c r="D15" s="86">
        <f>MIN(D10:D14)</f>
        <v>45715</v>
      </c>
      <c r="E15" s="86">
        <f>MAX(E10:E14)</f>
        <v>45742</v>
      </c>
      <c r="F15" s="83">
        <f>SUM(F10:F14)</f>
        <v>365</v>
      </c>
      <c r="G15" s="83">
        <f t="shared" ref="G15:AJ15" si="23">SUM(G10:G14)</f>
        <v>0</v>
      </c>
      <c r="H15" s="83">
        <f t="shared" si="23"/>
        <v>365</v>
      </c>
      <c r="I15" s="83">
        <f t="shared" si="23"/>
        <v>12</v>
      </c>
      <c r="J15" s="83">
        <f t="shared" si="23"/>
        <v>0</v>
      </c>
      <c r="K15" s="83">
        <f t="shared" si="23"/>
        <v>377</v>
      </c>
      <c r="L15" s="83">
        <f t="shared" si="23"/>
        <v>0</v>
      </c>
      <c r="M15" s="83">
        <f t="shared" si="23"/>
        <v>0</v>
      </c>
      <c r="N15" s="83">
        <f t="shared" si="23"/>
        <v>365</v>
      </c>
      <c r="O15" s="83">
        <f t="shared" si="23"/>
        <v>4</v>
      </c>
      <c r="P15" s="83">
        <f t="shared" si="23"/>
        <v>13</v>
      </c>
      <c r="Q15" s="83">
        <f t="shared" si="23"/>
        <v>32</v>
      </c>
      <c r="R15" s="83">
        <f t="shared" si="23"/>
        <v>0</v>
      </c>
      <c r="S15" s="83">
        <f t="shared" si="23"/>
        <v>28</v>
      </c>
      <c r="T15" s="83">
        <f t="shared" si="23"/>
        <v>92</v>
      </c>
      <c r="U15" s="83">
        <f t="shared" si="23"/>
        <v>1</v>
      </c>
      <c r="V15" s="83">
        <f t="shared" si="23"/>
        <v>1</v>
      </c>
      <c r="W15" s="83">
        <f t="shared" si="23"/>
        <v>14</v>
      </c>
      <c r="X15" s="83">
        <f t="shared" si="23"/>
        <v>1</v>
      </c>
      <c r="Y15" s="83">
        <f t="shared" si="23"/>
        <v>46</v>
      </c>
      <c r="Z15" s="83">
        <f t="shared" si="23"/>
        <v>6</v>
      </c>
      <c r="AA15" s="83">
        <f t="shared" si="23"/>
        <v>0</v>
      </c>
      <c r="AB15" s="83">
        <f t="shared" si="23"/>
        <v>10</v>
      </c>
      <c r="AC15" s="83">
        <f t="shared" si="23"/>
        <v>19</v>
      </c>
      <c r="AD15" s="83">
        <f t="shared" si="23"/>
        <v>2</v>
      </c>
      <c r="AE15" s="83">
        <f t="shared" si="23"/>
        <v>4</v>
      </c>
      <c r="AF15" s="83">
        <f t="shared" si="23"/>
        <v>8</v>
      </c>
      <c r="AG15" s="83">
        <f t="shared" si="23"/>
        <v>0</v>
      </c>
      <c r="AH15" s="83">
        <f>SUM(AH10:AH14)</f>
        <v>2</v>
      </c>
      <c r="AI15" s="83">
        <f t="shared" si="23"/>
        <v>0</v>
      </c>
      <c r="AJ15" s="83">
        <f t="shared" si="23"/>
        <v>0</v>
      </c>
      <c r="AK15" s="83">
        <f>P15+S15+V15+Y15+AB15+AE15+AH15</f>
        <v>104</v>
      </c>
      <c r="AL15" s="83">
        <f>Q15+T15+W15+Z15+AC15+AF15+AI15</f>
        <v>171</v>
      </c>
      <c r="AM15" s="83">
        <f>AK15+AL15</f>
        <v>275</v>
      </c>
      <c r="AN15" s="83">
        <f>R15+U15+X15+AA15+AD15+AG15+AJ15</f>
        <v>4</v>
      </c>
      <c r="AO15" s="190">
        <f t="shared" si="2"/>
        <v>1.095890410958904</v>
      </c>
      <c r="AP15" s="190">
        <f t="shared" si="3"/>
        <v>1.095890410958904</v>
      </c>
      <c r="AQ15" s="190">
        <f t="shared" si="4"/>
        <v>1.4545454545454546</v>
      </c>
      <c r="AR15" s="85">
        <f t="shared" si="5"/>
        <v>37.81818181818182</v>
      </c>
      <c r="AS15" s="85">
        <f t="shared" si="6"/>
        <v>62.18181818181818</v>
      </c>
      <c r="AT15" s="85">
        <f t="shared" si="7"/>
        <v>0</v>
      </c>
      <c r="AU15" s="85">
        <f t="shared" si="8"/>
        <v>25</v>
      </c>
      <c r="AV15" s="85">
        <f t="shared" si="9"/>
        <v>25</v>
      </c>
      <c r="AW15" s="85">
        <f t="shared" si="10"/>
        <v>0</v>
      </c>
      <c r="AX15" s="85">
        <f t="shared" si="11"/>
        <v>50</v>
      </c>
      <c r="AY15" s="85">
        <f t="shared" si="12"/>
        <v>0</v>
      </c>
      <c r="AZ15" s="85">
        <f t="shared" si="13"/>
        <v>0</v>
      </c>
    </row>
    <row r="16" spans="1:52" s="63" customFormat="1" ht="20.25" customHeight="1">
      <c r="A16" s="415" t="s">
        <v>271</v>
      </c>
      <c r="B16" s="175" t="s">
        <v>255</v>
      </c>
      <c r="C16" s="120">
        <v>151</v>
      </c>
      <c r="D16" s="239">
        <v>45748</v>
      </c>
      <c r="E16" s="239">
        <v>45754</v>
      </c>
      <c r="F16" s="120">
        <v>76</v>
      </c>
      <c r="G16" s="120">
        <v>0</v>
      </c>
      <c r="H16" s="247">
        <f t="shared" si="18"/>
        <v>76</v>
      </c>
      <c r="I16" s="120">
        <v>3</v>
      </c>
      <c r="J16" s="120">
        <v>0</v>
      </c>
      <c r="K16" s="247">
        <f t="shared" si="19"/>
        <v>79</v>
      </c>
      <c r="L16" s="120">
        <v>0</v>
      </c>
      <c r="M16" s="120">
        <v>0</v>
      </c>
      <c r="N16" s="120">
        <v>76</v>
      </c>
      <c r="O16" s="120">
        <v>0</v>
      </c>
      <c r="P16" s="120">
        <v>1</v>
      </c>
      <c r="Q16" s="120">
        <v>10</v>
      </c>
      <c r="R16" s="120">
        <v>0</v>
      </c>
      <c r="S16" s="120">
        <v>2</v>
      </c>
      <c r="T16" s="120">
        <v>12</v>
      </c>
      <c r="U16" s="120">
        <v>0</v>
      </c>
      <c r="V16" s="120">
        <v>5</v>
      </c>
      <c r="W16" s="120">
        <v>41</v>
      </c>
      <c r="X16" s="120">
        <v>0</v>
      </c>
      <c r="Y16" s="120">
        <v>20</v>
      </c>
      <c r="Z16" s="120">
        <v>0</v>
      </c>
      <c r="AA16" s="120">
        <v>0</v>
      </c>
      <c r="AB16" s="120">
        <v>6</v>
      </c>
      <c r="AC16" s="120">
        <v>9</v>
      </c>
      <c r="AD16" s="120">
        <v>0</v>
      </c>
      <c r="AE16" s="120">
        <v>2</v>
      </c>
      <c r="AF16" s="120">
        <v>11</v>
      </c>
      <c r="AG16" s="120">
        <v>0</v>
      </c>
      <c r="AH16" s="120">
        <v>2</v>
      </c>
      <c r="AI16" s="120">
        <v>0</v>
      </c>
      <c r="AJ16" s="120">
        <v>0</v>
      </c>
      <c r="AK16" s="247">
        <f t="shared" ref="AK16" si="24">P16+S16+V16+Y16+AB16+AE16+AH16</f>
        <v>38</v>
      </c>
      <c r="AL16" s="247">
        <f t="shared" ref="AL16" si="25">Q16+T16+W16+Z16+AC16+AF16+AI16</f>
        <v>83</v>
      </c>
      <c r="AM16" s="247">
        <f t="shared" ref="AM16" si="26">AK16+AL16</f>
        <v>121</v>
      </c>
      <c r="AN16" s="247">
        <f t="shared" ref="AN16" si="27">R16+U16+X16+AA16+AD16+AG16+AJ16</f>
        <v>0</v>
      </c>
      <c r="AO16" s="189">
        <f t="shared" ref="AO16" si="28">O16/H16*100</f>
        <v>0</v>
      </c>
      <c r="AP16" s="189">
        <f t="shared" ref="AP16" si="29">AN16/H16*100</f>
        <v>0</v>
      </c>
      <c r="AQ16" s="189">
        <f t="shared" ref="AQ16" si="30">AN16/AM16*100</f>
        <v>0</v>
      </c>
      <c r="AR16" s="81">
        <f t="shared" ref="AR16" si="31">AK16/AM16*100</f>
        <v>31.404958677685951</v>
      </c>
      <c r="AS16" s="81">
        <f t="shared" ref="AS16" si="32">AL16/AM16*100</f>
        <v>68.59504132231406</v>
      </c>
      <c r="AT16" s="81" t="e">
        <f t="shared" ref="AT16" si="33">R16/AN16*100</f>
        <v>#DIV/0!</v>
      </c>
      <c r="AU16" s="81" t="e">
        <f t="shared" ref="AU16" si="34">U16/AN16*100</f>
        <v>#DIV/0!</v>
      </c>
      <c r="AV16" s="81" t="e">
        <f t="shared" ref="AV16" si="35">X16/AN16*100</f>
        <v>#DIV/0!</v>
      </c>
      <c r="AW16" s="81" t="e">
        <f t="shared" ref="AW16" si="36">AA16/AN16*100</f>
        <v>#DIV/0!</v>
      </c>
      <c r="AX16" s="81" t="e">
        <f t="shared" ref="AX16" si="37">AD16/AN16*100</f>
        <v>#DIV/0!</v>
      </c>
      <c r="AY16" s="81" t="e">
        <f t="shared" ref="AY16" si="38">AG16/AN16*100</f>
        <v>#DIV/0!</v>
      </c>
      <c r="AZ16" s="81" t="e">
        <f t="shared" ref="AZ16" si="39">AJ16/AN16*100</f>
        <v>#DIV/0!</v>
      </c>
    </row>
    <row r="17" spans="1:52" s="63" customFormat="1" ht="20.25" customHeight="1">
      <c r="A17" s="416"/>
      <c r="B17" s="175" t="s">
        <v>256</v>
      </c>
      <c r="C17" s="120">
        <v>56</v>
      </c>
      <c r="D17" s="239">
        <v>45755</v>
      </c>
      <c r="E17" s="239">
        <v>45756</v>
      </c>
      <c r="F17" s="120">
        <v>41</v>
      </c>
      <c r="G17" s="120">
        <v>0</v>
      </c>
      <c r="H17" s="247">
        <f t="shared" si="18"/>
        <v>41</v>
      </c>
      <c r="I17" s="120">
        <v>3</v>
      </c>
      <c r="J17" s="120">
        <v>0</v>
      </c>
      <c r="K17" s="247">
        <f t="shared" si="19"/>
        <v>44</v>
      </c>
      <c r="L17" s="120">
        <v>0</v>
      </c>
      <c r="M17" s="120">
        <v>0</v>
      </c>
      <c r="N17" s="120">
        <v>41</v>
      </c>
      <c r="O17" s="120">
        <v>0</v>
      </c>
      <c r="P17" s="120">
        <v>6</v>
      </c>
      <c r="Q17" s="120">
        <v>0</v>
      </c>
      <c r="R17" s="120">
        <v>0</v>
      </c>
      <c r="S17" s="120">
        <v>1</v>
      </c>
      <c r="T17" s="120">
        <v>4</v>
      </c>
      <c r="U17" s="120">
        <v>0</v>
      </c>
      <c r="V17" s="120">
        <v>10</v>
      </c>
      <c r="W17" s="120">
        <v>10</v>
      </c>
      <c r="X17" s="120">
        <v>0</v>
      </c>
      <c r="Y17" s="120">
        <v>14</v>
      </c>
      <c r="Z17" s="120">
        <v>2</v>
      </c>
      <c r="AA17" s="120">
        <v>0</v>
      </c>
      <c r="AB17" s="120">
        <v>39</v>
      </c>
      <c r="AC17" s="120">
        <v>6</v>
      </c>
      <c r="AD17" s="120">
        <v>0</v>
      </c>
      <c r="AE17" s="120">
        <v>8</v>
      </c>
      <c r="AF17" s="120">
        <v>3</v>
      </c>
      <c r="AG17" s="120">
        <v>0</v>
      </c>
      <c r="AH17" s="120">
        <v>0</v>
      </c>
      <c r="AI17" s="120">
        <v>0</v>
      </c>
      <c r="AJ17" s="120">
        <v>0</v>
      </c>
      <c r="AK17" s="247">
        <f t="shared" ref="AK17:AK20" si="40">P17+S17+V17+Y17+AB17+AE17+AH17</f>
        <v>78</v>
      </c>
      <c r="AL17" s="247">
        <f t="shared" ref="AL17:AL20" si="41">Q17+T17+W17+Z17+AC17+AF17+AI17</f>
        <v>25</v>
      </c>
      <c r="AM17" s="247">
        <f t="shared" ref="AM17:AM20" si="42">AK17+AL17</f>
        <v>103</v>
      </c>
      <c r="AN17" s="247">
        <f t="shared" ref="AN17:AN20" si="43">R17+U17+X17+AA17+AD17+AG17+AJ17</f>
        <v>0</v>
      </c>
      <c r="AO17" s="189">
        <f t="shared" ref="AO17:AO20" si="44">O17/H17*100</f>
        <v>0</v>
      </c>
      <c r="AP17" s="189">
        <f t="shared" ref="AP17:AP20" si="45">AN17/H17*100</f>
        <v>0</v>
      </c>
      <c r="AQ17" s="189">
        <f t="shared" ref="AQ17:AQ20" si="46">AN17/AM17*100</f>
        <v>0</v>
      </c>
      <c r="AR17" s="81">
        <f t="shared" ref="AR17:AR20" si="47">AK17/AM17*100</f>
        <v>75.728155339805824</v>
      </c>
      <c r="AS17" s="81">
        <f t="shared" ref="AS17:AS20" si="48">AL17/AM17*100</f>
        <v>24.271844660194176</v>
      </c>
      <c r="AT17" s="81" t="e">
        <f t="shared" ref="AT17:AT20" si="49">R17/AN17*100</f>
        <v>#DIV/0!</v>
      </c>
      <c r="AU17" s="81" t="e">
        <f t="shared" ref="AU17:AU20" si="50">U17/AN17*100</f>
        <v>#DIV/0!</v>
      </c>
      <c r="AV17" s="81" t="e">
        <f t="shared" ref="AV17:AV20" si="51">X17/AN17*100</f>
        <v>#DIV/0!</v>
      </c>
      <c r="AW17" s="81" t="e">
        <f t="shared" ref="AW17:AW20" si="52">AA17/AN17*100</f>
        <v>#DIV/0!</v>
      </c>
      <c r="AX17" s="81" t="e">
        <f t="shared" ref="AX17:AX20" si="53">AD17/AN17*100</f>
        <v>#DIV/0!</v>
      </c>
      <c r="AY17" s="81" t="e">
        <f t="shared" ref="AY17:AY20" si="54">AG17/AN17*100</f>
        <v>#DIV/0!</v>
      </c>
      <c r="AZ17" s="81" t="e">
        <f t="shared" ref="AZ17:AZ20" si="55">AJ17/AN17*100</f>
        <v>#DIV/0!</v>
      </c>
    </row>
    <row r="18" spans="1:52" s="63" customFormat="1" ht="20.25" customHeight="1">
      <c r="A18" s="416"/>
      <c r="B18" s="175" t="s">
        <v>257</v>
      </c>
      <c r="C18" s="120">
        <v>343</v>
      </c>
      <c r="D18" s="239">
        <v>45756</v>
      </c>
      <c r="E18" s="239">
        <v>45763</v>
      </c>
      <c r="F18" s="120">
        <v>145</v>
      </c>
      <c r="G18" s="120">
        <v>0</v>
      </c>
      <c r="H18" s="247">
        <f t="shared" si="18"/>
        <v>145</v>
      </c>
      <c r="I18" s="120">
        <v>15</v>
      </c>
      <c r="J18" s="120">
        <v>0</v>
      </c>
      <c r="K18" s="247">
        <f t="shared" si="19"/>
        <v>160</v>
      </c>
      <c r="L18" s="120">
        <v>0</v>
      </c>
      <c r="M18" s="120">
        <v>0</v>
      </c>
      <c r="N18" s="120">
        <v>145</v>
      </c>
      <c r="O18" s="120">
        <v>0</v>
      </c>
      <c r="P18" s="120">
        <v>5</v>
      </c>
      <c r="Q18" s="120">
        <v>13</v>
      </c>
      <c r="R18" s="120">
        <v>0</v>
      </c>
      <c r="S18" s="120">
        <v>21</v>
      </c>
      <c r="T18" s="120">
        <v>26</v>
      </c>
      <c r="U18" s="120">
        <v>0</v>
      </c>
      <c r="V18" s="120">
        <v>34</v>
      </c>
      <c r="W18" s="120">
        <v>20</v>
      </c>
      <c r="X18" s="120">
        <v>0</v>
      </c>
      <c r="Y18" s="120">
        <v>55</v>
      </c>
      <c r="Z18" s="120">
        <v>10</v>
      </c>
      <c r="AA18" s="120">
        <v>0</v>
      </c>
      <c r="AB18" s="120">
        <v>33</v>
      </c>
      <c r="AC18" s="120">
        <v>5</v>
      </c>
      <c r="AD18" s="120">
        <v>0</v>
      </c>
      <c r="AE18" s="120">
        <v>41</v>
      </c>
      <c r="AF18" s="120">
        <v>29</v>
      </c>
      <c r="AG18" s="120">
        <v>0</v>
      </c>
      <c r="AH18" s="120">
        <v>5</v>
      </c>
      <c r="AI18" s="120">
        <v>0</v>
      </c>
      <c r="AJ18" s="120">
        <v>0</v>
      </c>
      <c r="AK18" s="247">
        <f t="shared" si="40"/>
        <v>194</v>
      </c>
      <c r="AL18" s="247">
        <f t="shared" si="41"/>
        <v>103</v>
      </c>
      <c r="AM18" s="247">
        <f t="shared" si="42"/>
        <v>297</v>
      </c>
      <c r="AN18" s="247">
        <f t="shared" si="43"/>
        <v>0</v>
      </c>
      <c r="AO18" s="189">
        <f t="shared" si="44"/>
        <v>0</v>
      </c>
      <c r="AP18" s="189">
        <f t="shared" si="45"/>
        <v>0</v>
      </c>
      <c r="AQ18" s="189">
        <f t="shared" si="46"/>
        <v>0</v>
      </c>
      <c r="AR18" s="81">
        <f t="shared" si="47"/>
        <v>65.319865319865329</v>
      </c>
      <c r="AS18" s="81">
        <f t="shared" si="48"/>
        <v>34.680134680134678</v>
      </c>
      <c r="AT18" s="81" t="e">
        <f t="shared" si="49"/>
        <v>#DIV/0!</v>
      </c>
      <c r="AU18" s="81" t="e">
        <f t="shared" si="50"/>
        <v>#DIV/0!</v>
      </c>
      <c r="AV18" s="81" t="e">
        <f t="shared" si="51"/>
        <v>#DIV/0!</v>
      </c>
      <c r="AW18" s="81" t="e">
        <f t="shared" si="52"/>
        <v>#DIV/0!</v>
      </c>
      <c r="AX18" s="81" t="e">
        <f t="shared" si="53"/>
        <v>#DIV/0!</v>
      </c>
      <c r="AY18" s="81" t="e">
        <f t="shared" si="54"/>
        <v>#DIV/0!</v>
      </c>
      <c r="AZ18" s="81" t="e">
        <f t="shared" si="55"/>
        <v>#DIV/0!</v>
      </c>
    </row>
    <row r="19" spans="1:52" s="63" customFormat="1" ht="20.25" customHeight="1">
      <c r="A19" s="416"/>
      <c r="B19" s="175" t="s">
        <v>258</v>
      </c>
      <c r="C19" s="120">
        <v>93</v>
      </c>
      <c r="D19" s="239">
        <v>45768</v>
      </c>
      <c r="E19" s="239">
        <v>45769</v>
      </c>
      <c r="F19" s="120">
        <v>45</v>
      </c>
      <c r="G19" s="120">
        <v>0</v>
      </c>
      <c r="H19" s="247">
        <f t="shared" si="18"/>
        <v>45</v>
      </c>
      <c r="I19" s="120">
        <v>3</v>
      </c>
      <c r="J19" s="120">
        <v>0</v>
      </c>
      <c r="K19" s="247">
        <f t="shared" si="19"/>
        <v>48</v>
      </c>
      <c r="L19" s="120">
        <v>0</v>
      </c>
      <c r="M19" s="120">
        <v>0</v>
      </c>
      <c r="N19" s="120">
        <v>45</v>
      </c>
      <c r="O19" s="120">
        <v>0</v>
      </c>
      <c r="P19" s="120">
        <v>0</v>
      </c>
      <c r="Q19" s="120">
        <v>0</v>
      </c>
      <c r="R19" s="120">
        <v>0</v>
      </c>
      <c r="S19" s="120">
        <v>6</v>
      </c>
      <c r="T19" s="120">
        <v>7</v>
      </c>
      <c r="U19" s="120">
        <v>0</v>
      </c>
      <c r="V19" s="120">
        <v>22</v>
      </c>
      <c r="W19" s="120">
        <v>28</v>
      </c>
      <c r="X19" s="120">
        <v>0</v>
      </c>
      <c r="Y19" s="120">
        <v>21</v>
      </c>
      <c r="Z19" s="120">
        <v>12</v>
      </c>
      <c r="AA19" s="120">
        <v>0</v>
      </c>
      <c r="AB19" s="120">
        <v>7</v>
      </c>
      <c r="AC19" s="120">
        <v>6</v>
      </c>
      <c r="AD19" s="120">
        <v>0</v>
      </c>
      <c r="AE19" s="120">
        <v>4</v>
      </c>
      <c r="AF19" s="120">
        <v>4</v>
      </c>
      <c r="AG19" s="120">
        <v>0</v>
      </c>
      <c r="AH19" s="120">
        <v>5</v>
      </c>
      <c r="AI19" s="120">
        <v>2</v>
      </c>
      <c r="AJ19" s="120">
        <v>0</v>
      </c>
      <c r="AK19" s="247">
        <f t="shared" si="40"/>
        <v>65</v>
      </c>
      <c r="AL19" s="247">
        <f t="shared" si="41"/>
        <v>59</v>
      </c>
      <c r="AM19" s="247">
        <f t="shared" si="42"/>
        <v>124</v>
      </c>
      <c r="AN19" s="247">
        <f t="shared" si="43"/>
        <v>0</v>
      </c>
      <c r="AO19" s="189">
        <f t="shared" si="44"/>
        <v>0</v>
      </c>
      <c r="AP19" s="189">
        <f t="shared" si="45"/>
        <v>0</v>
      </c>
      <c r="AQ19" s="189">
        <f t="shared" si="46"/>
        <v>0</v>
      </c>
      <c r="AR19" s="81">
        <f t="shared" si="47"/>
        <v>52.419354838709673</v>
      </c>
      <c r="AS19" s="81">
        <f t="shared" si="48"/>
        <v>47.580645161290327</v>
      </c>
      <c r="AT19" s="81" t="e">
        <f t="shared" si="49"/>
        <v>#DIV/0!</v>
      </c>
      <c r="AU19" s="81" t="e">
        <f t="shared" si="50"/>
        <v>#DIV/0!</v>
      </c>
      <c r="AV19" s="81" t="e">
        <f t="shared" si="51"/>
        <v>#DIV/0!</v>
      </c>
      <c r="AW19" s="81" t="e">
        <f t="shared" si="52"/>
        <v>#DIV/0!</v>
      </c>
      <c r="AX19" s="81" t="e">
        <f t="shared" si="53"/>
        <v>#DIV/0!</v>
      </c>
      <c r="AY19" s="81" t="e">
        <f t="shared" si="54"/>
        <v>#DIV/0!</v>
      </c>
      <c r="AZ19" s="81" t="e">
        <f t="shared" si="55"/>
        <v>#DIV/0!</v>
      </c>
    </row>
    <row r="20" spans="1:52" s="63" customFormat="1" ht="20.25" customHeight="1">
      <c r="A20" s="417"/>
      <c r="B20" s="175" t="s">
        <v>259</v>
      </c>
      <c r="C20" s="120">
        <v>89</v>
      </c>
      <c r="D20" s="239">
        <v>45750</v>
      </c>
      <c r="E20" s="239">
        <v>45771</v>
      </c>
      <c r="F20" s="120">
        <v>54</v>
      </c>
      <c r="G20" s="120">
        <v>0</v>
      </c>
      <c r="H20" s="247">
        <f t="shared" si="18"/>
        <v>54</v>
      </c>
      <c r="I20" s="120">
        <v>10</v>
      </c>
      <c r="J20" s="120">
        <v>0</v>
      </c>
      <c r="K20" s="247">
        <f t="shared" si="19"/>
        <v>64</v>
      </c>
      <c r="L20" s="120">
        <v>0</v>
      </c>
      <c r="M20" s="120">
        <v>0</v>
      </c>
      <c r="N20" s="120">
        <v>54</v>
      </c>
      <c r="O20" s="120">
        <v>0</v>
      </c>
      <c r="P20" s="120">
        <v>0</v>
      </c>
      <c r="Q20" s="120">
        <v>10</v>
      </c>
      <c r="R20" s="120">
        <v>0</v>
      </c>
      <c r="S20" s="120">
        <v>4</v>
      </c>
      <c r="T20" s="120">
        <v>8</v>
      </c>
      <c r="U20" s="120">
        <v>0</v>
      </c>
      <c r="V20" s="120">
        <v>8</v>
      </c>
      <c r="W20" s="120">
        <v>51</v>
      </c>
      <c r="X20" s="120">
        <v>0</v>
      </c>
      <c r="Y20" s="120">
        <v>0</v>
      </c>
      <c r="Z20" s="120">
        <v>4</v>
      </c>
      <c r="AA20" s="120">
        <v>0</v>
      </c>
      <c r="AB20" s="120">
        <v>4</v>
      </c>
      <c r="AC20" s="120">
        <v>0</v>
      </c>
      <c r="AD20" s="120">
        <v>0</v>
      </c>
      <c r="AE20" s="120">
        <v>7</v>
      </c>
      <c r="AF20" s="120">
        <v>8</v>
      </c>
      <c r="AG20" s="120">
        <v>0</v>
      </c>
      <c r="AH20" s="120">
        <v>2</v>
      </c>
      <c r="AI20" s="120">
        <v>12</v>
      </c>
      <c r="AJ20" s="120">
        <v>0</v>
      </c>
      <c r="AK20" s="247">
        <f t="shared" si="40"/>
        <v>25</v>
      </c>
      <c r="AL20" s="247">
        <f t="shared" si="41"/>
        <v>93</v>
      </c>
      <c r="AM20" s="247">
        <f t="shared" si="42"/>
        <v>118</v>
      </c>
      <c r="AN20" s="247">
        <f t="shared" si="43"/>
        <v>0</v>
      </c>
      <c r="AO20" s="189">
        <f t="shared" si="44"/>
        <v>0</v>
      </c>
      <c r="AP20" s="189">
        <f t="shared" si="45"/>
        <v>0</v>
      </c>
      <c r="AQ20" s="189">
        <f t="shared" si="46"/>
        <v>0</v>
      </c>
      <c r="AR20" s="81">
        <f t="shared" si="47"/>
        <v>21.1864406779661</v>
      </c>
      <c r="AS20" s="81">
        <f t="shared" si="48"/>
        <v>78.813559322033896</v>
      </c>
      <c r="AT20" s="81" t="e">
        <f t="shared" si="49"/>
        <v>#DIV/0!</v>
      </c>
      <c r="AU20" s="81" t="e">
        <f t="shared" si="50"/>
        <v>#DIV/0!</v>
      </c>
      <c r="AV20" s="81" t="e">
        <f t="shared" si="51"/>
        <v>#DIV/0!</v>
      </c>
      <c r="AW20" s="81" t="e">
        <f t="shared" si="52"/>
        <v>#DIV/0!</v>
      </c>
      <c r="AX20" s="81" t="e">
        <f t="shared" si="53"/>
        <v>#DIV/0!</v>
      </c>
      <c r="AY20" s="81" t="e">
        <f t="shared" si="54"/>
        <v>#DIV/0!</v>
      </c>
      <c r="AZ20" s="81" t="e">
        <f t="shared" si="55"/>
        <v>#DIV/0!</v>
      </c>
    </row>
    <row r="21" spans="1:52" s="40" customFormat="1" ht="20.25" customHeight="1">
      <c r="A21" s="83" t="s">
        <v>254</v>
      </c>
      <c r="B21" s="83">
        <f>COUNTA(B16:B20)</f>
        <v>5</v>
      </c>
      <c r="C21" s="83">
        <f>SUM(C16:C20)</f>
        <v>732</v>
      </c>
      <c r="D21" s="86">
        <f>MIN(D16:D20)</f>
        <v>45748</v>
      </c>
      <c r="E21" s="86">
        <f>MAX(E16:E20)</f>
        <v>45771</v>
      </c>
      <c r="F21" s="83">
        <f>SUM(F16:F20)</f>
        <v>361</v>
      </c>
      <c r="G21" s="83">
        <f t="shared" ref="G21:AJ21" si="56">SUM(G16:G20)</f>
        <v>0</v>
      </c>
      <c r="H21" s="83">
        <f t="shared" si="56"/>
        <v>361</v>
      </c>
      <c r="I21" s="83">
        <f t="shared" si="56"/>
        <v>34</v>
      </c>
      <c r="J21" s="83">
        <f t="shared" si="56"/>
        <v>0</v>
      </c>
      <c r="K21" s="83">
        <f t="shared" si="56"/>
        <v>395</v>
      </c>
      <c r="L21" s="83">
        <f t="shared" si="56"/>
        <v>0</v>
      </c>
      <c r="M21" s="83">
        <f t="shared" si="56"/>
        <v>0</v>
      </c>
      <c r="N21" s="83">
        <f t="shared" si="56"/>
        <v>361</v>
      </c>
      <c r="O21" s="83">
        <f t="shared" si="56"/>
        <v>0</v>
      </c>
      <c r="P21" s="83">
        <f t="shared" si="56"/>
        <v>12</v>
      </c>
      <c r="Q21" s="83">
        <f t="shared" si="56"/>
        <v>33</v>
      </c>
      <c r="R21" s="83">
        <f t="shared" si="56"/>
        <v>0</v>
      </c>
      <c r="S21" s="83">
        <f t="shared" si="56"/>
        <v>34</v>
      </c>
      <c r="T21" s="83">
        <f t="shared" si="56"/>
        <v>57</v>
      </c>
      <c r="U21" s="83">
        <f t="shared" si="56"/>
        <v>0</v>
      </c>
      <c r="V21" s="83">
        <f t="shared" si="56"/>
        <v>79</v>
      </c>
      <c r="W21" s="83">
        <f t="shared" si="56"/>
        <v>150</v>
      </c>
      <c r="X21" s="83">
        <f t="shared" si="56"/>
        <v>0</v>
      </c>
      <c r="Y21" s="83">
        <f t="shared" si="56"/>
        <v>110</v>
      </c>
      <c r="Z21" s="83">
        <f t="shared" si="56"/>
        <v>28</v>
      </c>
      <c r="AA21" s="83">
        <f t="shared" si="56"/>
        <v>0</v>
      </c>
      <c r="AB21" s="83">
        <f t="shared" si="56"/>
        <v>89</v>
      </c>
      <c r="AC21" s="83">
        <f t="shared" si="56"/>
        <v>26</v>
      </c>
      <c r="AD21" s="83">
        <f t="shared" si="56"/>
        <v>0</v>
      </c>
      <c r="AE21" s="83">
        <f t="shared" si="56"/>
        <v>62</v>
      </c>
      <c r="AF21" s="83">
        <f t="shared" si="56"/>
        <v>55</v>
      </c>
      <c r="AG21" s="83">
        <f t="shared" si="56"/>
        <v>0</v>
      </c>
      <c r="AH21" s="83">
        <f>SUM(AH16:AH20)</f>
        <v>14</v>
      </c>
      <c r="AI21" s="83">
        <f t="shared" si="56"/>
        <v>14</v>
      </c>
      <c r="AJ21" s="83">
        <f t="shared" si="56"/>
        <v>0</v>
      </c>
      <c r="AK21" s="83">
        <f>P21+S21+V21+Y21+AB21+AE21+AH21</f>
        <v>400</v>
      </c>
      <c r="AL21" s="83">
        <f>Q21+T21+W21+Z21+AC21+AF21+AI21</f>
        <v>363</v>
      </c>
      <c r="AM21" s="83">
        <f>AK21+AL21</f>
        <v>763</v>
      </c>
      <c r="AN21" s="83">
        <f>R21+U21+X21+AA21+AD21+AG21+AJ21</f>
        <v>0</v>
      </c>
      <c r="AO21" s="190">
        <f t="shared" ref="AO21" si="57">O21/H21*100</f>
        <v>0</v>
      </c>
      <c r="AP21" s="190">
        <f t="shared" ref="AP21" si="58">AN21/H21*100</f>
        <v>0</v>
      </c>
      <c r="AQ21" s="190">
        <f t="shared" ref="AQ21" si="59">AN21/AM21*100</f>
        <v>0</v>
      </c>
      <c r="AR21" s="85">
        <f t="shared" ref="AR21" si="60">AK21/AM21*100</f>
        <v>52.424639580602886</v>
      </c>
      <c r="AS21" s="85">
        <f t="shared" ref="AS21" si="61">AL21/AM21*100</f>
        <v>47.575360419397114</v>
      </c>
      <c r="AT21" s="85" t="e">
        <f t="shared" ref="AT21" si="62">R21/AN21*100</f>
        <v>#DIV/0!</v>
      </c>
      <c r="AU21" s="85" t="e">
        <f t="shared" ref="AU21" si="63">U21/AN21*100</f>
        <v>#DIV/0!</v>
      </c>
      <c r="AV21" s="85" t="e">
        <f t="shared" ref="AV21" si="64">X21/AN21*100</f>
        <v>#DIV/0!</v>
      </c>
      <c r="AW21" s="85" t="e">
        <f t="shared" ref="AW21" si="65">AA21/AN21*100</f>
        <v>#DIV/0!</v>
      </c>
      <c r="AX21" s="85" t="e">
        <f t="shared" ref="AX21" si="66">AD21/AN21*100</f>
        <v>#DIV/0!</v>
      </c>
      <c r="AY21" s="85" t="e">
        <f t="shared" ref="AY21" si="67">AG21/AN21*100</f>
        <v>#DIV/0!</v>
      </c>
      <c r="AZ21" s="85" t="e">
        <f t="shared" ref="AZ21" si="68">AJ21/AN21*100</f>
        <v>#DIV/0!</v>
      </c>
    </row>
    <row r="22" spans="1:52" s="65" customFormat="1" ht="20.25" customHeight="1">
      <c r="A22" s="70" t="s">
        <v>38</v>
      </c>
      <c r="B22" s="70">
        <f>+B9+B15+B21</f>
        <v>11</v>
      </c>
      <c r="C22" s="70">
        <f>+C9+C15+C21</f>
        <v>2139</v>
      </c>
      <c r="D22" s="68">
        <f>MIN(D6:D21)</f>
        <v>45692</v>
      </c>
      <c r="E22" s="68">
        <f>MAX(E6:E21)</f>
        <v>45771</v>
      </c>
      <c r="F22" s="71">
        <f>F9+F15+F21</f>
        <v>1043</v>
      </c>
      <c r="G22" s="71">
        <f t="shared" ref="G22:AJ22" si="69">G9+G15+G21</f>
        <v>0</v>
      </c>
      <c r="H22" s="71">
        <f t="shared" si="69"/>
        <v>1043</v>
      </c>
      <c r="I22" s="71">
        <f t="shared" si="69"/>
        <v>63</v>
      </c>
      <c r="J22" s="71">
        <f t="shared" si="69"/>
        <v>0</v>
      </c>
      <c r="K22" s="71">
        <f t="shared" si="69"/>
        <v>1106</v>
      </c>
      <c r="L22" s="71">
        <f t="shared" si="69"/>
        <v>0</v>
      </c>
      <c r="M22" s="71">
        <f t="shared" si="69"/>
        <v>0</v>
      </c>
      <c r="N22" s="71">
        <f t="shared" si="69"/>
        <v>726</v>
      </c>
      <c r="O22" s="71">
        <f t="shared" si="69"/>
        <v>6</v>
      </c>
      <c r="P22" s="71">
        <f t="shared" si="69"/>
        <v>26</v>
      </c>
      <c r="Q22" s="71">
        <f t="shared" si="69"/>
        <v>73</v>
      </c>
      <c r="R22" s="71">
        <f t="shared" si="69"/>
        <v>0</v>
      </c>
      <c r="S22" s="71">
        <f t="shared" si="69"/>
        <v>66</v>
      </c>
      <c r="T22" s="71">
        <f t="shared" si="69"/>
        <v>178</v>
      </c>
      <c r="U22" s="71">
        <f t="shared" si="69"/>
        <v>2</v>
      </c>
      <c r="V22" s="71">
        <f t="shared" si="69"/>
        <v>95</v>
      </c>
      <c r="W22" s="71">
        <f t="shared" si="69"/>
        <v>189</v>
      </c>
      <c r="X22" s="71">
        <f t="shared" si="69"/>
        <v>1</v>
      </c>
      <c r="Y22" s="71">
        <f t="shared" si="69"/>
        <v>186</v>
      </c>
      <c r="Z22" s="71">
        <f t="shared" si="69"/>
        <v>53</v>
      </c>
      <c r="AA22" s="71">
        <f t="shared" si="69"/>
        <v>0</v>
      </c>
      <c r="AB22" s="71">
        <f t="shared" si="69"/>
        <v>105</v>
      </c>
      <c r="AC22" s="71">
        <f t="shared" si="69"/>
        <v>56</v>
      </c>
      <c r="AD22" s="71">
        <f t="shared" si="69"/>
        <v>2</v>
      </c>
      <c r="AE22" s="71">
        <f t="shared" si="69"/>
        <v>72</v>
      </c>
      <c r="AF22" s="71">
        <f t="shared" si="69"/>
        <v>69</v>
      </c>
      <c r="AG22" s="71">
        <f t="shared" si="69"/>
        <v>2</v>
      </c>
      <c r="AH22" s="71">
        <f t="shared" si="69"/>
        <v>16</v>
      </c>
      <c r="AI22" s="71">
        <f t="shared" si="69"/>
        <v>14</v>
      </c>
      <c r="AJ22" s="71">
        <f t="shared" si="69"/>
        <v>0</v>
      </c>
      <c r="AK22" s="71">
        <f>P22+S22+V22+Y22+AB22+AE22+AH22</f>
        <v>566</v>
      </c>
      <c r="AL22" s="71">
        <f>Q22+T22+W22+Z22+AC22+AF22+AI22</f>
        <v>632</v>
      </c>
      <c r="AM22" s="71">
        <f>AK22+AL22</f>
        <v>1198</v>
      </c>
      <c r="AN22" s="71">
        <f>R22+U22+X22+AA22+AD22+AG22+AJ22</f>
        <v>7</v>
      </c>
      <c r="AO22" s="183">
        <f t="shared" si="2"/>
        <v>0.57526366251198469</v>
      </c>
      <c r="AP22" s="183">
        <f t="shared" si="3"/>
        <v>0.67114093959731547</v>
      </c>
      <c r="AQ22" s="183">
        <f t="shared" si="4"/>
        <v>0.58430717863105175</v>
      </c>
      <c r="AR22" s="69">
        <f t="shared" si="5"/>
        <v>47.245409015025039</v>
      </c>
      <c r="AS22" s="69">
        <f t="shared" si="6"/>
        <v>52.754590984974961</v>
      </c>
      <c r="AT22" s="69">
        <f t="shared" si="7"/>
        <v>0</v>
      </c>
      <c r="AU22" s="69">
        <f t="shared" si="8"/>
        <v>28.571428571428569</v>
      </c>
      <c r="AV22" s="69">
        <f t="shared" si="9"/>
        <v>14.285714285714285</v>
      </c>
      <c r="AW22" s="69">
        <f t="shared" si="10"/>
        <v>0</v>
      </c>
      <c r="AX22" s="69">
        <f t="shared" si="11"/>
        <v>28.571428571428569</v>
      </c>
      <c r="AY22" s="69">
        <f t="shared" si="12"/>
        <v>28.571428571428569</v>
      </c>
      <c r="AZ22" s="69">
        <f t="shared" si="13"/>
        <v>0</v>
      </c>
    </row>
    <row r="23" spans="1:52" s="10" customFormat="1" ht="18">
      <c r="A23" s="9" t="s">
        <v>52</v>
      </c>
      <c r="C23" s="44"/>
      <c r="AO23" s="191"/>
      <c r="AP23" s="191"/>
      <c r="AQ23" s="191"/>
      <c r="AR23" s="47"/>
      <c r="AS23" s="47"/>
      <c r="AT23" s="73"/>
      <c r="AU23" s="73"/>
      <c r="AV23" s="73"/>
      <c r="AW23" s="73"/>
      <c r="AX23" s="73"/>
      <c r="AY23" s="73"/>
      <c r="AZ23" s="73"/>
    </row>
  </sheetData>
  <autoFilter ref="A5:AO24">
    <filterColumn colId="2" showButton="0"/>
    <filterColumn colId="4" showButton="0"/>
    <filterColumn colId="5" showButton="0"/>
    <filterColumn colId="6" showButton="0"/>
    <filterColumn colId="7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  <filterColumn colId="30" showButton="0"/>
    <filterColumn colId="32" showButton="0"/>
    <filterColumn colId="34" showButton="0"/>
    <filterColumn colId="36" showButton="0"/>
  </autoFilter>
  <mergeCells count="50">
    <mergeCell ref="AV4:AV5"/>
    <mergeCell ref="AW4:AW5"/>
    <mergeCell ref="AX4:AX5"/>
    <mergeCell ref="AY4:AY5"/>
    <mergeCell ref="AZ4:AZ5"/>
    <mergeCell ref="AU4:AU5"/>
    <mergeCell ref="AT3:AZ3"/>
    <mergeCell ref="D4:D5"/>
    <mergeCell ref="E4:E5"/>
    <mergeCell ref="F4:G4"/>
    <mergeCell ref="H4:H5"/>
    <mergeCell ref="I4:I5"/>
    <mergeCell ref="J4:J5"/>
    <mergeCell ref="L4:L5"/>
    <mergeCell ref="M4:M5"/>
    <mergeCell ref="N4:N5"/>
    <mergeCell ref="V3:X3"/>
    <mergeCell ref="Y3:AA3"/>
    <mergeCell ref="AB3:AG3"/>
    <mergeCell ref="AH3:AJ3"/>
    <mergeCell ref="AM4:AM5"/>
    <mergeCell ref="A16:A20"/>
    <mergeCell ref="A10:A13"/>
    <mergeCell ref="AO3:AS3"/>
    <mergeCell ref="AR4:AS4"/>
    <mergeCell ref="AT4:AT5"/>
    <mergeCell ref="AN4:AN5"/>
    <mergeCell ref="O4:O5"/>
    <mergeCell ref="P4:R4"/>
    <mergeCell ref="S4:U4"/>
    <mergeCell ref="V4:X4"/>
    <mergeCell ref="Y4:AA4"/>
    <mergeCell ref="A6:A8"/>
    <mergeCell ref="AE4:AG4"/>
    <mergeCell ref="AH4:AJ4"/>
    <mergeCell ref="AK4:AK5"/>
    <mergeCell ref="AL4:AL5"/>
    <mergeCell ref="A1:AP1"/>
    <mergeCell ref="A3:A5"/>
    <mergeCell ref="B3:B5"/>
    <mergeCell ref="C3:C5"/>
    <mergeCell ref="D3:E3"/>
    <mergeCell ref="F3:J3"/>
    <mergeCell ref="K3:K5"/>
    <mergeCell ref="L3:M3"/>
    <mergeCell ref="N3:O3"/>
    <mergeCell ref="P3:U3"/>
    <mergeCell ref="AB4:AD4"/>
    <mergeCell ref="AK3:AN3"/>
    <mergeCell ref="AO4:AQ4"/>
  </mergeCells>
  <pageMargins left="0.75" right="0.75" top="1" bottom="1" header="0" footer="0"/>
  <pageSetup scale="9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Z17"/>
  <sheetViews>
    <sheetView workbookViewId="0">
      <pane xSplit="3" ySplit="5" topLeftCell="D15" activePane="bottomRight" state="frozen"/>
      <selection activeCell="C20" sqref="C20"/>
      <selection pane="topRight" activeCell="C20" sqref="C20"/>
      <selection pane="bottomLeft" activeCell="C20" sqref="C20"/>
      <selection pane="bottomRight" activeCell="K18" sqref="K18"/>
    </sheetView>
  </sheetViews>
  <sheetFormatPr baseColWidth="10" defaultRowHeight="12.75"/>
  <cols>
    <col min="1" max="1" width="22.5703125" customWidth="1"/>
    <col min="2" max="2" width="29.85546875" customWidth="1"/>
    <col min="3" max="3" width="10.85546875" style="147" customWidth="1"/>
    <col min="4" max="5" width="12.7109375" customWidth="1"/>
    <col min="6" max="6" width="8.140625" customWidth="1"/>
    <col min="7" max="7" width="6.5703125" customWidth="1"/>
    <col min="8" max="8" width="8.42578125" customWidth="1"/>
    <col min="9" max="9" width="5.5703125" customWidth="1"/>
    <col min="10" max="10" width="5.85546875" customWidth="1"/>
    <col min="11" max="11" width="8" customWidth="1"/>
    <col min="12" max="13" width="5.5703125" customWidth="1"/>
    <col min="14" max="14" width="8.7109375" customWidth="1"/>
    <col min="15" max="19" width="6.85546875" customWidth="1"/>
    <col min="20" max="22" width="5.5703125" customWidth="1"/>
    <col min="23" max="23" width="6.140625" customWidth="1"/>
    <col min="24" max="25" width="5.5703125" customWidth="1"/>
    <col min="26" max="26" width="6.140625" customWidth="1"/>
    <col min="27" max="29" width="5.5703125" customWidth="1"/>
    <col min="30" max="30" width="6.140625" customWidth="1"/>
    <col min="31" max="31" width="5.5703125" customWidth="1"/>
    <col min="32" max="32" width="6.28515625" customWidth="1"/>
    <col min="33" max="36" width="5.5703125" customWidth="1"/>
    <col min="37" max="40" width="8.42578125" customWidth="1"/>
    <col min="41" max="43" width="9.85546875" style="46" customWidth="1"/>
    <col min="44" max="45" width="9.7109375" style="46" customWidth="1"/>
    <col min="46" max="52" width="11" style="72" customWidth="1"/>
  </cols>
  <sheetData>
    <row r="1" spans="1:52" ht="44.25" customHeight="1">
      <c r="A1" s="326" t="s">
        <v>203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  <c r="AO1" s="326"/>
      <c r="AP1" s="326"/>
      <c r="AQ1" s="48"/>
      <c r="AR1" s="48"/>
      <c r="AS1" s="48"/>
    </row>
    <row r="2" spans="1:52">
      <c r="A2" s="132" t="s">
        <v>177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49"/>
      <c r="AP2" s="49"/>
      <c r="AQ2" s="49"/>
      <c r="AR2" s="49"/>
      <c r="AS2" s="49"/>
    </row>
    <row r="3" spans="1:52" s="11" customFormat="1" ht="51" customHeight="1">
      <c r="A3" s="327" t="s">
        <v>46</v>
      </c>
      <c r="B3" s="328" t="s">
        <v>47</v>
      </c>
      <c r="C3" s="329" t="s">
        <v>76</v>
      </c>
      <c r="D3" s="327" t="s">
        <v>0</v>
      </c>
      <c r="E3" s="327"/>
      <c r="F3" s="327" t="s">
        <v>4</v>
      </c>
      <c r="G3" s="327"/>
      <c r="H3" s="327"/>
      <c r="I3" s="327"/>
      <c r="J3" s="327"/>
      <c r="K3" s="332" t="s">
        <v>3</v>
      </c>
      <c r="L3" s="333" t="s">
        <v>8</v>
      </c>
      <c r="M3" s="333"/>
      <c r="N3" s="334" t="s">
        <v>71</v>
      </c>
      <c r="O3" s="334"/>
      <c r="P3" s="335" t="s">
        <v>60</v>
      </c>
      <c r="Q3" s="336"/>
      <c r="R3" s="336"/>
      <c r="S3" s="336"/>
      <c r="T3" s="336"/>
      <c r="U3" s="337"/>
      <c r="V3" s="335" t="s">
        <v>57</v>
      </c>
      <c r="W3" s="336"/>
      <c r="X3" s="337"/>
      <c r="Y3" s="335" t="s">
        <v>58</v>
      </c>
      <c r="Z3" s="336"/>
      <c r="AA3" s="337"/>
      <c r="AB3" s="348" t="s">
        <v>56</v>
      </c>
      <c r="AC3" s="349"/>
      <c r="AD3" s="349"/>
      <c r="AE3" s="349"/>
      <c r="AF3" s="349"/>
      <c r="AG3" s="350"/>
      <c r="AH3" s="335" t="s">
        <v>59</v>
      </c>
      <c r="AI3" s="336"/>
      <c r="AJ3" s="337"/>
      <c r="AK3" s="335" t="s">
        <v>2</v>
      </c>
      <c r="AL3" s="336"/>
      <c r="AM3" s="336"/>
      <c r="AN3" s="337"/>
      <c r="AO3" s="351" t="s">
        <v>90</v>
      </c>
      <c r="AP3" s="352"/>
      <c r="AQ3" s="352"/>
      <c r="AR3" s="352"/>
      <c r="AS3" s="353"/>
      <c r="AT3" s="344" t="s">
        <v>89</v>
      </c>
      <c r="AU3" s="344"/>
      <c r="AV3" s="344"/>
      <c r="AW3" s="344"/>
      <c r="AX3" s="344"/>
      <c r="AY3" s="344"/>
      <c r="AZ3" s="344"/>
    </row>
    <row r="4" spans="1:52" s="11" customFormat="1" ht="59.25" customHeight="1">
      <c r="A4" s="327"/>
      <c r="B4" s="328"/>
      <c r="C4" s="330"/>
      <c r="D4" s="327" t="s">
        <v>10</v>
      </c>
      <c r="E4" s="327" t="s">
        <v>9</v>
      </c>
      <c r="F4" s="345" t="s">
        <v>5</v>
      </c>
      <c r="G4" s="345"/>
      <c r="H4" s="346" t="s">
        <v>2</v>
      </c>
      <c r="I4" s="346" t="s">
        <v>13</v>
      </c>
      <c r="J4" s="346" t="s">
        <v>14</v>
      </c>
      <c r="K4" s="332"/>
      <c r="L4" s="347" t="s">
        <v>7</v>
      </c>
      <c r="M4" s="340" t="s">
        <v>6</v>
      </c>
      <c r="N4" s="347" t="s">
        <v>1</v>
      </c>
      <c r="O4" s="340" t="s">
        <v>6</v>
      </c>
      <c r="P4" s="335" t="s">
        <v>34</v>
      </c>
      <c r="Q4" s="336"/>
      <c r="R4" s="337"/>
      <c r="S4" s="341" t="s">
        <v>35</v>
      </c>
      <c r="T4" s="342"/>
      <c r="U4" s="343"/>
      <c r="V4" s="335" t="s">
        <v>31</v>
      </c>
      <c r="W4" s="336"/>
      <c r="X4" s="337"/>
      <c r="Y4" s="335" t="s">
        <v>32</v>
      </c>
      <c r="Z4" s="336"/>
      <c r="AA4" s="337"/>
      <c r="AB4" s="354" t="s">
        <v>36</v>
      </c>
      <c r="AC4" s="355"/>
      <c r="AD4" s="356"/>
      <c r="AE4" s="335" t="s">
        <v>37</v>
      </c>
      <c r="AF4" s="336"/>
      <c r="AG4" s="337"/>
      <c r="AH4" s="335" t="s">
        <v>33</v>
      </c>
      <c r="AI4" s="336"/>
      <c r="AJ4" s="337"/>
      <c r="AK4" s="357" t="s">
        <v>84</v>
      </c>
      <c r="AL4" s="357" t="s">
        <v>85</v>
      </c>
      <c r="AM4" s="357" t="s">
        <v>86</v>
      </c>
      <c r="AN4" s="338" t="s">
        <v>87</v>
      </c>
      <c r="AO4" s="429" t="s">
        <v>91</v>
      </c>
      <c r="AP4" s="430"/>
      <c r="AQ4" s="431"/>
      <c r="AR4" s="363" t="s">
        <v>92</v>
      </c>
      <c r="AS4" s="364"/>
      <c r="AT4" s="359" t="s">
        <v>97</v>
      </c>
      <c r="AU4" s="359" t="s">
        <v>88</v>
      </c>
      <c r="AV4" s="359" t="s">
        <v>80</v>
      </c>
      <c r="AW4" s="359" t="s">
        <v>81</v>
      </c>
      <c r="AX4" s="359" t="s">
        <v>294</v>
      </c>
      <c r="AY4" s="359" t="s">
        <v>82</v>
      </c>
      <c r="AZ4" s="359" t="s">
        <v>83</v>
      </c>
    </row>
    <row r="5" spans="1:52" s="11" customFormat="1" ht="41.25" customHeight="1">
      <c r="A5" s="327"/>
      <c r="B5" s="328"/>
      <c r="C5" s="331"/>
      <c r="D5" s="327"/>
      <c r="E5" s="327"/>
      <c r="F5" s="145" t="s">
        <v>11</v>
      </c>
      <c r="G5" s="145" t="s">
        <v>12</v>
      </c>
      <c r="H5" s="346"/>
      <c r="I5" s="346"/>
      <c r="J5" s="346"/>
      <c r="K5" s="332"/>
      <c r="L5" s="347"/>
      <c r="M5" s="340"/>
      <c r="N5" s="347"/>
      <c r="O5" s="340"/>
      <c r="P5" s="144" t="s">
        <v>77</v>
      </c>
      <c r="Q5" s="144" t="s">
        <v>78</v>
      </c>
      <c r="R5" s="146" t="s">
        <v>79</v>
      </c>
      <c r="S5" s="144" t="s">
        <v>77</v>
      </c>
      <c r="T5" s="144" t="s">
        <v>78</v>
      </c>
      <c r="U5" s="146" t="s">
        <v>79</v>
      </c>
      <c r="V5" s="144" t="s">
        <v>77</v>
      </c>
      <c r="W5" s="144" t="s">
        <v>78</v>
      </c>
      <c r="X5" s="146" t="s">
        <v>79</v>
      </c>
      <c r="Y5" s="144" t="s">
        <v>77</v>
      </c>
      <c r="Z5" s="144" t="s">
        <v>78</v>
      </c>
      <c r="AA5" s="146" t="s">
        <v>79</v>
      </c>
      <c r="AB5" s="144" t="s">
        <v>77</v>
      </c>
      <c r="AC5" s="144" t="s">
        <v>78</v>
      </c>
      <c r="AD5" s="146" t="s">
        <v>79</v>
      </c>
      <c r="AE5" s="144" t="s">
        <v>77</v>
      </c>
      <c r="AF5" s="144" t="s">
        <v>78</v>
      </c>
      <c r="AG5" s="146" t="s">
        <v>79</v>
      </c>
      <c r="AH5" s="144" t="s">
        <v>77</v>
      </c>
      <c r="AI5" s="144" t="s">
        <v>78</v>
      </c>
      <c r="AJ5" s="146" t="s">
        <v>79</v>
      </c>
      <c r="AK5" s="358"/>
      <c r="AL5" s="358"/>
      <c r="AM5" s="358"/>
      <c r="AN5" s="339"/>
      <c r="AO5" s="52" t="s">
        <v>93</v>
      </c>
      <c r="AP5" s="52" t="s">
        <v>94</v>
      </c>
      <c r="AQ5" s="52" t="s">
        <v>98</v>
      </c>
      <c r="AR5" s="50" t="s">
        <v>95</v>
      </c>
      <c r="AS5" s="50" t="s">
        <v>96</v>
      </c>
      <c r="AT5" s="359"/>
      <c r="AU5" s="359"/>
      <c r="AV5" s="359"/>
      <c r="AW5" s="359"/>
      <c r="AX5" s="359"/>
      <c r="AY5" s="359"/>
      <c r="AZ5" s="359"/>
    </row>
    <row r="6" spans="1:52" s="165" customFormat="1" ht="20.25" customHeight="1">
      <c r="A6" s="166" t="s">
        <v>209</v>
      </c>
      <c r="B6" s="163" t="s">
        <v>204</v>
      </c>
      <c r="C6" s="159">
        <v>118</v>
      </c>
      <c r="D6" s="160">
        <v>45699</v>
      </c>
      <c r="E6" s="160">
        <v>45706</v>
      </c>
      <c r="F6" s="159">
        <v>53</v>
      </c>
      <c r="G6" s="159">
        <v>0</v>
      </c>
      <c r="H6" s="140">
        <f>F6+G6</f>
        <v>53</v>
      </c>
      <c r="I6" s="159">
        <v>25</v>
      </c>
      <c r="J6" s="159">
        <v>0</v>
      </c>
      <c r="K6" s="140">
        <f>H6+I6+J6</f>
        <v>78</v>
      </c>
      <c r="L6" s="159">
        <v>0</v>
      </c>
      <c r="M6" s="159">
        <v>0</v>
      </c>
      <c r="N6" s="159">
        <v>53</v>
      </c>
      <c r="O6" s="159">
        <v>0</v>
      </c>
      <c r="P6" s="159">
        <v>0</v>
      </c>
      <c r="Q6" s="159">
        <v>0</v>
      </c>
      <c r="R6" s="159">
        <v>0</v>
      </c>
      <c r="S6" s="159">
        <v>1</v>
      </c>
      <c r="T6" s="159">
        <v>17</v>
      </c>
      <c r="U6" s="159">
        <v>0</v>
      </c>
      <c r="V6" s="159">
        <v>0</v>
      </c>
      <c r="W6" s="159">
        <v>0</v>
      </c>
      <c r="X6" s="159">
        <v>0</v>
      </c>
      <c r="Y6" s="159">
        <v>0</v>
      </c>
      <c r="Z6" s="159">
        <v>0</v>
      </c>
      <c r="AA6" s="159">
        <v>0</v>
      </c>
      <c r="AB6" s="159">
        <v>2</v>
      </c>
      <c r="AC6" s="159">
        <v>1</v>
      </c>
      <c r="AD6" s="159">
        <v>0</v>
      </c>
      <c r="AE6" s="159">
        <v>0</v>
      </c>
      <c r="AF6" s="159">
        <v>3</v>
      </c>
      <c r="AG6" s="159">
        <v>0</v>
      </c>
      <c r="AH6" s="159">
        <v>0</v>
      </c>
      <c r="AI6" s="159">
        <v>0</v>
      </c>
      <c r="AJ6" s="159">
        <v>0</v>
      </c>
      <c r="AK6" s="140">
        <f t="shared" ref="AK6:AL10" si="0">P6+S6+V6+Y6+AB6+AE6+AH6</f>
        <v>3</v>
      </c>
      <c r="AL6" s="140">
        <f t="shared" si="0"/>
        <v>21</v>
      </c>
      <c r="AM6" s="140">
        <f t="shared" ref="AM6:AM10" si="1">AK6+AL6</f>
        <v>24</v>
      </c>
      <c r="AN6" s="140">
        <f t="shared" ref="AN6:AN10" si="2">R6+U6+X6+AA6+AD6+AG6+AJ6</f>
        <v>0</v>
      </c>
      <c r="AO6" s="81">
        <f t="shared" ref="AO6:AO10" si="3">O6/H6*100</f>
        <v>0</v>
      </c>
      <c r="AP6" s="81">
        <f t="shared" ref="AP6:AP11" si="4">AN6/H6*100</f>
        <v>0</v>
      </c>
      <c r="AQ6" s="81">
        <f t="shared" ref="AQ6:AQ11" si="5">AN6/AM6*100</f>
        <v>0</v>
      </c>
      <c r="AR6" s="81">
        <f t="shared" ref="AR6:AR11" si="6">AK6/AM6*100</f>
        <v>12.5</v>
      </c>
      <c r="AS6" s="81">
        <f t="shared" ref="AS6:AS11" si="7">AL6/AM6*100</f>
        <v>87.5</v>
      </c>
      <c r="AT6" s="81" t="e">
        <f t="shared" ref="AT6:AT11" si="8">R6/AN6*100</f>
        <v>#DIV/0!</v>
      </c>
      <c r="AU6" s="81" t="e">
        <f t="shared" ref="AU6:AU11" si="9">U6/AN6*100</f>
        <v>#DIV/0!</v>
      </c>
      <c r="AV6" s="81" t="e">
        <f t="shared" ref="AV6:AV11" si="10">X6/AN6*100</f>
        <v>#DIV/0!</v>
      </c>
      <c r="AW6" s="81" t="e">
        <f t="shared" ref="AW6:AW11" si="11">AA6/AN6*100</f>
        <v>#DIV/0!</v>
      </c>
      <c r="AX6" s="81" t="e">
        <f t="shared" ref="AX6:AX11" si="12">AD6/AN6*100</f>
        <v>#DIV/0!</v>
      </c>
      <c r="AY6" s="81" t="e">
        <f t="shared" ref="AY6:AY11" si="13">AG6/AN6*100</f>
        <v>#DIV/0!</v>
      </c>
      <c r="AZ6" s="81" t="e">
        <f t="shared" ref="AZ6:AZ11" si="14">AJ6/AN6*100</f>
        <v>#DIV/0!</v>
      </c>
    </row>
    <row r="7" spans="1:52" s="65" customFormat="1" ht="20.25" customHeight="1">
      <c r="A7" s="70" t="s">
        <v>99</v>
      </c>
      <c r="B7" s="70">
        <f>COUNTA(#REF!)</f>
        <v>1</v>
      </c>
      <c r="C7" s="70">
        <f>C6</f>
        <v>118</v>
      </c>
      <c r="D7" s="68">
        <f>MIN(D6)</f>
        <v>45699</v>
      </c>
      <c r="E7" s="68">
        <f>MAX(E6)</f>
        <v>45706</v>
      </c>
      <c r="F7" s="70">
        <f>SUM(F6)</f>
        <v>53</v>
      </c>
      <c r="G7" s="70">
        <f t="shared" ref="G7:AJ7" si="15">SUM(G6)</f>
        <v>0</v>
      </c>
      <c r="H7" s="70">
        <f t="shared" si="15"/>
        <v>53</v>
      </c>
      <c r="I7" s="70">
        <f t="shared" si="15"/>
        <v>25</v>
      </c>
      <c r="J7" s="70">
        <f t="shared" si="15"/>
        <v>0</v>
      </c>
      <c r="K7" s="70">
        <f t="shared" si="15"/>
        <v>78</v>
      </c>
      <c r="L7" s="70">
        <f t="shared" si="15"/>
        <v>0</v>
      </c>
      <c r="M7" s="70">
        <f t="shared" si="15"/>
        <v>0</v>
      </c>
      <c r="N7" s="70">
        <f t="shared" si="15"/>
        <v>53</v>
      </c>
      <c r="O7" s="70">
        <f t="shared" si="15"/>
        <v>0</v>
      </c>
      <c r="P7" s="70">
        <f t="shared" si="15"/>
        <v>0</v>
      </c>
      <c r="Q7" s="70">
        <f t="shared" si="15"/>
        <v>0</v>
      </c>
      <c r="R7" s="70">
        <f t="shared" si="15"/>
        <v>0</v>
      </c>
      <c r="S7" s="70">
        <f t="shared" si="15"/>
        <v>1</v>
      </c>
      <c r="T7" s="70">
        <f t="shared" si="15"/>
        <v>17</v>
      </c>
      <c r="U7" s="70">
        <f t="shared" si="15"/>
        <v>0</v>
      </c>
      <c r="V7" s="70">
        <f t="shared" si="15"/>
        <v>0</v>
      </c>
      <c r="W7" s="70">
        <f t="shared" si="15"/>
        <v>0</v>
      </c>
      <c r="X7" s="70">
        <f t="shared" si="15"/>
        <v>0</v>
      </c>
      <c r="Y7" s="70">
        <f t="shared" si="15"/>
        <v>0</v>
      </c>
      <c r="Z7" s="70">
        <f t="shared" si="15"/>
        <v>0</v>
      </c>
      <c r="AA7" s="70">
        <f t="shared" si="15"/>
        <v>0</v>
      </c>
      <c r="AB7" s="70">
        <f t="shared" si="15"/>
        <v>2</v>
      </c>
      <c r="AC7" s="70">
        <f t="shared" si="15"/>
        <v>1</v>
      </c>
      <c r="AD7" s="70">
        <f t="shared" si="15"/>
        <v>0</v>
      </c>
      <c r="AE7" s="70">
        <f t="shared" si="15"/>
        <v>0</v>
      </c>
      <c r="AF7" s="70">
        <f t="shared" si="15"/>
        <v>3</v>
      </c>
      <c r="AG7" s="70">
        <f t="shared" si="15"/>
        <v>0</v>
      </c>
      <c r="AH7" s="70">
        <f t="shared" si="15"/>
        <v>0</v>
      </c>
      <c r="AI7" s="70">
        <f t="shared" si="15"/>
        <v>0</v>
      </c>
      <c r="AJ7" s="70">
        <f t="shared" si="15"/>
        <v>0</v>
      </c>
      <c r="AK7" s="123">
        <f t="shared" si="0"/>
        <v>3</v>
      </c>
      <c r="AL7" s="123">
        <f t="shared" si="0"/>
        <v>21</v>
      </c>
      <c r="AM7" s="123">
        <f t="shared" si="1"/>
        <v>24</v>
      </c>
      <c r="AN7" s="123">
        <f t="shared" si="2"/>
        <v>0</v>
      </c>
      <c r="AO7" s="122">
        <f t="shared" si="3"/>
        <v>0</v>
      </c>
      <c r="AP7" s="122">
        <f t="shared" si="4"/>
        <v>0</v>
      </c>
      <c r="AQ7" s="122">
        <f t="shared" si="5"/>
        <v>0</v>
      </c>
      <c r="AR7" s="122">
        <f t="shared" si="6"/>
        <v>12.5</v>
      </c>
      <c r="AS7" s="122">
        <f t="shared" si="7"/>
        <v>87.5</v>
      </c>
      <c r="AT7" s="122" t="e">
        <f t="shared" si="8"/>
        <v>#DIV/0!</v>
      </c>
      <c r="AU7" s="122" t="e">
        <f t="shared" si="9"/>
        <v>#DIV/0!</v>
      </c>
      <c r="AV7" s="122" t="e">
        <f t="shared" si="10"/>
        <v>#DIV/0!</v>
      </c>
      <c r="AW7" s="122" t="e">
        <f t="shared" si="11"/>
        <v>#DIV/0!</v>
      </c>
      <c r="AX7" s="122" t="e">
        <f t="shared" si="12"/>
        <v>#DIV/0!</v>
      </c>
      <c r="AY7" s="122" t="e">
        <f t="shared" si="13"/>
        <v>#DIV/0!</v>
      </c>
      <c r="AZ7" s="122" t="e">
        <f t="shared" si="14"/>
        <v>#DIV/0!</v>
      </c>
    </row>
    <row r="8" spans="1:52" s="165" customFormat="1" ht="18" customHeight="1">
      <c r="A8" s="368" t="s">
        <v>209</v>
      </c>
      <c r="B8" s="163" t="s">
        <v>217</v>
      </c>
      <c r="C8" s="159">
        <v>678</v>
      </c>
      <c r="D8" s="160">
        <v>45723</v>
      </c>
      <c r="E8" s="160">
        <v>45744</v>
      </c>
      <c r="F8" s="159">
        <v>213</v>
      </c>
      <c r="G8" s="159">
        <v>0</v>
      </c>
      <c r="H8" s="120">
        <v>213</v>
      </c>
      <c r="I8" s="159">
        <v>0</v>
      </c>
      <c r="J8" s="159">
        <v>0</v>
      </c>
      <c r="K8" s="120">
        <v>213</v>
      </c>
      <c r="L8" s="159">
        <v>0</v>
      </c>
      <c r="M8" s="159">
        <v>0</v>
      </c>
      <c r="N8" s="159">
        <v>213</v>
      </c>
      <c r="O8" s="159">
        <v>0</v>
      </c>
      <c r="P8" s="159">
        <v>3</v>
      </c>
      <c r="Q8" s="159">
        <v>0</v>
      </c>
      <c r="R8" s="159">
        <v>0</v>
      </c>
      <c r="S8" s="159">
        <v>6</v>
      </c>
      <c r="T8" s="159">
        <v>4</v>
      </c>
      <c r="U8" s="159">
        <v>0</v>
      </c>
      <c r="V8" s="159">
        <v>18</v>
      </c>
      <c r="W8" s="159">
        <v>2</v>
      </c>
      <c r="X8" s="159">
        <v>0</v>
      </c>
      <c r="Y8" s="159">
        <v>12</v>
      </c>
      <c r="Z8" s="159">
        <v>0</v>
      </c>
      <c r="AA8" s="159">
        <v>0</v>
      </c>
      <c r="AB8" s="159">
        <v>46</v>
      </c>
      <c r="AC8" s="159">
        <v>0</v>
      </c>
      <c r="AD8" s="159">
        <v>0</v>
      </c>
      <c r="AE8" s="159">
        <v>115</v>
      </c>
      <c r="AF8" s="159">
        <v>1</v>
      </c>
      <c r="AG8" s="159">
        <v>0</v>
      </c>
      <c r="AH8" s="159">
        <v>0</v>
      </c>
      <c r="AI8" s="159">
        <v>0</v>
      </c>
      <c r="AJ8" s="159">
        <v>0</v>
      </c>
      <c r="AK8" s="203">
        <f t="shared" si="0"/>
        <v>200</v>
      </c>
      <c r="AL8" s="203">
        <f t="shared" si="0"/>
        <v>7</v>
      </c>
      <c r="AM8" s="203">
        <f t="shared" si="1"/>
        <v>207</v>
      </c>
      <c r="AN8" s="203">
        <f t="shared" si="2"/>
        <v>0</v>
      </c>
      <c r="AO8" s="81">
        <f t="shared" si="3"/>
        <v>0</v>
      </c>
      <c r="AP8" s="81">
        <f t="shared" si="4"/>
        <v>0</v>
      </c>
      <c r="AQ8" s="81">
        <f t="shared" si="5"/>
        <v>0</v>
      </c>
      <c r="AR8" s="81">
        <f t="shared" si="6"/>
        <v>96.618357487922708</v>
      </c>
      <c r="AS8" s="81">
        <f t="shared" si="7"/>
        <v>3.3816425120772946</v>
      </c>
      <c r="AT8" s="81" t="e">
        <f t="shared" si="8"/>
        <v>#DIV/0!</v>
      </c>
      <c r="AU8" s="81" t="e">
        <f t="shared" si="9"/>
        <v>#DIV/0!</v>
      </c>
      <c r="AV8" s="81" t="e">
        <f t="shared" si="10"/>
        <v>#DIV/0!</v>
      </c>
      <c r="AW8" s="81" t="e">
        <f t="shared" si="11"/>
        <v>#DIV/0!</v>
      </c>
      <c r="AX8" s="81" t="e">
        <f t="shared" si="12"/>
        <v>#DIV/0!</v>
      </c>
      <c r="AY8" s="81" t="e">
        <f t="shared" si="13"/>
        <v>#DIV/0!</v>
      </c>
      <c r="AZ8" s="81" t="e">
        <f t="shared" si="14"/>
        <v>#DIV/0!</v>
      </c>
    </row>
    <row r="9" spans="1:52" s="165" customFormat="1" ht="20.25" customHeight="1">
      <c r="A9" s="369"/>
      <c r="B9" s="163" t="s">
        <v>204</v>
      </c>
      <c r="C9" s="159">
        <v>190</v>
      </c>
      <c r="D9" s="160">
        <v>45723</v>
      </c>
      <c r="E9" s="160">
        <v>45723</v>
      </c>
      <c r="F9" s="159">
        <v>48</v>
      </c>
      <c r="G9" s="159">
        <v>0</v>
      </c>
      <c r="H9" s="120">
        <v>48</v>
      </c>
      <c r="I9" s="159">
        <v>0</v>
      </c>
      <c r="J9" s="159">
        <v>0</v>
      </c>
      <c r="K9" s="120">
        <v>48</v>
      </c>
      <c r="L9" s="159">
        <v>0</v>
      </c>
      <c r="M9" s="159">
        <v>0</v>
      </c>
      <c r="N9" s="159">
        <v>48</v>
      </c>
      <c r="O9" s="159">
        <v>0</v>
      </c>
      <c r="P9" s="159">
        <v>0</v>
      </c>
      <c r="Q9" s="159">
        <v>0</v>
      </c>
      <c r="R9" s="159">
        <v>0</v>
      </c>
      <c r="S9" s="159">
        <v>0</v>
      </c>
      <c r="T9" s="159">
        <v>1</v>
      </c>
      <c r="U9" s="159">
        <v>0</v>
      </c>
      <c r="V9" s="159">
        <v>0</v>
      </c>
      <c r="W9" s="159">
        <v>0</v>
      </c>
      <c r="X9" s="159">
        <v>0</v>
      </c>
      <c r="Y9" s="159">
        <v>0</v>
      </c>
      <c r="Z9" s="159">
        <v>0</v>
      </c>
      <c r="AA9" s="159">
        <v>0</v>
      </c>
      <c r="AB9" s="159">
        <v>1</v>
      </c>
      <c r="AC9" s="159">
        <v>0</v>
      </c>
      <c r="AD9" s="159">
        <v>0</v>
      </c>
      <c r="AE9" s="159">
        <v>0</v>
      </c>
      <c r="AF9" s="159">
        <v>0</v>
      </c>
      <c r="AG9" s="159">
        <v>0</v>
      </c>
      <c r="AH9" s="159">
        <v>0</v>
      </c>
      <c r="AI9" s="159">
        <v>2</v>
      </c>
      <c r="AJ9" s="159">
        <v>0</v>
      </c>
      <c r="AK9" s="203">
        <f t="shared" si="0"/>
        <v>1</v>
      </c>
      <c r="AL9" s="203">
        <f t="shared" si="0"/>
        <v>3</v>
      </c>
      <c r="AM9" s="203">
        <f t="shared" si="1"/>
        <v>4</v>
      </c>
      <c r="AN9" s="203">
        <f t="shared" si="2"/>
        <v>0</v>
      </c>
      <c r="AO9" s="81">
        <f t="shared" si="3"/>
        <v>0</v>
      </c>
      <c r="AP9" s="81">
        <f t="shared" si="4"/>
        <v>0</v>
      </c>
      <c r="AQ9" s="81">
        <f t="shared" si="5"/>
        <v>0</v>
      </c>
      <c r="AR9" s="81">
        <f t="shared" si="6"/>
        <v>25</v>
      </c>
      <c r="AS9" s="81">
        <f t="shared" si="7"/>
        <v>75</v>
      </c>
      <c r="AT9" s="81" t="e">
        <f t="shared" si="8"/>
        <v>#DIV/0!</v>
      </c>
      <c r="AU9" s="81" t="e">
        <f t="shared" si="9"/>
        <v>#DIV/0!</v>
      </c>
      <c r="AV9" s="81" t="e">
        <f t="shared" si="10"/>
        <v>#DIV/0!</v>
      </c>
      <c r="AW9" s="81" t="e">
        <f t="shared" si="11"/>
        <v>#DIV/0!</v>
      </c>
      <c r="AX9" s="81" t="e">
        <f t="shared" si="12"/>
        <v>#DIV/0!</v>
      </c>
      <c r="AY9" s="81" t="e">
        <f t="shared" si="13"/>
        <v>#DIV/0!</v>
      </c>
      <c r="AZ9" s="81" t="e">
        <f t="shared" si="14"/>
        <v>#DIV/0!</v>
      </c>
    </row>
    <row r="10" spans="1:52" s="65" customFormat="1" ht="20.25" customHeight="1">
      <c r="A10" s="70" t="s">
        <v>103</v>
      </c>
      <c r="B10" s="70">
        <v>2</v>
      </c>
      <c r="C10" s="70">
        <f>SUM(C8:C9)</f>
        <v>868</v>
      </c>
      <c r="D10" s="68">
        <v>45723</v>
      </c>
      <c r="E10" s="68" t="s">
        <v>244</v>
      </c>
      <c r="F10" s="70">
        <f>SUM(F8:F9)</f>
        <v>261</v>
      </c>
      <c r="G10" s="70">
        <v>0</v>
      </c>
      <c r="H10" s="62">
        <f>F10+G10</f>
        <v>261</v>
      </c>
      <c r="I10" s="70">
        <v>0</v>
      </c>
      <c r="J10" s="70">
        <v>0</v>
      </c>
      <c r="K10" s="123">
        <f>H10+I10+J10</f>
        <v>261</v>
      </c>
      <c r="L10" s="70">
        <v>0</v>
      </c>
      <c r="M10" s="70">
        <v>0</v>
      </c>
      <c r="N10" s="70">
        <f>SUM(N8:N9)</f>
        <v>261</v>
      </c>
      <c r="O10" s="70">
        <v>0</v>
      </c>
      <c r="P10" s="70">
        <v>3</v>
      </c>
      <c r="Q10" s="70">
        <v>0</v>
      </c>
      <c r="R10" s="70">
        <v>0</v>
      </c>
      <c r="S10" s="70">
        <v>6</v>
      </c>
      <c r="T10" s="70">
        <v>5</v>
      </c>
      <c r="U10" s="70">
        <v>0</v>
      </c>
      <c r="V10" s="70">
        <v>18</v>
      </c>
      <c r="W10" s="70">
        <v>2</v>
      </c>
      <c r="X10" s="70">
        <v>0</v>
      </c>
      <c r="Y10" s="70">
        <v>12</v>
      </c>
      <c r="Z10" s="70">
        <v>0</v>
      </c>
      <c r="AA10" s="70">
        <v>0</v>
      </c>
      <c r="AB10" s="70">
        <v>47</v>
      </c>
      <c r="AC10" s="70">
        <v>0</v>
      </c>
      <c r="AD10" s="70">
        <v>0</v>
      </c>
      <c r="AE10" s="70">
        <v>115</v>
      </c>
      <c r="AF10" s="70">
        <v>1</v>
      </c>
      <c r="AG10" s="70">
        <v>0</v>
      </c>
      <c r="AH10" s="70">
        <v>0</v>
      </c>
      <c r="AI10" s="70">
        <v>2</v>
      </c>
      <c r="AJ10" s="197">
        <v>0</v>
      </c>
      <c r="AK10" s="123">
        <f t="shared" si="0"/>
        <v>201</v>
      </c>
      <c r="AL10" s="123">
        <f t="shared" si="0"/>
        <v>10</v>
      </c>
      <c r="AM10" s="123">
        <f t="shared" si="1"/>
        <v>211</v>
      </c>
      <c r="AN10" s="123">
        <f t="shared" si="2"/>
        <v>0</v>
      </c>
      <c r="AO10" s="122">
        <f t="shared" si="3"/>
        <v>0</v>
      </c>
      <c r="AP10" s="122">
        <f t="shared" si="4"/>
        <v>0</v>
      </c>
      <c r="AQ10" s="122">
        <f t="shared" si="5"/>
        <v>0</v>
      </c>
      <c r="AR10" s="122">
        <f>SUM(AR8:AR9)</f>
        <v>121.61835748792271</v>
      </c>
      <c r="AS10" s="122">
        <f>SUM(AS8:AS9)</f>
        <v>78.381642512077292</v>
      </c>
      <c r="AT10" s="122" t="e">
        <f t="shared" si="8"/>
        <v>#DIV/0!</v>
      </c>
      <c r="AU10" s="122" t="e">
        <f t="shared" si="9"/>
        <v>#DIV/0!</v>
      </c>
      <c r="AV10" s="122" t="e">
        <f t="shared" si="10"/>
        <v>#DIV/0!</v>
      </c>
      <c r="AW10" s="122" t="e">
        <f t="shared" si="11"/>
        <v>#DIV/0!</v>
      </c>
      <c r="AX10" s="122" t="e">
        <f t="shared" si="12"/>
        <v>#DIV/0!</v>
      </c>
      <c r="AY10" s="122" t="e">
        <f t="shared" si="13"/>
        <v>#DIV/0!</v>
      </c>
      <c r="AZ10" s="122" t="e">
        <f t="shared" si="14"/>
        <v>#DIV/0!</v>
      </c>
    </row>
    <row r="11" spans="1:52" s="65" customFormat="1" ht="20.25" customHeight="1">
      <c r="A11" s="70" t="s">
        <v>38</v>
      </c>
      <c r="B11" s="70">
        <f>B7+B10</f>
        <v>3</v>
      </c>
      <c r="C11" s="70">
        <f>C7+C10</f>
        <v>986</v>
      </c>
      <c r="D11" s="68">
        <f>MIN(D6:D10)</f>
        <v>45699</v>
      </c>
      <c r="E11" s="68">
        <f>MAX(E6:E10)</f>
        <v>45744</v>
      </c>
      <c r="F11" s="70">
        <f>F7+F10</f>
        <v>314</v>
      </c>
      <c r="G11" s="70">
        <f t="shared" ref="G11:AJ11" si="16">G7+G10</f>
        <v>0</v>
      </c>
      <c r="H11" s="70">
        <f t="shared" si="16"/>
        <v>314</v>
      </c>
      <c r="I11" s="70">
        <f t="shared" si="16"/>
        <v>25</v>
      </c>
      <c r="J11" s="70">
        <f t="shared" si="16"/>
        <v>0</v>
      </c>
      <c r="K11" s="70">
        <f t="shared" si="16"/>
        <v>339</v>
      </c>
      <c r="L11" s="70">
        <f t="shared" si="16"/>
        <v>0</v>
      </c>
      <c r="M11" s="70">
        <f t="shared" si="16"/>
        <v>0</v>
      </c>
      <c r="N11" s="70">
        <f t="shared" si="16"/>
        <v>314</v>
      </c>
      <c r="O11" s="70">
        <f t="shared" si="16"/>
        <v>0</v>
      </c>
      <c r="P11" s="70">
        <f t="shared" si="16"/>
        <v>3</v>
      </c>
      <c r="Q11" s="70">
        <f t="shared" si="16"/>
        <v>0</v>
      </c>
      <c r="R11" s="70">
        <f t="shared" si="16"/>
        <v>0</v>
      </c>
      <c r="S11" s="70">
        <f t="shared" si="16"/>
        <v>7</v>
      </c>
      <c r="T11" s="70">
        <f t="shared" si="16"/>
        <v>22</v>
      </c>
      <c r="U11" s="70">
        <f t="shared" si="16"/>
        <v>0</v>
      </c>
      <c r="V11" s="70">
        <f t="shared" si="16"/>
        <v>18</v>
      </c>
      <c r="W11" s="70">
        <f t="shared" si="16"/>
        <v>2</v>
      </c>
      <c r="X11" s="70">
        <f t="shared" si="16"/>
        <v>0</v>
      </c>
      <c r="Y11" s="70">
        <f t="shared" si="16"/>
        <v>12</v>
      </c>
      <c r="Z11" s="70">
        <f t="shared" si="16"/>
        <v>0</v>
      </c>
      <c r="AA11" s="70">
        <f t="shared" si="16"/>
        <v>0</v>
      </c>
      <c r="AB11" s="70">
        <f t="shared" si="16"/>
        <v>49</v>
      </c>
      <c r="AC11" s="70">
        <f t="shared" si="16"/>
        <v>1</v>
      </c>
      <c r="AD11" s="70">
        <f t="shared" si="16"/>
        <v>0</v>
      </c>
      <c r="AE11" s="70">
        <f t="shared" si="16"/>
        <v>115</v>
      </c>
      <c r="AF11" s="70">
        <f t="shared" si="16"/>
        <v>4</v>
      </c>
      <c r="AG11" s="70">
        <f t="shared" si="16"/>
        <v>0</v>
      </c>
      <c r="AH11" s="70">
        <f t="shared" si="16"/>
        <v>0</v>
      </c>
      <c r="AI11" s="70">
        <f t="shared" si="16"/>
        <v>2</v>
      </c>
      <c r="AJ11" s="70">
        <f t="shared" si="16"/>
        <v>0</v>
      </c>
      <c r="AK11" s="70">
        <f>P11+S11+V11+Y11+AB11+AE11+AH11</f>
        <v>204</v>
      </c>
      <c r="AL11" s="70">
        <f>Q11+T11+W11+Z11+AC11+AF11+AI11</f>
        <v>31</v>
      </c>
      <c r="AM11" s="70">
        <f>AK11+AL11</f>
        <v>235</v>
      </c>
      <c r="AN11" s="70">
        <f>R11+U11+X11+AA11+AD11+AG11+AJ11</f>
        <v>0</v>
      </c>
      <c r="AO11" s="69">
        <f>O11/H11*100</f>
        <v>0</v>
      </c>
      <c r="AP11" s="69">
        <f t="shared" si="4"/>
        <v>0</v>
      </c>
      <c r="AQ11" s="69">
        <f t="shared" si="5"/>
        <v>0</v>
      </c>
      <c r="AR11" s="69">
        <f t="shared" si="6"/>
        <v>86.808510638297875</v>
      </c>
      <c r="AS11" s="69">
        <f t="shared" si="7"/>
        <v>13.191489361702127</v>
      </c>
      <c r="AT11" s="69" t="e">
        <f t="shared" si="8"/>
        <v>#DIV/0!</v>
      </c>
      <c r="AU11" s="69" t="e">
        <f t="shared" si="9"/>
        <v>#DIV/0!</v>
      </c>
      <c r="AV11" s="69" t="e">
        <f t="shared" si="10"/>
        <v>#DIV/0!</v>
      </c>
      <c r="AW11" s="85" t="e">
        <f t="shared" si="11"/>
        <v>#DIV/0!</v>
      </c>
      <c r="AX11" s="69" t="e">
        <f t="shared" si="12"/>
        <v>#DIV/0!</v>
      </c>
      <c r="AY11" s="69" t="e">
        <f t="shared" si="13"/>
        <v>#DIV/0!</v>
      </c>
      <c r="AZ11" s="69" t="e">
        <f t="shared" si="14"/>
        <v>#DIV/0!</v>
      </c>
    </row>
    <row r="12" spans="1:52" s="10" customFormat="1" ht="18">
      <c r="A12" s="9" t="s">
        <v>52</v>
      </c>
      <c r="C12" s="44"/>
      <c r="AO12" s="47"/>
      <c r="AP12" s="47"/>
      <c r="AQ12" s="47"/>
      <c r="AR12" s="47"/>
      <c r="AS12" s="47"/>
      <c r="AT12" s="73"/>
      <c r="AU12" s="73"/>
      <c r="AV12" s="73"/>
      <c r="AW12" s="73"/>
      <c r="AX12" s="73"/>
      <c r="AY12" s="73"/>
      <c r="AZ12" s="73"/>
    </row>
    <row r="17" spans="48:48">
      <c r="AV17" s="72" t="s">
        <v>307</v>
      </c>
    </row>
  </sheetData>
  <mergeCells count="48">
    <mergeCell ref="A1:AP1"/>
    <mergeCell ref="A3:A5"/>
    <mergeCell ref="B3:B5"/>
    <mergeCell ref="C3:C5"/>
    <mergeCell ref="D3:E3"/>
    <mergeCell ref="F3:J3"/>
    <mergeCell ref="K3:K5"/>
    <mergeCell ref="L3:M3"/>
    <mergeCell ref="N3:O3"/>
    <mergeCell ref="P3:U3"/>
    <mergeCell ref="AN4:AN5"/>
    <mergeCell ref="O4:O5"/>
    <mergeCell ref="P4:R4"/>
    <mergeCell ref="S4:U4"/>
    <mergeCell ref="V4:X4"/>
    <mergeCell ref="Y4:AA4"/>
    <mergeCell ref="AT3:AZ3"/>
    <mergeCell ref="D4:D5"/>
    <mergeCell ref="E4:E5"/>
    <mergeCell ref="F4:G4"/>
    <mergeCell ref="H4:H5"/>
    <mergeCell ref="I4:I5"/>
    <mergeCell ref="J4:J5"/>
    <mergeCell ref="L4:L5"/>
    <mergeCell ref="M4:M5"/>
    <mergeCell ref="N4:N5"/>
    <mergeCell ref="V3:X3"/>
    <mergeCell ref="Y3:AA3"/>
    <mergeCell ref="AB3:AG3"/>
    <mergeCell ref="AH3:AJ3"/>
    <mergeCell ref="AK3:AN3"/>
    <mergeCell ref="AO3:AS3"/>
    <mergeCell ref="A8:A9"/>
    <mergeCell ref="AM4:AM5"/>
    <mergeCell ref="AX4:AX5"/>
    <mergeCell ref="AY4:AY5"/>
    <mergeCell ref="AZ4:AZ5"/>
    <mergeCell ref="AO4:AQ4"/>
    <mergeCell ref="AR4:AS4"/>
    <mergeCell ref="AT4:AT5"/>
    <mergeCell ref="AU4:AU5"/>
    <mergeCell ref="AV4:AV5"/>
    <mergeCell ref="AW4:AW5"/>
    <mergeCell ref="AB4:AD4"/>
    <mergeCell ref="AE4:AG4"/>
    <mergeCell ref="AH4:AJ4"/>
    <mergeCell ref="AK4:AK5"/>
    <mergeCell ref="AL4:AL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Z87"/>
  <sheetViews>
    <sheetView zoomScale="90" zoomScaleNormal="90" workbookViewId="0">
      <pane xSplit="5" ySplit="5" topLeftCell="F85" activePane="bottomRight" state="frozen"/>
      <selection activeCell="C20" sqref="C20"/>
      <selection pane="topRight" activeCell="C20" sqref="C20"/>
      <selection pane="bottomLeft" activeCell="C20" sqref="C20"/>
      <selection pane="bottomRight" activeCell="AV93" sqref="AV93"/>
    </sheetView>
  </sheetViews>
  <sheetFormatPr baseColWidth="10" defaultRowHeight="12.75"/>
  <cols>
    <col min="1" max="1" width="22.5703125" customWidth="1"/>
    <col min="2" max="2" width="11.7109375" style="43" customWidth="1"/>
    <col min="3" max="3" width="10.85546875" style="43" customWidth="1"/>
    <col min="4" max="5" width="12.7109375" style="43" customWidth="1"/>
    <col min="6" max="6" width="8.140625" style="43" customWidth="1"/>
    <col min="7" max="7" width="6.5703125" style="43" customWidth="1"/>
    <col min="8" max="8" width="8.42578125" style="43" customWidth="1"/>
    <col min="9" max="9" width="5.5703125" style="43" customWidth="1"/>
    <col min="10" max="10" width="5.85546875" style="43" customWidth="1"/>
    <col min="11" max="11" width="8" style="43" customWidth="1"/>
    <col min="12" max="12" width="5.5703125" style="43" customWidth="1"/>
    <col min="13" max="13" width="5.5703125" style="58" customWidth="1"/>
    <col min="14" max="14" width="8.7109375" style="43" customWidth="1"/>
    <col min="15" max="15" width="6.85546875" style="58" customWidth="1"/>
    <col min="16" max="17" width="6.85546875" style="43" customWidth="1"/>
    <col min="18" max="18" width="6.85546875" style="58" customWidth="1"/>
    <col min="19" max="19" width="6.85546875" style="43" customWidth="1"/>
    <col min="20" max="20" width="5.5703125" style="43" customWidth="1"/>
    <col min="21" max="21" width="5.5703125" style="58" customWidth="1"/>
    <col min="22" max="22" width="5.5703125" style="43" customWidth="1"/>
    <col min="23" max="23" width="6.140625" style="43" customWidth="1"/>
    <col min="24" max="24" width="5.5703125" style="58" customWidth="1"/>
    <col min="25" max="25" width="5.5703125" style="43" customWidth="1"/>
    <col min="26" max="26" width="6.140625" style="43" customWidth="1"/>
    <col min="27" max="27" width="5.5703125" style="58" customWidth="1"/>
    <col min="28" max="29" width="5.5703125" style="43" customWidth="1"/>
    <col min="30" max="30" width="6.140625" style="58" customWidth="1"/>
    <col min="31" max="31" width="6.7109375" style="43" customWidth="1"/>
    <col min="32" max="32" width="6.28515625" style="43" customWidth="1"/>
    <col min="33" max="33" width="5.5703125" style="58" customWidth="1"/>
    <col min="34" max="35" width="5.5703125" style="43" customWidth="1"/>
    <col min="36" max="36" width="5.5703125" style="58" customWidth="1"/>
    <col min="37" max="39" width="8.42578125" style="43" customWidth="1"/>
    <col min="40" max="40" width="8.42578125" style="58" customWidth="1"/>
    <col min="41" max="41" width="11" style="46" customWidth="1"/>
    <col min="42" max="43" width="9.85546875" style="46" customWidth="1"/>
    <col min="44" max="45" width="9.7109375" style="46" customWidth="1"/>
    <col min="46" max="52" width="11.7109375" style="72" customWidth="1"/>
  </cols>
  <sheetData>
    <row r="1" spans="1:52" ht="44.25" customHeight="1">
      <c r="A1" s="326" t="s">
        <v>183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  <c r="AO1" s="326"/>
      <c r="AP1" s="326"/>
      <c r="AQ1" s="48"/>
      <c r="AR1" s="48"/>
      <c r="AS1" s="48"/>
    </row>
    <row r="2" spans="1:5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59"/>
      <c r="N2" s="2"/>
      <c r="O2" s="59"/>
      <c r="P2" s="2"/>
      <c r="Q2" s="2"/>
      <c r="R2" s="55"/>
      <c r="S2" s="3"/>
      <c r="T2" s="3"/>
      <c r="U2" s="55"/>
      <c r="V2" s="3"/>
      <c r="W2" s="3"/>
      <c r="X2" s="55"/>
      <c r="Y2" s="3"/>
      <c r="Z2" s="3"/>
      <c r="AA2" s="55"/>
      <c r="AB2" s="3"/>
      <c r="AC2" s="3"/>
      <c r="AD2" s="55"/>
      <c r="AE2" s="3"/>
      <c r="AF2" s="3"/>
      <c r="AG2" s="55"/>
      <c r="AH2" s="3"/>
      <c r="AI2" s="3"/>
      <c r="AJ2" s="55"/>
      <c r="AK2" s="3"/>
      <c r="AL2" s="3"/>
      <c r="AM2" s="3"/>
      <c r="AN2" s="55"/>
      <c r="AO2" s="49"/>
      <c r="AP2" s="49"/>
      <c r="AQ2" s="49"/>
      <c r="AR2" s="49"/>
      <c r="AS2" s="49"/>
    </row>
    <row r="3" spans="1:52" s="11" customFormat="1" ht="51" customHeight="1">
      <c r="A3" s="327" t="s">
        <v>46</v>
      </c>
      <c r="B3" s="328" t="s">
        <v>47</v>
      </c>
      <c r="C3" s="329" t="s">
        <v>76</v>
      </c>
      <c r="D3" s="327" t="s">
        <v>0</v>
      </c>
      <c r="E3" s="327"/>
      <c r="F3" s="327" t="s">
        <v>4</v>
      </c>
      <c r="G3" s="327"/>
      <c r="H3" s="327"/>
      <c r="I3" s="327"/>
      <c r="J3" s="327"/>
      <c r="K3" s="332" t="s">
        <v>3</v>
      </c>
      <c r="L3" s="333" t="s">
        <v>8</v>
      </c>
      <c r="M3" s="333"/>
      <c r="N3" s="334" t="s">
        <v>71</v>
      </c>
      <c r="O3" s="334"/>
      <c r="P3" s="335" t="s">
        <v>60</v>
      </c>
      <c r="Q3" s="336"/>
      <c r="R3" s="336"/>
      <c r="S3" s="336"/>
      <c r="T3" s="336"/>
      <c r="U3" s="337"/>
      <c r="V3" s="335" t="s">
        <v>57</v>
      </c>
      <c r="W3" s="336"/>
      <c r="X3" s="337"/>
      <c r="Y3" s="335" t="s">
        <v>58</v>
      </c>
      <c r="Z3" s="336"/>
      <c r="AA3" s="337"/>
      <c r="AB3" s="348" t="s">
        <v>56</v>
      </c>
      <c r="AC3" s="349"/>
      <c r="AD3" s="349"/>
      <c r="AE3" s="349"/>
      <c r="AF3" s="349"/>
      <c r="AG3" s="350"/>
      <c r="AH3" s="335" t="s">
        <v>59</v>
      </c>
      <c r="AI3" s="336"/>
      <c r="AJ3" s="337"/>
      <c r="AK3" s="335" t="s">
        <v>2</v>
      </c>
      <c r="AL3" s="336"/>
      <c r="AM3" s="336"/>
      <c r="AN3" s="337"/>
      <c r="AO3" s="432" t="s">
        <v>90</v>
      </c>
      <c r="AP3" s="433"/>
      <c r="AQ3" s="433"/>
      <c r="AR3" s="433"/>
      <c r="AS3" s="434"/>
      <c r="AT3" s="344" t="s">
        <v>89</v>
      </c>
      <c r="AU3" s="344"/>
      <c r="AV3" s="344"/>
      <c r="AW3" s="344"/>
      <c r="AX3" s="344"/>
      <c r="AY3" s="344"/>
      <c r="AZ3" s="344"/>
    </row>
    <row r="4" spans="1:52" s="11" customFormat="1" ht="78" customHeight="1">
      <c r="A4" s="327"/>
      <c r="B4" s="328"/>
      <c r="C4" s="330"/>
      <c r="D4" s="327" t="s">
        <v>10</v>
      </c>
      <c r="E4" s="327" t="s">
        <v>9</v>
      </c>
      <c r="F4" s="345" t="s">
        <v>5</v>
      </c>
      <c r="G4" s="345"/>
      <c r="H4" s="346" t="s">
        <v>2</v>
      </c>
      <c r="I4" s="346" t="s">
        <v>13</v>
      </c>
      <c r="J4" s="346" t="s">
        <v>14</v>
      </c>
      <c r="K4" s="332"/>
      <c r="L4" s="347" t="s">
        <v>7</v>
      </c>
      <c r="M4" s="389" t="s">
        <v>6</v>
      </c>
      <c r="N4" s="347" t="s">
        <v>1</v>
      </c>
      <c r="O4" s="389" t="s">
        <v>6</v>
      </c>
      <c r="P4" s="335" t="s">
        <v>34</v>
      </c>
      <c r="Q4" s="336"/>
      <c r="R4" s="337"/>
      <c r="S4" s="341" t="s">
        <v>35</v>
      </c>
      <c r="T4" s="342"/>
      <c r="U4" s="343"/>
      <c r="V4" s="335" t="s">
        <v>31</v>
      </c>
      <c r="W4" s="336"/>
      <c r="X4" s="337"/>
      <c r="Y4" s="335" t="s">
        <v>32</v>
      </c>
      <c r="Z4" s="336"/>
      <c r="AA4" s="337"/>
      <c r="AB4" s="354" t="s">
        <v>36</v>
      </c>
      <c r="AC4" s="355"/>
      <c r="AD4" s="356"/>
      <c r="AE4" s="335" t="s">
        <v>37</v>
      </c>
      <c r="AF4" s="336"/>
      <c r="AG4" s="337"/>
      <c r="AH4" s="335" t="s">
        <v>33</v>
      </c>
      <c r="AI4" s="336"/>
      <c r="AJ4" s="337"/>
      <c r="AK4" s="357" t="s">
        <v>84</v>
      </c>
      <c r="AL4" s="357" t="s">
        <v>85</v>
      </c>
      <c r="AM4" s="357" t="s">
        <v>86</v>
      </c>
      <c r="AN4" s="338" t="s">
        <v>87</v>
      </c>
      <c r="AO4" s="429" t="s">
        <v>91</v>
      </c>
      <c r="AP4" s="430"/>
      <c r="AQ4" s="431"/>
      <c r="AR4" s="363" t="s">
        <v>92</v>
      </c>
      <c r="AS4" s="364"/>
      <c r="AT4" s="425" t="s">
        <v>97</v>
      </c>
      <c r="AU4" s="425" t="s">
        <v>88</v>
      </c>
      <c r="AV4" s="425" t="s">
        <v>80</v>
      </c>
      <c r="AW4" s="425" t="s">
        <v>81</v>
      </c>
      <c r="AX4" s="425" t="s">
        <v>294</v>
      </c>
      <c r="AY4" s="425" t="s">
        <v>82</v>
      </c>
      <c r="AZ4" s="425" t="s">
        <v>83</v>
      </c>
    </row>
    <row r="5" spans="1:52" s="11" customFormat="1" ht="33" customHeight="1">
      <c r="A5" s="327"/>
      <c r="B5" s="328"/>
      <c r="C5" s="331"/>
      <c r="D5" s="327"/>
      <c r="E5" s="327"/>
      <c r="F5" s="12" t="s">
        <v>11</v>
      </c>
      <c r="G5" s="12" t="s">
        <v>12</v>
      </c>
      <c r="H5" s="346"/>
      <c r="I5" s="346"/>
      <c r="J5" s="346"/>
      <c r="K5" s="332"/>
      <c r="L5" s="347"/>
      <c r="M5" s="389"/>
      <c r="N5" s="347"/>
      <c r="O5" s="389"/>
      <c r="P5" s="41" t="s">
        <v>77</v>
      </c>
      <c r="Q5" s="41" t="s">
        <v>78</v>
      </c>
      <c r="R5" s="45" t="s">
        <v>79</v>
      </c>
      <c r="S5" s="41" t="s">
        <v>77</v>
      </c>
      <c r="T5" s="41" t="s">
        <v>78</v>
      </c>
      <c r="U5" s="45" t="s">
        <v>79</v>
      </c>
      <c r="V5" s="41" t="s">
        <v>77</v>
      </c>
      <c r="W5" s="41" t="s">
        <v>78</v>
      </c>
      <c r="X5" s="45" t="s">
        <v>79</v>
      </c>
      <c r="Y5" s="41" t="s">
        <v>77</v>
      </c>
      <c r="Z5" s="41" t="s">
        <v>78</v>
      </c>
      <c r="AA5" s="45" t="s">
        <v>79</v>
      </c>
      <c r="AB5" s="41" t="s">
        <v>77</v>
      </c>
      <c r="AC5" s="41" t="s">
        <v>78</v>
      </c>
      <c r="AD5" s="45" t="s">
        <v>79</v>
      </c>
      <c r="AE5" s="41" t="s">
        <v>77</v>
      </c>
      <c r="AF5" s="41" t="s">
        <v>78</v>
      </c>
      <c r="AG5" s="45" t="s">
        <v>79</v>
      </c>
      <c r="AH5" s="41" t="s">
        <v>77</v>
      </c>
      <c r="AI5" s="41" t="s">
        <v>78</v>
      </c>
      <c r="AJ5" s="45" t="s">
        <v>79</v>
      </c>
      <c r="AK5" s="358"/>
      <c r="AL5" s="358"/>
      <c r="AM5" s="358"/>
      <c r="AN5" s="339"/>
      <c r="AO5" s="52" t="s">
        <v>118</v>
      </c>
      <c r="AP5" s="52" t="s">
        <v>119</v>
      </c>
      <c r="AQ5" s="52" t="s">
        <v>98</v>
      </c>
      <c r="AR5" s="50" t="s">
        <v>95</v>
      </c>
      <c r="AS5" s="50" t="s">
        <v>96</v>
      </c>
      <c r="AT5" s="425"/>
      <c r="AU5" s="425"/>
      <c r="AV5" s="425"/>
      <c r="AW5" s="425"/>
      <c r="AX5" s="425"/>
      <c r="AY5" s="425"/>
      <c r="AZ5" s="425"/>
    </row>
    <row r="6" spans="1:52" s="40" customFormat="1" ht="20.25" customHeight="1">
      <c r="A6" s="4" t="s">
        <v>24</v>
      </c>
      <c r="B6" s="38">
        <f>Monteagudo!B18</f>
        <v>10</v>
      </c>
      <c r="C6" s="38">
        <f>Monteagudo!C18</f>
        <v>2238</v>
      </c>
      <c r="D6" s="60">
        <f>Monteagudo!D18</f>
        <v>45659</v>
      </c>
      <c r="E6" s="60">
        <f>Monteagudo!E18</f>
        <v>45687</v>
      </c>
      <c r="F6" s="38">
        <f>Monteagudo!F18</f>
        <v>619</v>
      </c>
      <c r="G6" s="38">
        <f>Monteagudo!G18</f>
        <v>1</v>
      </c>
      <c r="H6" s="38">
        <f>Monteagudo!H18</f>
        <v>620</v>
      </c>
      <c r="I6" s="38">
        <f>Monteagudo!I18</f>
        <v>0</v>
      </c>
      <c r="J6" s="38">
        <f>Monteagudo!J18</f>
        <v>0</v>
      </c>
      <c r="K6" s="38">
        <f>Monteagudo!K18</f>
        <v>620</v>
      </c>
      <c r="L6" s="38">
        <f>Monteagudo!L18</f>
        <v>0</v>
      </c>
      <c r="M6" s="56">
        <f>Monteagudo!M18</f>
        <v>0</v>
      </c>
      <c r="N6" s="38">
        <f>Monteagudo!N18</f>
        <v>0</v>
      </c>
      <c r="O6" s="56">
        <f>Monteagudo!O18</f>
        <v>49</v>
      </c>
      <c r="P6" s="140">
        <f>Monteagudo!P18</f>
        <v>0</v>
      </c>
      <c r="Q6" s="140">
        <f>Monteagudo!Q18</f>
        <v>1</v>
      </c>
      <c r="R6" s="140">
        <f>Monteagudo!R18</f>
        <v>0</v>
      </c>
      <c r="S6" s="140">
        <f>Monteagudo!S18</f>
        <v>0</v>
      </c>
      <c r="T6" s="140">
        <f>Monteagudo!T18</f>
        <v>28</v>
      </c>
      <c r="U6" s="140">
        <f>Monteagudo!U18</f>
        <v>5</v>
      </c>
      <c r="V6" s="140">
        <f>Monteagudo!V18</f>
        <v>5</v>
      </c>
      <c r="W6" s="140">
        <f>Monteagudo!W18</f>
        <v>87</v>
      </c>
      <c r="X6" s="140">
        <f>Monteagudo!X18</f>
        <v>15</v>
      </c>
      <c r="Y6" s="140">
        <f>Monteagudo!Y18</f>
        <v>0</v>
      </c>
      <c r="Z6" s="140">
        <f>Monteagudo!Z18</f>
        <v>31</v>
      </c>
      <c r="AA6" s="140">
        <f>Monteagudo!AA18</f>
        <v>2</v>
      </c>
      <c r="AB6" s="140">
        <f>Monteagudo!AB18</f>
        <v>3</v>
      </c>
      <c r="AC6" s="140">
        <f>Monteagudo!AC18</f>
        <v>142</v>
      </c>
      <c r="AD6" s="140">
        <f>Monteagudo!AD18</f>
        <v>44</v>
      </c>
      <c r="AE6" s="140">
        <f>Monteagudo!AE18</f>
        <v>29</v>
      </c>
      <c r="AF6" s="140">
        <f>Monteagudo!AF18</f>
        <v>539</v>
      </c>
      <c r="AG6" s="140">
        <f>Monteagudo!AG18</f>
        <v>5</v>
      </c>
      <c r="AH6" s="140">
        <f>Monteagudo!AH18</f>
        <v>0</v>
      </c>
      <c r="AI6" s="140">
        <f>Monteagudo!AI18</f>
        <v>0</v>
      </c>
      <c r="AJ6" s="140">
        <f>Monteagudo!AJ18</f>
        <v>0</v>
      </c>
      <c r="AK6" s="140">
        <f>Monteagudo!AK18</f>
        <v>37</v>
      </c>
      <c r="AL6" s="140">
        <f>Monteagudo!AL18</f>
        <v>828</v>
      </c>
      <c r="AM6" s="140">
        <f>Monteagudo!AM18</f>
        <v>865</v>
      </c>
      <c r="AN6" s="56">
        <f>Monteagudo!AN18</f>
        <v>71</v>
      </c>
      <c r="AO6" s="53">
        <f t="shared" ref="AO6" si="0">O6/H6*100</f>
        <v>7.9032258064516121</v>
      </c>
      <c r="AP6" s="53">
        <f t="shared" ref="AP6" si="1">AN6/H6*100</f>
        <v>11.451612903225806</v>
      </c>
      <c r="AQ6" s="53">
        <f>AN6/AM6*100</f>
        <v>8.2080924855491322</v>
      </c>
      <c r="AR6" s="51">
        <f>AK6/AM6*100</f>
        <v>4.2774566473988438</v>
      </c>
      <c r="AS6" s="51">
        <f>AL6/AM6*100</f>
        <v>95.72254335260115</v>
      </c>
      <c r="AT6" s="108">
        <f t="shared" ref="AT6:AT86" si="2">R6/AN6*100</f>
        <v>0</v>
      </c>
      <c r="AU6" s="108">
        <f>U6/AN6*100</f>
        <v>7.042253521126761</v>
      </c>
      <c r="AV6" s="108">
        <f>X6/AN6*100</f>
        <v>21.12676056338028</v>
      </c>
      <c r="AW6" s="108">
        <f>AA6/AN6*100</f>
        <v>2.8169014084507045</v>
      </c>
      <c r="AX6" s="108">
        <f>AD6/AN6*100</f>
        <v>61.971830985915489</v>
      </c>
      <c r="AY6" s="108">
        <f>AG6/AN6*100</f>
        <v>7.042253521126761</v>
      </c>
      <c r="AZ6" s="108">
        <f>AJ6/AN6*100</f>
        <v>0</v>
      </c>
    </row>
    <row r="7" spans="1:52" s="40" customFormat="1" ht="20.25" customHeight="1">
      <c r="A7" s="4" t="s">
        <v>106</v>
      </c>
      <c r="B7" s="38">
        <f>Muyupampa!C12</f>
        <v>5</v>
      </c>
      <c r="C7" s="38">
        <f>Muyupampa!D12</f>
        <v>1018</v>
      </c>
      <c r="D7" s="60">
        <f>Muyupampa!E12</f>
        <v>45672</v>
      </c>
      <c r="E7" s="60">
        <f>Muyupampa!F12</f>
        <v>45684</v>
      </c>
      <c r="F7" s="38">
        <f>Muyupampa!G12</f>
        <v>246</v>
      </c>
      <c r="G7" s="38">
        <f>Muyupampa!H12</f>
        <v>0</v>
      </c>
      <c r="H7" s="38">
        <f>Muyupampa!I12</f>
        <v>246</v>
      </c>
      <c r="I7" s="38">
        <f>Muyupampa!J12</f>
        <v>0</v>
      </c>
      <c r="J7" s="38">
        <f>Muyupampa!K12</f>
        <v>0</v>
      </c>
      <c r="K7" s="38">
        <f>Muyupampa!L12</f>
        <v>246</v>
      </c>
      <c r="L7" s="38">
        <f>Muyupampa!M12</f>
        <v>0</v>
      </c>
      <c r="M7" s="56">
        <f>Muyupampa!N12</f>
        <v>0</v>
      </c>
      <c r="N7" s="38">
        <f>Muyupampa!O12</f>
        <v>0</v>
      </c>
      <c r="O7" s="56">
        <f>Muyupampa!P12</f>
        <v>8</v>
      </c>
      <c r="P7" s="140">
        <f>Muyupampa!Q12</f>
        <v>0</v>
      </c>
      <c r="Q7" s="140">
        <f>Muyupampa!R12</f>
        <v>1</v>
      </c>
      <c r="R7" s="140">
        <f>Muyupampa!S12</f>
        <v>0</v>
      </c>
      <c r="S7" s="140">
        <f>Muyupampa!T12</f>
        <v>28</v>
      </c>
      <c r="T7" s="140">
        <f>Muyupampa!U12</f>
        <v>45</v>
      </c>
      <c r="U7" s="140">
        <f>Muyupampa!V12</f>
        <v>4</v>
      </c>
      <c r="V7" s="140">
        <f>Muyupampa!W12</f>
        <v>93</v>
      </c>
      <c r="W7" s="140">
        <f>Muyupampa!X12</f>
        <v>96</v>
      </c>
      <c r="X7" s="140">
        <f>Muyupampa!Y12</f>
        <v>2</v>
      </c>
      <c r="Y7" s="140">
        <f>Muyupampa!Z12</f>
        <v>0</v>
      </c>
      <c r="Z7" s="140">
        <f>Muyupampa!AA12</f>
        <v>2</v>
      </c>
      <c r="AA7" s="140">
        <f>Muyupampa!AB12</f>
        <v>0</v>
      </c>
      <c r="AB7" s="140">
        <f>Muyupampa!AC12</f>
        <v>52</v>
      </c>
      <c r="AC7" s="140">
        <f>Muyupampa!AD12</f>
        <v>59</v>
      </c>
      <c r="AD7" s="140">
        <f>Muyupampa!AE12</f>
        <v>2</v>
      </c>
      <c r="AE7" s="140">
        <f>Muyupampa!AF12</f>
        <v>89</v>
      </c>
      <c r="AF7" s="140">
        <f>Muyupampa!AG12</f>
        <v>35</v>
      </c>
      <c r="AG7" s="140">
        <f>Muyupampa!AH12</f>
        <v>0</v>
      </c>
      <c r="AH7" s="140">
        <f>Muyupampa!AI12</f>
        <v>0</v>
      </c>
      <c r="AI7" s="140">
        <f>Muyupampa!AJ12</f>
        <v>0</v>
      </c>
      <c r="AJ7" s="140">
        <f>Muyupampa!AK12</f>
        <v>0</v>
      </c>
      <c r="AK7" s="140">
        <f>Muyupampa!AL12</f>
        <v>262</v>
      </c>
      <c r="AL7" s="140">
        <f>Muyupampa!AM12</f>
        <v>238</v>
      </c>
      <c r="AM7" s="140">
        <f>Muyupampa!AN12</f>
        <v>500</v>
      </c>
      <c r="AN7" s="56">
        <f>Muyupampa!AO12</f>
        <v>8</v>
      </c>
      <c r="AO7" s="53">
        <f t="shared" ref="AO7" si="3">O7/H7*100</f>
        <v>3.2520325203252036</v>
      </c>
      <c r="AP7" s="53">
        <f t="shared" ref="AP7" si="4">AN7/H7*100</f>
        <v>3.2520325203252036</v>
      </c>
      <c r="AQ7" s="53">
        <f>AN7/AM7*100</f>
        <v>1.6</v>
      </c>
      <c r="AR7" s="51">
        <f>AK7/AM7*100</f>
        <v>52.400000000000006</v>
      </c>
      <c r="AS7" s="51">
        <f>AL7/AM7*100</f>
        <v>47.599999999999994</v>
      </c>
      <c r="AT7" s="108">
        <f t="shared" ref="AT7" si="5">R7/AN7*100</f>
        <v>0</v>
      </c>
      <c r="AU7" s="108">
        <f>U7/AN7*100</f>
        <v>50</v>
      </c>
      <c r="AV7" s="108">
        <f>X7/AN7*100</f>
        <v>25</v>
      </c>
      <c r="AW7" s="108">
        <f>AA7/AN7*100</f>
        <v>0</v>
      </c>
      <c r="AX7" s="108">
        <f>AD7/AN7*100</f>
        <v>25</v>
      </c>
      <c r="AY7" s="108">
        <f>AG7/AN7*100</f>
        <v>0</v>
      </c>
      <c r="AZ7" s="108">
        <f>AJ7/AN7*100</f>
        <v>0</v>
      </c>
    </row>
    <row r="8" spans="1:52" s="40" customFormat="1" ht="20.25" customHeight="1">
      <c r="A8" s="4" t="s">
        <v>105</v>
      </c>
      <c r="B8" s="38">
        <f>Machareti!B14</f>
        <v>7</v>
      </c>
      <c r="C8" s="38">
        <f>Machareti!C14</f>
        <v>1820</v>
      </c>
      <c r="D8" s="60">
        <f>Machareti!D14</f>
        <v>45659</v>
      </c>
      <c r="E8" s="60">
        <f>Machareti!E14</f>
        <v>45688</v>
      </c>
      <c r="F8" s="38">
        <f>Machareti!F14</f>
        <v>662</v>
      </c>
      <c r="G8" s="38">
        <f>Machareti!G14</f>
        <v>0</v>
      </c>
      <c r="H8" s="38">
        <f>Machareti!H14</f>
        <v>662</v>
      </c>
      <c r="I8" s="38">
        <f>Machareti!I14</f>
        <v>21</v>
      </c>
      <c r="J8" s="38">
        <f>Machareti!J14</f>
        <v>0</v>
      </c>
      <c r="K8" s="38">
        <f>Machareti!K14</f>
        <v>683</v>
      </c>
      <c r="L8" s="38">
        <f>Machareti!L14</f>
        <v>0</v>
      </c>
      <c r="M8" s="56">
        <f>Machareti!M14</f>
        <v>0</v>
      </c>
      <c r="N8" s="38">
        <f>Machareti!N14</f>
        <v>0</v>
      </c>
      <c r="O8" s="56">
        <f>Machareti!O14</f>
        <v>121</v>
      </c>
      <c r="P8" s="140">
        <f>Machareti!P14</f>
        <v>0</v>
      </c>
      <c r="Q8" s="140">
        <f>Machareti!Q14</f>
        <v>0</v>
      </c>
      <c r="R8" s="140">
        <f>Machareti!R14</f>
        <v>0</v>
      </c>
      <c r="S8" s="140">
        <f>Machareti!S14</f>
        <v>3</v>
      </c>
      <c r="T8" s="140">
        <f>Machareti!T14</f>
        <v>1135</v>
      </c>
      <c r="U8" s="140">
        <f>Machareti!U14</f>
        <v>100</v>
      </c>
      <c r="V8" s="140">
        <f>Machareti!V14</f>
        <v>19</v>
      </c>
      <c r="W8" s="140">
        <f>Machareti!W14</f>
        <v>412</v>
      </c>
      <c r="X8" s="140">
        <f>Machareti!X14</f>
        <v>50</v>
      </c>
      <c r="Y8" s="140">
        <f>Machareti!Y14</f>
        <v>7</v>
      </c>
      <c r="Z8" s="140">
        <f>Machareti!Z14</f>
        <v>134</v>
      </c>
      <c r="AA8" s="140">
        <f>Machareti!AA14</f>
        <v>18</v>
      </c>
      <c r="AB8" s="140">
        <f>Machareti!AB14</f>
        <v>49</v>
      </c>
      <c r="AC8" s="140">
        <f>Machareti!AC14</f>
        <v>180</v>
      </c>
      <c r="AD8" s="140">
        <f>Machareti!AD14</f>
        <v>28</v>
      </c>
      <c r="AE8" s="140">
        <f>Machareti!AE14</f>
        <v>454</v>
      </c>
      <c r="AF8" s="140">
        <f>Machareti!AF14</f>
        <v>170</v>
      </c>
      <c r="AG8" s="140">
        <f>Machareti!AG14</f>
        <v>8</v>
      </c>
      <c r="AH8" s="140">
        <f>Machareti!AH14</f>
        <v>0</v>
      </c>
      <c r="AI8" s="140">
        <f>Machareti!AI14</f>
        <v>0</v>
      </c>
      <c r="AJ8" s="140">
        <f>Machareti!AJ14</f>
        <v>0</v>
      </c>
      <c r="AK8" s="140">
        <f>Machareti!AK14</f>
        <v>532</v>
      </c>
      <c r="AL8" s="140">
        <f>Machareti!AL14</f>
        <v>2031</v>
      </c>
      <c r="AM8" s="140">
        <f>Machareti!AM14</f>
        <v>2563</v>
      </c>
      <c r="AN8" s="56">
        <f>Machareti!AN14</f>
        <v>204</v>
      </c>
      <c r="AO8" s="53">
        <f t="shared" ref="AO8" si="6">O8/H8*100</f>
        <v>18.277945619335348</v>
      </c>
      <c r="AP8" s="53">
        <f t="shared" ref="AP8" si="7">AN8/H8*100</f>
        <v>30.815709969788518</v>
      </c>
      <c r="AQ8" s="53">
        <f>AN8/AM8*100</f>
        <v>7.9594225516972301</v>
      </c>
      <c r="AR8" s="51">
        <f>AK8/AM8*100</f>
        <v>20.756925477955519</v>
      </c>
      <c r="AS8" s="51">
        <f>AL8/AM8*100</f>
        <v>79.243074522044481</v>
      </c>
      <c r="AT8" s="108">
        <f t="shared" ref="AT8" si="8">R8/AN8*100</f>
        <v>0</v>
      </c>
      <c r="AU8" s="108">
        <f>U8/AN8*100</f>
        <v>49.019607843137251</v>
      </c>
      <c r="AV8" s="108">
        <f>X8/AN8*100</f>
        <v>24.509803921568626</v>
      </c>
      <c r="AW8" s="108">
        <f t="shared" ref="AW8:AW86" si="9">AA8/AN8*100</f>
        <v>8.8235294117647065</v>
      </c>
      <c r="AX8" s="108">
        <f>AD8/AN8*100</f>
        <v>13.725490196078432</v>
      </c>
      <c r="AY8" s="108">
        <f>AG8/AN8*100</f>
        <v>3.9215686274509802</v>
      </c>
      <c r="AZ8" s="108">
        <f>AJ8/AN8*100</f>
        <v>0</v>
      </c>
    </row>
    <row r="9" spans="1:52" s="40" customFormat="1" ht="20.25" customHeight="1">
      <c r="A9" s="4" t="s">
        <v>25</v>
      </c>
      <c r="B9" s="38">
        <f>Huacareta!B10</f>
        <v>3</v>
      </c>
      <c r="C9" s="38">
        <f>Huacareta!C10</f>
        <v>1442</v>
      </c>
      <c r="D9" s="60">
        <f>Huacareta!D10</f>
        <v>45672</v>
      </c>
      <c r="E9" s="60">
        <f>Huacareta!E10</f>
        <v>45688</v>
      </c>
      <c r="F9" s="38">
        <f>Huacareta!F10</f>
        <v>593</v>
      </c>
      <c r="G9" s="38">
        <f>Huacareta!G10</f>
        <v>0</v>
      </c>
      <c r="H9" s="38">
        <f>Huacareta!H10</f>
        <v>593</v>
      </c>
      <c r="I9" s="38">
        <f>Huacareta!I10</f>
        <v>26</v>
      </c>
      <c r="J9" s="38">
        <f>Huacareta!J10</f>
        <v>0</v>
      </c>
      <c r="K9" s="38">
        <f>Huacareta!K10</f>
        <v>619</v>
      </c>
      <c r="L9" s="38">
        <f>Huacareta!L10</f>
        <v>0</v>
      </c>
      <c r="M9" s="56">
        <f>Huacareta!M10</f>
        <v>0</v>
      </c>
      <c r="N9" s="38">
        <f>Huacareta!N10</f>
        <v>0</v>
      </c>
      <c r="O9" s="56">
        <f>Huacareta!O10</f>
        <v>3</v>
      </c>
      <c r="P9" s="140">
        <f>Huacareta!P10</f>
        <v>0</v>
      </c>
      <c r="Q9" s="140">
        <f>Huacareta!Q10</f>
        <v>0</v>
      </c>
      <c r="R9" s="140">
        <f>Huacareta!R10</f>
        <v>0</v>
      </c>
      <c r="S9" s="140">
        <f>Huacareta!S10</f>
        <v>0</v>
      </c>
      <c r="T9" s="140">
        <f>Huacareta!T10</f>
        <v>0</v>
      </c>
      <c r="U9" s="140">
        <f>Huacareta!U10</f>
        <v>0</v>
      </c>
      <c r="V9" s="140">
        <f>Huacareta!V10</f>
        <v>63</v>
      </c>
      <c r="W9" s="140">
        <f>Huacareta!W10</f>
        <v>124</v>
      </c>
      <c r="X9" s="140">
        <f>Huacareta!X10</f>
        <v>1</v>
      </c>
      <c r="Y9" s="140">
        <f>Huacareta!Y10</f>
        <v>0</v>
      </c>
      <c r="Z9" s="140">
        <f>Huacareta!Z10</f>
        <v>11</v>
      </c>
      <c r="AA9" s="140">
        <f>Huacareta!AA10</f>
        <v>0</v>
      </c>
      <c r="AB9" s="140">
        <f>Huacareta!AB10</f>
        <v>160</v>
      </c>
      <c r="AC9" s="140">
        <f>Huacareta!AC10</f>
        <v>92</v>
      </c>
      <c r="AD9" s="140">
        <f>Huacareta!AD10</f>
        <v>5</v>
      </c>
      <c r="AE9" s="140">
        <f>Huacareta!AE10</f>
        <v>326</v>
      </c>
      <c r="AF9" s="140">
        <f>Huacareta!AF10</f>
        <v>290</v>
      </c>
      <c r="AG9" s="140">
        <f>Huacareta!AG10</f>
        <v>1</v>
      </c>
      <c r="AH9" s="140">
        <f>Huacareta!AH10</f>
        <v>0</v>
      </c>
      <c r="AI9" s="140">
        <f>Huacareta!AI10</f>
        <v>0</v>
      </c>
      <c r="AJ9" s="140">
        <f>Huacareta!AJ10</f>
        <v>0</v>
      </c>
      <c r="AK9" s="140">
        <f>Huacareta!AK10</f>
        <v>549</v>
      </c>
      <c r="AL9" s="140">
        <f>Huacareta!AL10</f>
        <v>517</v>
      </c>
      <c r="AM9" s="140">
        <f>Huacareta!AM10</f>
        <v>1066</v>
      </c>
      <c r="AN9" s="56">
        <f>Huacareta!AN10</f>
        <v>7</v>
      </c>
      <c r="AO9" s="53">
        <f t="shared" ref="AO9:AO11" si="10">O9/H9*100</f>
        <v>0.50590219224283306</v>
      </c>
      <c r="AP9" s="53">
        <f t="shared" ref="AP9:AP11" si="11">AN9/H9*100</f>
        <v>1.1804384485666104</v>
      </c>
      <c r="AQ9" s="53">
        <f t="shared" ref="AQ9:AQ11" si="12">AN9/AM9*100</f>
        <v>0.65666041275797382</v>
      </c>
      <c r="AR9" s="51">
        <f t="shared" ref="AR9:AR11" si="13">AK9/AM9*100</f>
        <v>51.50093808630394</v>
      </c>
      <c r="AS9" s="51">
        <f t="shared" ref="AS9:AS11" si="14">AL9/AM9*100</f>
        <v>48.49906191369606</v>
      </c>
      <c r="AT9" s="108">
        <f t="shared" ref="AT9:AT11" si="15">R9/AN9*100</f>
        <v>0</v>
      </c>
      <c r="AU9" s="108">
        <f t="shared" ref="AU9:AU11" si="16">U9/AN9*100</f>
        <v>0</v>
      </c>
      <c r="AV9" s="108">
        <f t="shared" ref="AV9:AV11" si="17">X9/AN9*100</f>
        <v>14.285714285714285</v>
      </c>
      <c r="AW9" s="108">
        <f t="shared" si="9"/>
        <v>0</v>
      </c>
      <c r="AX9" s="108">
        <f t="shared" ref="AX9:AX11" si="18">AD9/AN9*100</f>
        <v>71.428571428571431</v>
      </c>
      <c r="AY9" s="108">
        <f t="shared" ref="AY9:AY11" si="19">AG9/AN9*100</f>
        <v>14.285714285714285</v>
      </c>
      <c r="AZ9" s="108">
        <f t="shared" ref="AZ9:AZ11" si="20">AJ9/AN9*100</f>
        <v>0</v>
      </c>
    </row>
    <row r="10" spans="1:52" s="40" customFormat="1" ht="20.25" customHeight="1">
      <c r="A10" s="4" t="s">
        <v>140</v>
      </c>
      <c r="B10" s="38">
        <f>Huacaya!B7</f>
        <v>1</v>
      </c>
      <c r="C10" s="140">
        <f>Huacaya!C7</f>
        <v>264</v>
      </c>
      <c r="D10" s="60">
        <f>Huacaya!D7</f>
        <v>45664</v>
      </c>
      <c r="E10" s="60">
        <f>Huacaya!E7</f>
        <v>45685</v>
      </c>
      <c r="F10" s="140">
        <f>Huacaya!F7</f>
        <v>124</v>
      </c>
      <c r="G10" s="140">
        <f>Huacaya!G7</f>
        <v>0</v>
      </c>
      <c r="H10" s="140">
        <f>Huacaya!H7</f>
        <v>124</v>
      </c>
      <c r="I10" s="140">
        <f>Huacaya!I7</f>
        <v>4</v>
      </c>
      <c r="J10" s="140">
        <f>Huacaya!J7</f>
        <v>0</v>
      </c>
      <c r="K10" s="140">
        <f>Huacaya!K7</f>
        <v>128</v>
      </c>
      <c r="L10" s="140">
        <f>Huacaya!L7</f>
        <v>0</v>
      </c>
      <c r="M10" s="56">
        <f>Huacaya!M7</f>
        <v>0</v>
      </c>
      <c r="N10" s="140">
        <f>Huacaya!N7</f>
        <v>0</v>
      </c>
      <c r="O10" s="56">
        <f>Huacaya!O7</f>
        <v>10</v>
      </c>
      <c r="P10" s="140">
        <f>Huacaya!P7</f>
        <v>0</v>
      </c>
      <c r="Q10" s="140">
        <f>Huacaya!Q7</f>
        <v>9</v>
      </c>
      <c r="R10" s="140">
        <f>Huacaya!R7</f>
        <v>0</v>
      </c>
      <c r="S10" s="140">
        <f>Huacaya!S7</f>
        <v>12</v>
      </c>
      <c r="T10" s="140">
        <f>Huacaya!T7</f>
        <v>128</v>
      </c>
      <c r="U10" s="140">
        <f>Huacaya!U7</f>
        <v>6</v>
      </c>
      <c r="V10" s="140">
        <f>Huacaya!V7</f>
        <v>18</v>
      </c>
      <c r="W10" s="140">
        <f>Huacaya!W7</f>
        <v>35</v>
      </c>
      <c r="X10" s="140">
        <f>Huacaya!X7</f>
        <v>4</v>
      </c>
      <c r="Y10" s="140">
        <f>Huacaya!Y7</f>
        <v>1</v>
      </c>
      <c r="Z10" s="140">
        <f>Huacaya!Z7</f>
        <v>5</v>
      </c>
      <c r="AA10" s="140">
        <f>Huacaya!AA7</f>
        <v>3</v>
      </c>
      <c r="AB10" s="140">
        <f>Huacaya!AB7</f>
        <v>14</v>
      </c>
      <c r="AC10" s="140">
        <f>Huacaya!AC7</f>
        <v>14</v>
      </c>
      <c r="AD10" s="140">
        <f>Huacaya!AD7</f>
        <v>0</v>
      </c>
      <c r="AE10" s="140">
        <f>Huacaya!AE7</f>
        <v>510</v>
      </c>
      <c r="AF10" s="140">
        <f>Huacaya!AF7</f>
        <v>11</v>
      </c>
      <c r="AG10" s="140">
        <f>Huacaya!AG7</f>
        <v>2</v>
      </c>
      <c r="AH10" s="140">
        <f>Huacaya!AH7</f>
        <v>0</v>
      </c>
      <c r="AI10" s="140">
        <f>Huacaya!AI7</f>
        <v>1</v>
      </c>
      <c r="AJ10" s="140">
        <f>Huacaya!AJ7</f>
        <v>0</v>
      </c>
      <c r="AK10" s="140">
        <f>Huacaya!AK7</f>
        <v>555</v>
      </c>
      <c r="AL10" s="140">
        <f>Huacaya!AL7</f>
        <v>203</v>
      </c>
      <c r="AM10" s="140">
        <f>Huacaya!AM7</f>
        <v>758</v>
      </c>
      <c r="AN10" s="56">
        <f>Huacaya!AN7</f>
        <v>15</v>
      </c>
      <c r="AO10" s="53">
        <f t="shared" ref="AO10" si="21">O10/H10*100</f>
        <v>8.064516129032258</v>
      </c>
      <c r="AP10" s="53">
        <f t="shared" ref="AP10" si="22">AN10/H10*100</f>
        <v>12.096774193548388</v>
      </c>
      <c r="AQ10" s="53">
        <f t="shared" ref="AQ10" si="23">AN10/AM10*100</f>
        <v>1.9788918205804751</v>
      </c>
      <c r="AR10" s="51">
        <f t="shared" ref="AR10" si="24">AK10/AM10*100</f>
        <v>73.218997361477577</v>
      </c>
      <c r="AS10" s="51">
        <f t="shared" ref="AS10" si="25">AL10/AM10*100</f>
        <v>26.781002638522427</v>
      </c>
      <c r="AT10" s="108">
        <f t="shared" ref="AT10" si="26">R10/AN10*100</f>
        <v>0</v>
      </c>
      <c r="AU10" s="108">
        <f t="shared" ref="AU10" si="27">U10/AN10*100</f>
        <v>40</v>
      </c>
      <c r="AV10" s="108">
        <f t="shared" ref="AV10" si="28">X10/AN10*100</f>
        <v>26.666666666666668</v>
      </c>
      <c r="AW10" s="108">
        <f t="shared" ref="AW10" si="29">AA10/AN10*100</f>
        <v>20</v>
      </c>
      <c r="AX10" s="108">
        <f t="shared" ref="AX10" si="30">AD10/AN10*100</f>
        <v>0</v>
      </c>
      <c r="AY10" s="108">
        <f t="shared" ref="AY10" si="31">AG10/AN10*100</f>
        <v>13.333333333333334</v>
      </c>
      <c r="AZ10" s="108">
        <f t="shared" ref="AZ10" si="32">AJ10/AN10*100</f>
        <v>0</v>
      </c>
    </row>
    <row r="11" spans="1:52" s="40" customFormat="1" ht="20.25" customHeight="1">
      <c r="A11" s="4" t="s">
        <v>23</v>
      </c>
      <c r="B11" s="38">
        <f>'Villa Serrano'!B7</f>
        <v>1</v>
      </c>
      <c r="C11" s="38">
        <f>'Villa Serrano'!C7</f>
        <v>344</v>
      </c>
      <c r="D11" s="60">
        <f>'Villa Serrano'!D7</f>
        <v>45663</v>
      </c>
      <c r="E11" s="60">
        <f>'Villa Serrano'!E7</f>
        <v>45673</v>
      </c>
      <c r="F11" s="38">
        <f>'Villa Serrano'!F7</f>
        <v>129</v>
      </c>
      <c r="G11" s="38">
        <f>'Villa Serrano'!G7</f>
        <v>0</v>
      </c>
      <c r="H11" s="38">
        <f>'Villa Serrano'!H7</f>
        <v>129</v>
      </c>
      <c r="I11" s="38">
        <f>'Villa Serrano'!I7</f>
        <v>0</v>
      </c>
      <c r="J11" s="38">
        <f>'Villa Serrano'!J7</f>
        <v>0</v>
      </c>
      <c r="K11" s="38">
        <f>'Villa Serrano'!K7</f>
        <v>129</v>
      </c>
      <c r="L11" s="38">
        <f>'Villa Serrano'!L7</f>
        <v>10</v>
      </c>
      <c r="M11" s="56">
        <f>'Villa Serrano'!M7</f>
        <v>0</v>
      </c>
      <c r="N11" s="38">
        <f>'Villa Serrano'!N7</f>
        <v>0</v>
      </c>
      <c r="O11" s="56">
        <f>'Villa Serrano'!O7</f>
        <v>0</v>
      </c>
      <c r="P11" s="140">
        <f>'Villa Serrano'!P7</f>
        <v>0</v>
      </c>
      <c r="Q11" s="140">
        <f>'Villa Serrano'!Q7</f>
        <v>0</v>
      </c>
      <c r="R11" s="140">
        <f>'Villa Serrano'!R7</f>
        <v>0</v>
      </c>
      <c r="S11" s="140">
        <f>'Villa Serrano'!S7</f>
        <v>1</v>
      </c>
      <c r="T11" s="140">
        <f>'Villa Serrano'!T7</f>
        <v>3</v>
      </c>
      <c r="U11" s="140">
        <f>'Villa Serrano'!U7</f>
        <v>0</v>
      </c>
      <c r="V11" s="140">
        <f>'Villa Serrano'!V7</f>
        <v>45</v>
      </c>
      <c r="W11" s="140">
        <f>'Villa Serrano'!W7</f>
        <v>40</v>
      </c>
      <c r="X11" s="140">
        <f>'Villa Serrano'!X7</f>
        <v>0</v>
      </c>
      <c r="Y11" s="140">
        <f>'Villa Serrano'!Y7</f>
        <v>0</v>
      </c>
      <c r="Z11" s="140">
        <f>'Villa Serrano'!Z7</f>
        <v>0</v>
      </c>
      <c r="AA11" s="140">
        <f>'Villa Serrano'!AA7</f>
        <v>0</v>
      </c>
      <c r="AB11" s="140">
        <f>'Villa Serrano'!AB7</f>
        <v>0</v>
      </c>
      <c r="AC11" s="140">
        <f>'Villa Serrano'!AC7</f>
        <v>2</v>
      </c>
      <c r="AD11" s="140">
        <f>'Villa Serrano'!AD7</f>
        <v>0</v>
      </c>
      <c r="AE11" s="140">
        <f>'Villa Serrano'!AE7</f>
        <v>0</v>
      </c>
      <c r="AF11" s="140">
        <f>'Villa Serrano'!AF7</f>
        <v>0</v>
      </c>
      <c r="AG11" s="140">
        <f>'Villa Serrano'!AG7</f>
        <v>0</v>
      </c>
      <c r="AH11" s="140">
        <f>'Villa Serrano'!AH7</f>
        <v>0</v>
      </c>
      <c r="AI11" s="140">
        <f>'Villa Serrano'!AI7</f>
        <v>0</v>
      </c>
      <c r="AJ11" s="140">
        <f>'Villa Serrano'!AJ7</f>
        <v>0</v>
      </c>
      <c r="AK11" s="140">
        <f>'Villa Serrano'!AK7</f>
        <v>46</v>
      </c>
      <c r="AL11" s="140">
        <f>'Villa Serrano'!AL7</f>
        <v>45</v>
      </c>
      <c r="AM11" s="140">
        <f>'Villa Serrano'!AM7</f>
        <v>91</v>
      </c>
      <c r="AN11" s="56">
        <f>'Villa Serrano'!AN7</f>
        <v>0</v>
      </c>
      <c r="AO11" s="53">
        <f t="shared" si="10"/>
        <v>0</v>
      </c>
      <c r="AP11" s="53">
        <f t="shared" si="11"/>
        <v>0</v>
      </c>
      <c r="AQ11" s="53">
        <f t="shared" si="12"/>
        <v>0</v>
      </c>
      <c r="AR11" s="51">
        <f t="shared" si="13"/>
        <v>50.549450549450547</v>
      </c>
      <c r="AS11" s="51">
        <f t="shared" si="14"/>
        <v>49.450549450549453</v>
      </c>
      <c r="AT11" s="108" t="e">
        <f t="shared" si="15"/>
        <v>#DIV/0!</v>
      </c>
      <c r="AU11" s="108" t="e">
        <f t="shared" si="16"/>
        <v>#DIV/0!</v>
      </c>
      <c r="AV11" s="108" t="e">
        <f t="shared" si="17"/>
        <v>#DIV/0!</v>
      </c>
      <c r="AW11" s="108" t="e">
        <f t="shared" si="9"/>
        <v>#DIV/0!</v>
      </c>
      <c r="AX11" s="108" t="e">
        <f t="shared" si="18"/>
        <v>#DIV/0!</v>
      </c>
      <c r="AY11" s="108" t="e">
        <f t="shared" si="19"/>
        <v>#DIV/0!</v>
      </c>
      <c r="AZ11" s="108" t="e">
        <f t="shared" si="20"/>
        <v>#DIV/0!</v>
      </c>
    </row>
    <row r="12" spans="1:52" s="40" customFormat="1" ht="20.25" customHeight="1">
      <c r="A12" s="4" t="s">
        <v>49</v>
      </c>
      <c r="B12" s="38">
        <f>Padilla!B9</f>
        <v>2</v>
      </c>
      <c r="C12" s="38">
        <f>Padilla!C9</f>
        <v>774</v>
      </c>
      <c r="D12" s="60">
        <f>Padilla!D9</f>
        <v>45663</v>
      </c>
      <c r="E12" s="60">
        <f>Padilla!E9</f>
        <v>45688</v>
      </c>
      <c r="F12" s="38">
        <f>Padilla!F9</f>
        <v>262</v>
      </c>
      <c r="G12" s="38">
        <f>Padilla!G9</f>
        <v>0</v>
      </c>
      <c r="H12" s="38">
        <f>Padilla!H9</f>
        <v>262</v>
      </c>
      <c r="I12" s="38">
        <f>Padilla!I9</f>
        <v>38</v>
      </c>
      <c r="J12" s="38">
        <f>Padilla!J9</f>
        <v>0</v>
      </c>
      <c r="K12" s="38">
        <f>Padilla!K9</f>
        <v>300</v>
      </c>
      <c r="L12" s="38">
        <f>Padilla!L9</f>
        <v>0</v>
      </c>
      <c r="M12" s="56">
        <f>Padilla!M9</f>
        <v>0</v>
      </c>
      <c r="N12" s="38">
        <f>Padilla!N9</f>
        <v>0</v>
      </c>
      <c r="O12" s="56">
        <f>Padilla!O9</f>
        <v>61</v>
      </c>
      <c r="P12" s="140">
        <f>Padilla!P9</f>
        <v>0</v>
      </c>
      <c r="Q12" s="140">
        <f>Padilla!Q9</f>
        <v>44</v>
      </c>
      <c r="R12" s="140">
        <f>Padilla!R9</f>
        <v>2</v>
      </c>
      <c r="S12" s="140">
        <f>Padilla!S9</f>
        <v>0</v>
      </c>
      <c r="T12" s="140">
        <f>Padilla!T9</f>
        <v>109</v>
      </c>
      <c r="U12" s="140">
        <f>Padilla!U9</f>
        <v>19</v>
      </c>
      <c r="V12" s="140">
        <f>Padilla!V9</f>
        <v>406</v>
      </c>
      <c r="W12" s="140">
        <f>Padilla!W9</f>
        <v>248</v>
      </c>
      <c r="X12" s="140">
        <f>Padilla!X9</f>
        <v>39</v>
      </c>
      <c r="Y12" s="140">
        <f>Padilla!Y9</f>
        <v>111</v>
      </c>
      <c r="Z12" s="140">
        <f>Padilla!Z9</f>
        <v>192</v>
      </c>
      <c r="AA12" s="140">
        <f>Padilla!AA9</f>
        <v>10</v>
      </c>
      <c r="AB12" s="140">
        <f>Padilla!AB9</f>
        <v>4</v>
      </c>
      <c r="AC12" s="140">
        <f>Padilla!AC9</f>
        <v>68</v>
      </c>
      <c r="AD12" s="140">
        <f>Padilla!AD9</f>
        <v>27</v>
      </c>
      <c r="AE12" s="140">
        <f>Padilla!AE9</f>
        <v>28</v>
      </c>
      <c r="AF12" s="140">
        <f>Padilla!AF9</f>
        <v>0</v>
      </c>
      <c r="AG12" s="140">
        <f>Padilla!AG9</f>
        <v>0</v>
      </c>
      <c r="AH12" s="140">
        <f>Padilla!AH9</f>
        <v>0</v>
      </c>
      <c r="AI12" s="140">
        <f>Padilla!AI9</f>
        <v>0</v>
      </c>
      <c r="AJ12" s="140">
        <f>Padilla!AJ9</f>
        <v>0</v>
      </c>
      <c r="AK12" s="140">
        <f>Padilla!AK9</f>
        <v>549</v>
      </c>
      <c r="AL12" s="140">
        <f>Padilla!AL9</f>
        <v>661</v>
      </c>
      <c r="AM12" s="140">
        <f>Padilla!AM9</f>
        <v>1210</v>
      </c>
      <c r="AN12" s="56">
        <f>Padilla!AN9</f>
        <v>97</v>
      </c>
      <c r="AO12" s="53">
        <f t="shared" ref="AO12" si="33">O12/H12*100</f>
        <v>23.282442748091604</v>
      </c>
      <c r="AP12" s="53">
        <f t="shared" ref="AP12" si="34">AN12/H12*100</f>
        <v>37.022900763358777</v>
      </c>
      <c r="AQ12" s="53">
        <f t="shared" ref="AQ12" si="35">AN12/AM12*100</f>
        <v>8.0165289256198342</v>
      </c>
      <c r="AR12" s="51">
        <f t="shared" ref="AR12" si="36">AK12/AM12*100</f>
        <v>45.371900826446279</v>
      </c>
      <c r="AS12" s="51">
        <f t="shared" ref="AS12" si="37">AL12/AM12*100</f>
        <v>54.628099173553721</v>
      </c>
      <c r="AT12" s="108">
        <f t="shared" ref="AT12" si="38">R12/AN12*100</f>
        <v>2.0618556701030926</v>
      </c>
      <c r="AU12" s="108">
        <f t="shared" ref="AU12" si="39">U12/AN12*100</f>
        <v>19.587628865979383</v>
      </c>
      <c r="AV12" s="108">
        <f t="shared" ref="AV12" si="40">X12/AN12*100</f>
        <v>40.206185567010309</v>
      </c>
      <c r="AW12" s="108">
        <f t="shared" si="9"/>
        <v>10.309278350515463</v>
      </c>
      <c r="AX12" s="108">
        <f t="shared" ref="AX12" si="41">AD12/AN12*100</f>
        <v>27.835051546391753</v>
      </c>
      <c r="AY12" s="108">
        <f t="shared" ref="AY12" si="42">AG12/AN12*100</f>
        <v>0</v>
      </c>
      <c r="AZ12" s="108">
        <f t="shared" ref="AZ12" si="43">AJ12/AN12*100</f>
        <v>0</v>
      </c>
    </row>
    <row r="13" spans="1:52" s="40" customFormat="1" ht="20.25" customHeight="1">
      <c r="A13" s="82" t="s">
        <v>62</v>
      </c>
      <c r="B13" s="82">
        <f>SUM(B6:B12)</f>
        <v>29</v>
      </c>
      <c r="C13" s="82">
        <f>SUM(C6:C12)</f>
        <v>7900</v>
      </c>
      <c r="D13" s="124">
        <f>MIN(D6:D12)</f>
        <v>45659</v>
      </c>
      <c r="E13" s="124">
        <f>MAX(E6:E12)</f>
        <v>45688</v>
      </c>
      <c r="F13" s="82">
        <f>SUM(F6:F12)</f>
        <v>2635</v>
      </c>
      <c r="G13" s="82">
        <f t="shared" ref="G13:AJ13" si="44">SUM(G6:G12)</f>
        <v>1</v>
      </c>
      <c r="H13" s="82">
        <f t="shared" si="44"/>
        <v>2636</v>
      </c>
      <c r="I13" s="82">
        <f t="shared" si="44"/>
        <v>89</v>
      </c>
      <c r="J13" s="82">
        <f t="shared" si="44"/>
        <v>0</v>
      </c>
      <c r="K13" s="82">
        <f t="shared" si="44"/>
        <v>2725</v>
      </c>
      <c r="L13" s="82">
        <f t="shared" si="44"/>
        <v>10</v>
      </c>
      <c r="M13" s="178">
        <f t="shared" si="44"/>
        <v>0</v>
      </c>
      <c r="N13" s="82">
        <f t="shared" si="44"/>
        <v>0</v>
      </c>
      <c r="O13" s="178">
        <f t="shared" si="44"/>
        <v>252</v>
      </c>
      <c r="P13" s="82">
        <f t="shared" si="44"/>
        <v>0</v>
      </c>
      <c r="Q13" s="82">
        <f t="shared" si="44"/>
        <v>55</v>
      </c>
      <c r="R13" s="82">
        <f t="shared" si="44"/>
        <v>2</v>
      </c>
      <c r="S13" s="82">
        <f t="shared" si="44"/>
        <v>44</v>
      </c>
      <c r="T13" s="82">
        <f t="shared" si="44"/>
        <v>1448</v>
      </c>
      <c r="U13" s="82">
        <f t="shared" si="44"/>
        <v>134</v>
      </c>
      <c r="V13" s="82">
        <f t="shared" si="44"/>
        <v>649</v>
      </c>
      <c r="W13" s="82">
        <f t="shared" si="44"/>
        <v>1042</v>
      </c>
      <c r="X13" s="82">
        <f t="shared" si="44"/>
        <v>111</v>
      </c>
      <c r="Y13" s="82">
        <f t="shared" si="44"/>
        <v>119</v>
      </c>
      <c r="Z13" s="82">
        <f t="shared" si="44"/>
        <v>375</v>
      </c>
      <c r="AA13" s="82">
        <f t="shared" si="44"/>
        <v>33</v>
      </c>
      <c r="AB13" s="82">
        <f t="shared" si="44"/>
        <v>282</v>
      </c>
      <c r="AC13" s="82">
        <f t="shared" si="44"/>
        <v>557</v>
      </c>
      <c r="AD13" s="82">
        <f t="shared" si="44"/>
        <v>106</v>
      </c>
      <c r="AE13" s="82">
        <f t="shared" si="44"/>
        <v>1436</v>
      </c>
      <c r="AF13" s="82">
        <f t="shared" si="44"/>
        <v>1045</v>
      </c>
      <c r="AG13" s="82">
        <f t="shared" si="44"/>
        <v>16</v>
      </c>
      <c r="AH13" s="82">
        <f t="shared" si="44"/>
        <v>0</v>
      </c>
      <c r="AI13" s="82">
        <f t="shared" si="44"/>
        <v>1</v>
      </c>
      <c r="AJ13" s="82">
        <f t="shared" si="44"/>
        <v>0</v>
      </c>
      <c r="AK13" s="83">
        <f>P13+S13+V13+Y13+AB13+AE13+AH13</f>
        <v>2530</v>
      </c>
      <c r="AL13" s="83">
        <f>Q13+T13+W13+Z13+AC13+AF13+AI13</f>
        <v>4523</v>
      </c>
      <c r="AM13" s="83">
        <f>AK13+AL13</f>
        <v>7053</v>
      </c>
      <c r="AN13" s="178">
        <f>R13+U13+X13+AA13+AD13+AG13+AJ13</f>
        <v>402</v>
      </c>
      <c r="AO13" s="85">
        <f t="shared" ref="AO13:AO21" si="45">O13/H13*100</f>
        <v>9.5599393019726868</v>
      </c>
      <c r="AP13" s="85">
        <f t="shared" ref="AP13:AP21" si="46">AN13/H13*100</f>
        <v>15.250379362670714</v>
      </c>
      <c r="AQ13" s="85">
        <f t="shared" ref="AQ13:AQ21" si="47">AN13/AM13*100</f>
        <v>5.6997022543598463</v>
      </c>
      <c r="AR13" s="85">
        <f t="shared" ref="AR13:AR21" si="48">AK13/AM13*100</f>
        <v>35.871260456543311</v>
      </c>
      <c r="AS13" s="85">
        <f t="shared" ref="AS13:AS21" si="49">AL13/AM13*100</f>
        <v>64.128739543456675</v>
      </c>
      <c r="AT13" s="85">
        <f t="shared" ref="AT13:AT21" si="50">R13/AN13*100</f>
        <v>0.49751243781094528</v>
      </c>
      <c r="AU13" s="85">
        <f t="shared" ref="AU13:AU21" si="51">U13/AN13*100</f>
        <v>33.333333333333329</v>
      </c>
      <c r="AV13" s="85">
        <f t="shared" ref="AV13:AV21" si="52">X13/AN13*100</f>
        <v>27.611940298507463</v>
      </c>
      <c r="AW13" s="85">
        <f t="shared" si="9"/>
        <v>8.2089552238805972</v>
      </c>
      <c r="AX13" s="85">
        <f t="shared" ref="AX13:AX21" si="53">AD13/AN13*100</f>
        <v>26.368159203980102</v>
      </c>
      <c r="AY13" s="85">
        <f t="shared" ref="AY13:AY21" si="54">AG13/AN13*100</f>
        <v>3.9800995024875623</v>
      </c>
      <c r="AZ13" s="85">
        <f t="shared" ref="AZ13:AZ21" si="55">AJ13/AN13*100</f>
        <v>0</v>
      </c>
    </row>
    <row r="14" spans="1:52" s="63" customFormat="1" ht="20.25" customHeight="1">
      <c r="A14" s="42" t="s">
        <v>24</v>
      </c>
      <c r="B14" s="38">
        <f>Monteagudo!B29</f>
        <v>8</v>
      </c>
      <c r="C14" s="38">
        <f>Monteagudo!C29</f>
        <v>1227</v>
      </c>
      <c r="D14" s="60">
        <f>Monteagudo!D29</f>
        <v>45693</v>
      </c>
      <c r="E14" s="60">
        <f>Monteagudo!E29</f>
        <v>45705</v>
      </c>
      <c r="F14" s="38">
        <f>Monteagudo!F29</f>
        <v>353</v>
      </c>
      <c r="G14" s="38">
        <f>Monteagudo!G29</f>
        <v>0</v>
      </c>
      <c r="H14" s="38">
        <f>Monteagudo!H29</f>
        <v>353</v>
      </c>
      <c r="I14" s="38">
        <f>Monteagudo!I29</f>
        <v>6</v>
      </c>
      <c r="J14" s="38">
        <f>Monteagudo!J29</f>
        <v>0</v>
      </c>
      <c r="K14" s="38">
        <f>Monteagudo!K29</f>
        <v>359</v>
      </c>
      <c r="L14" s="38">
        <f>Monteagudo!L29</f>
        <v>0</v>
      </c>
      <c r="M14" s="56">
        <f>Monteagudo!M29</f>
        <v>0</v>
      </c>
      <c r="N14" s="38">
        <f>Monteagudo!N29</f>
        <v>0</v>
      </c>
      <c r="O14" s="56">
        <f>Monteagudo!O29</f>
        <v>52</v>
      </c>
      <c r="P14" s="140">
        <f>Monteagudo!P29</f>
        <v>3</v>
      </c>
      <c r="Q14" s="140">
        <f>Monteagudo!Q29</f>
        <v>4</v>
      </c>
      <c r="R14" s="140">
        <f>Monteagudo!R29</f>
        <v>0</v>
      </c>
      <c r="S14" s="140">
        <f>Monteagudo!S29</f>
        <v>3</v>
      </c>
      <c r="T14" s="140">
        <f>Monteagudo!T29</f>
        <v>12</v>
      </c>
      <c r="U14" s="140">
        <f>Monteagudo!U29</f>
        <v>4</v>
      </c>
      <c r="V14" s="140">
        <f>Monteagudo!V29</f>
        <v>23</v>
      </c>
      <c r="W14" s="140">
        <f>Monteagudo!W29</f>
        <v>99</v>
      </c>
      <c r="X14" s="140">
        <f>Monteagudo!X29</f>
        <v>18</v>
      </c>
      <c r="Y14" s="140">
        <f>Monteagudo!Y29</f>
        <v>1</v>
      </c>
      <c r="Z14" s="140">
        <f>Monteagudo!Z29</f>
        <v>32</v>
      </c>
      <c r="AA14" s="140">
        <f>Monteagudo!AA29</f>
        <v>4</v>
      </c>
      <c r="AB14" s="140">
        <f>Monteagudo!AB29</f>
        <v>8</v>
      </c>
      <c r="AC14" s="140">
        <f>Monteagudo!AC29</f>
        <v>148</v>
      </c>
      <c r="AD14" s="140">
        <f>Monteagudo!AD29</f>
        <v>53</v>
      </c>
      <c r="AE14" s="140">
        <f>Monteagudo!AE29</f>
        <v>68</v>
      </c>
      <c r="AF14" s="140">
        <f>Monteagudo!AF29</f>
        <v>66</v>
      </c>
      <c r="AG14" s="140">
        <f>Monteagudo!AG29</f>
        <v>4</v>
      </c>
      <c r="AH14" s="140">
        <f>Monteagudo!AH29</f>
        <v>0</v>
      </c>
      <c r="AI14" s="140">
        <f>Monteagudo!AI29</f>
        <v>0</v>
      </c>
      <c r="AJ14" s="140">
        <f>Monteagudo!AJ29</f>
        <v>0</v>
      </c>
      <c r="AK14" s="140">
        <f>Monteagudo!AK29</f>
        <v>106</v>
      </c>
      <c r="AL14" s="140">
        <f>Monteagudo!AL29</f>
        <v>361</v>
      </c>
      <c r="AM14" s="140">
        <f>Monteagudo!AM29</f>
        <v>467</v>
      </c>
      <c r="AN14" s="56">
        <f>Monteagudo!AN29</f>
        <v>83</v>
      </c>
      <c r="AO14" s="53">
        <f t="shared" si="45"/>
        <v>14.730878186968837</v>
      </c>
      <c r="AP14" s="53">
        <f t="shared" si="46"/>
        <v>23.512747875354105</v>
      </c>
      <c r="AQ14" s="53">
        <f t="shared" si="47"/>
        <v>17.773019271948609</v>
      </c>
      <c r="AR14" s="51">
        <f t="shared" si="48"/>
        <v>22.698072805139187</v>
      </c>
      <c r="AS14" s="51">
        <f t="shared" si="49"/>
        <v>77.301927194860809</v>
      </c>
      <c r="AT14" s="108">
        <f t="shared" si="50"/>
        <v>0</v>
      </c>
      <c r="AU14" s="108">
        <f t="shared" si="51"/>
        <v>4.8192771084337354</v>
      </c>
      <c r="AV14" s="108">
        <f t="shared" si="52"/>
        <v>21.686746987951807</v>
      </c>
      <c r="AW14" s="108">
        <f t="shared" si="9"/>
        <v>4.8192771084337354</v>
      </c>
      <c r="AX14" s="108">
        <f t="shared" si="53"/>
        <v>63.855421686746979</v>
      </c>
      <c r="AY14" s="108">
        <f t="shared" si="54"/>
        <v>4.8192771084337354</v>
      </c>
      <c r="AZ14" s="108">
        <f t="shared" si="55"/>
        <v>0</v>
      </c>
    </row>
    <row r="15" spans="1:52" s="63" customFormat="1" ht="20.25" customHeight="1">
      <c r="A15" s="42" t="s">
        <v>106</v>
      </c>
      <c r="B15" s="38">
        <f>Muyupampa!C27</f>
        <v>13</v>
      </c>
      <c r="C15" s="38">
        <f>Muyupampa!D27</f>
        <v>1007</v>
      </c>
      <c r="D15" s="60">
        <f>Muyupampa!E27</f>
        <v>45692</v>
      </c>
      <c r="E15" s="60">
        <f>Muyupampa!F27</f>
        <v>45716</v>
      </c>
      <c r="F15" s="38">
        <f>Muyupampa!G27</f>
        <v>220</v>
      </c>
      <c r="G15" s="38">
        <f>Muyupampa!H27</f>
        <v>0</v>
      </c>
      <c r="H15" s="38">
        <f>Muyupampa!I27</f>
        <v>220</v>
      </c>
      <c r="I15" s="38">
        <f>Muyupampa!J27</f>
        <v>0</v>
      </c>
      <c r="J15" s="38">
        <f>Muyupampa!K27</f>
        <v>0</v>
      </c>
      <c r="K15" s="38">
        <f>Muyupampa!L27</f>
        <v>220</v>
      </c>
      <c r="L15" s="38">
        <f>Muyupampa!M27</f>
        <v>0</v>
      </c>
      <c r="M15" s="56">
        <f>Muyupampa!N27</f>
        <v>0</v>
      </c>
      <c r="N15" s="38">
        <f>Muyupampa!O27</f>
        <v>0</v>
      </c>
      <c r="O15" s="56">
        <f>Muyupampa!P27</f>
        <v>6</v>
      </c>
      <c r="P15" s="140">
        <f>Muyupampa!Q27</f>
        <v>0</v>
      </c>
      <c r="Q15" s="140">
        <f>Muyupampa!R27</f>
        <v>0</v>
      </c>
      <c r="R15" s="140">
        <f>Muyupampa!S27</f>
        <v>0</v>
      </c>
      <c r="S15" s="140">
        <f>Muyupampa!T27</f>
        <v>27</v>
      </c>
      <c r="T15" s="140">
        <f>Muyupampa!U27</f>
        <v>35</v>
      </c>
      <c r="U15" s="140">
        <f>Muyupampa!V27</f>
        <v>4</v>
      </c>
      <c r="V15" s="140">
        <f>Muyupampa!W27</f>
        <v>97</v>
      </c>
      <c r="W15" s="140">
        <f>Muyupampa!X27</f>
        <v>72</v>
      </c>
      <c r="X15" s="140">
        <f>Muyupampa!Y27</f>
        <v>1</v>
      </c>
      <c r="Y15" s="140">
        <f>Muyupampa!Z27</f>
        <v>1</v>
      </c>
      <c r="Z15" s="140">
        <f>Muyupampa!AA27</f>
        <v>3</v>
      </c>
      <c r="AA15" s="140">
        <f>Muyupampa!AB27</f>
        <v>0</v>
      </c>
      <c r="AB15" s="140">
        <f>Muyupampa!AC27</f>
        <v>68</v>
      </c>
      <c r="AC15" s="140">
        <f>Muyupampa!AD27</f>
        <v>40</v>
      </c>
      <c r="AD15" s="140">
        <f>Muyupampa!AE27</f>
        <v>1</v>
      </c>
      <c r="AE15" s="140">
        <f>Muyupampa!AF27</f>
        <v>20</v>
      </c>
      <c r="AF15" s="140">
        <f>Muyupampa!AG27</f>
        <v>18</v>
      </c>
      <c r="AG15" s="140">
        <f>Muyupampa!AH27</f>
        <v>0</v>
      </c>
      <c r="AH15" s="140">
        <f>Muyupampa!AI27</f>
        <v>2</v>
      </c>
      <c r="AI15" s="140">
        <f>Muyupampa!AJ27</f>
        <v>0</v>
      </c>
      <c r="AJ15" s="140">
        <f>Muyupampa!AK27</f>
        <v>0</v>
      </c>
      <c r="AK15" s="140">
        <f>Muyupampa!AL27</f>
        <v>215</v>
      </c>
      <c r="AL15" s="140">
        <f>Muyupampa!AM27</f>
        <v>168</v>
      </c>
      <c r="AM15" s="140">
        <f>Muyupampa!AN27</f>
        <v>383</v>
      </c>
      <c r="AN15" s="56">
        <f>Muyupampa!AO27</f>
        <v>6</v>
      </c>
      <c r="AO15" s="53">
        <f>O15/H15*100</f>
        <v>2.7272727272727271</v>
      </c>
      <c r="AP15" s="53">
        <f>AN15/H15*100</f>
        <v>2.7272727272727271</v>
      </c>
      <c r="AQ15" s="53">
        <f>AN15/AM15*100</f>
        <v>1.5665796344647518</v>
      </c>
      <c r="AR15" s="51">
        <f>AK15/AM15*100</f>
        <v>56.13577023498695</v>
      </c>
      <c r="AS15" s="51">
        <f>AL15/AM15*100</f>
        <v>43.864229765013057</v>
      </c>
      <c r="AT15" s="108">
        <f>R15/AN15*100</f>
        <v>0</v>
      </c>
      <c r="AU15" s="108">
        <f>U15/AN15*100</f>
        <v>66.666666666666657</v>
      </c>
      <c r="AV15" s="108">
        <f>X15/AN15*100</f>
        <v>16.666666666666664</v>
      </c>
      <c r="AW15" s="108">
        <f>AA15/AN15*100</f>
        <v>0</v>
      </c>
      <c r="AX15" s="108">
        <f>AD15/AN15*100</f>
        <v>16.666666666666664</v>
      </c>
      <c r="AY15" s="108">
        <f>AG15/AN15*100</f>
        <v>0</v>
      </c>
      <c r="AZ15" s="108">
        <f>AJ15/AN15*100</f>
        <v>0</v>
      </c>
    </row>
    <row r="16" spans="1:52" s="63" customFormat="1" ht="20.25" customHeight="1">
      <c r="A16" s="42" t="s">
        <v>105</v>
      </c>
      <c r="B16" s="38">
        <f>Machareti!B20</f>
        <v>4</v>
      </c>
      <c r="C16" s="140">
        <f>Machareti!C20</f>
        <v>821</v>
      </c>
      <c r="D16" s="60">
        <f>Machareti!D20</f>
        <v>45693</v>
      </c>
      <c r="E16" s="60">
        <f>Machareti!E20</f>
        <v>45715</v>
      </c>
      <c r="F16" s="140">
        <f>Machareti!F20</f>
        <v>350</v>
      </c>
      <c r="G16" s="140">
        <f>Machareti!G20</f>
        <v>0</v>
      </c>
      <c r="H16" s="140">
        <f>Machareti!H20</f>
        <v>350</v>
      </c>
      <c r="I16" s="140">
        <f>Machareti!I20</f>
        <v>5</v>
      </c>
      <c r="J16" s="140">
        <f>Machareti!J20</f>
        <v>0</v>
      </c>
      <c r="K16" s="140">
        <f>Machareti!K20</f>
        <v>355</v>
      </c>
      <c r="L16" s="140">
        <f>Machareti!L20</f>
        <v>0</v>
      </c>
      <c r="M16" s="56">
        <f>Machareti!M20</f>
        <v>0</v>
      </c>
      <c r="N16" s="140">
        <f>Machareti!N20</f>
        <v>350</v>
      </c>
      <c r="O16" s="56">
        <f>Machareti!O20</f>
        <v>94</v>
      </c>
      <c r="P16" s="140">
        <f>Machareti!P20</f>
        <v>3</v>
      </c>
      <c r="Q16" s="140">
        <f>Machareti!Q20</f>
        <v>13</v>
      </c>
      <c r="R16" s="140">
        <f>Machareti!R20</f>
        <v>1</v>
      </c>
      <c r="S16" s="140">
        <f>Machareti!S20</f>
        <v>31</v>
      </c>
      <c r="T16" s="140">
        <f>Machareti!T20</f>
        <v>362</v>
      </c>
      <c r="U16" s="140">
        <f>Machareti!U20</f>
        <v>67</v>
      </c>
      <c r="V16" s="140">
        <f>Machareti!V20</f>
        <v>41</v>
      </c>
      <c r="W16" s="140">
        <f>Machareti!W20</f>
        <v>84</v>
      </c>
      <c r="X16" s="140">
        <f>Machareti!X20</f>
        <v>27</v>
      </c>
      <c r="Y16" s="140">
        <f>Machareti!Y20</f>
        <v>9</v>
      </c>
      <c r="Z16" s="140">
        <f>Machareti!Z20</f>
        <v>102</v>
      </c>
      <c r="AA16" s="140">
        <f>Machareti!AA20</f>
        <v>24</v>
      </c>
      <c r="AB16" s="140">
        <f>Machareti!AB20</f>
        <v>119</v>
      </c>
      <c r="AC16" s="140">
        <f>Machareti!AC20</f>
        <v>56</v>
      </c>
      <c r="AD16" s="140">
        <f>Machareti!AD20</f>
        <v>31</v>
      </c>
      <c r="AE16" s="140">
        <f>Machareti!AE20</f>
        <v>482</v>
      </c>
      <c r="AF16" s="140">
        <f>Machareti!AF20</f>
        <v>231</v>
      </c>
      <c r="AG16" s="140">
        <f>Machareti!AG20</f>
        <v>8</v>
      </c>
      <c r="AH16" s="140">
        <f>Machareti!AH20</f>
        <v>0</v>
      </c>
      <c r="AI16" s="140">
        <f>Machareti!AI20</f>
        <v>1</v>
      </c>
      <c r="AJ16" s="140">
        <f>Machareti!AJ20</f>
        <v>1</v>
      </c>
      <c r="AK16" s="140">
        <f>Machareti!AK20</f>
        <v>685</v>
      </c>
      <c r="AL16" s="140">
        <f>Machareti!AL20</f>
        <v>849</v>
      </c>
      <c r="AM16" s="140">
        <f>Machareti!AM20</f>
        <v>1534</v>
      </c>
      <c r="AN16" s="56">
        <f>Machareti!AN20</f>
        <v>159</v>
      </c>
      <c r="AO16" s="53">
        <f t="shared" ref="AO16" si="56">O16/H16*100</f>
        <v>26.857142857142858</v>
      </c>
      <c r="AP16" s="53">
        <f t="shared" ref="AP16" si="57">AN16/H16*100</f>
        <v>45.428571428571431</v>
      </c>
      <c r="AQ16" s="53">
        <f t="shared" ref="AQ16" si="58">AN16/AM16*100</f>
        <v>10.365058670143416</v>
      </c>
      <c r="AR16" s="51">
        <f t="shared" ref="AR16" si="59">AK16/AM16*100</f>
        <v>44.654498044328555</v>
      </c>
      <c r="AS16" s="51">
        <f t="shared" ref="AS16" si="60">AL16/AM16*100</f>
        <v>55.345501955671452</v>
      </c>
      <c r="AT16" s="108">
        <f t="shared" ref="AT16" si="61">R16/AN16*100</f>
        <v>0.62893081761006298</v>
      </c>
      <c r="AU16" s="108">
        <f t="shared" ref="AU16" si="62">U16/AN16*100</f>
        <v>42.138364779874216</v>
      </c>
      <c r="AV16" s="108">
        <f t="shared" ref="AV16" si="63">X16/AN16*100</f>
        <v>16.981132075471699</v>
      </c>
      <c r="AW16" s="108">
        <f t="shared" si="9"/>
        <v>15.09433962264151</v>
      </c>
      <c r="AX16" s="108">
        <f t="shared" ref="AX16" si="64">AD16/AN16*100</f>
        <v>19.49685534591195</v>
      </c>
      <c r="AY16" s="108">
        <f t="shared" ref="AY16" si="65">AG16/AN16*100</f>
        <v>5.0314465408805038</v>
      </c>
      <c r="AZ16" s="108">
        <f t="shared" ref="AZ16" si="66">AJ16/AN16*100</f>
        <v>0.62893081761006298</v>
      </c>
    </row>
    <row r="17" spans="1:52" s="63" customFormat="1" ht="20.25" customHeight="1">
      <c r="A17" s="42" t="s">
        <v>25</v>
      </c>
      <c r="B17" s="38">
        <f>Huacareta!B14</f>
        <v>2</v>
      </c>
      <c r="C17" s="38">
        <f>Huacareta!C14</f>
        <v>1239</v>
      </c>
      <c r="D17" s="60">
        <f>Huacareta!D14</f>
        <v>45691</v>
      </c>
      <c r="E17" s="60">
        <f>Huacareta!E14</f>
        <v>45714</v>
      </c>
      <c r="F17" s="38">
        <f>Huacareta!F14</f>
        <v>538</v>
      </c>
      <c r="G17" s="38">
        <f>Huacareta!G14</f>
        <v>0</v>
      </c>
      <c r="H17" s="38">
        <f>Huacareta!H14</f>
        <v>538</v>
      </c>
      <c r="I17" s="38">
        <f>Huacareta!I14</f>
        <v>29</v>
      </c>
      <c r="J17" s="38">
        <f>Huacareta!J14</f>
        <v>0</v>
      </c>
      <c r="K17" s="38">
        <f>Huacareta!K14</f>
        <v>567</v>
      </c>
      <c r="L17" s="38">
        <f>Huacareta!L14</f>
        <v>0</v>
      </c>
      <c r="M17" s="56">
        <f>Huacareta!M14</f>
        <v>0</v>
      </c>
      <c r="N17" s="38">
        <f>Huacareta!N14</f>
        <v>538</v>
      </c>
      <c r="O17" s="56">
        <f>Huacareta!O14</f>
        <v>6</v>
      </c>
      <c r="P17" s="140">
        <f>Huacareta!P14</f>
        <v>0</v>
      </c>
      <c r="Q17" s="140">
        <f>Huacareta!Q14</f>
        <v>1</v>
      </c>
      <c r="R17" s="140">
        <f>Huacareta!R14</f>
        <v>0</v>
      </c>
      <c r="S17" s="140">
        <f>Huacareta!S14</f>
        <v>0</v>
      </c>
      <c r="T17" s="140">
        <f>Huacareta!T14</f>
        <v>0</v>
      </c>
      <c r="U17" s="140">
        <f>Huacareta!U14</f>
        <v>0</v>
      </c>
      <c r="V17" s="140">
        <f>Huacareta!V14</f>
        <v>12</v>
      </c>
      <c r="W17" s="140">
        <f>Huacareta!W14</f>
        <v>125</v>
      </c>
      <c r="X17" s="140">
        <f>Huacareta!X14</f>
        <v>2</v>
      </c>
      <c r="Y17" s="140">
        <f>Huacareta!Y14</f>
        <v>2</v>
      </c>
      <c r="Z17" s="140">
        <f>Huacareta!Z14</f>
        <v>4</v>
      </c>
      <c r="AA17" s="140">
        <f>Huacareta!AA14</f>
        <v>0</v>
      </c>
      <c r="AB17" s="140">
        <f>Huacareta!AB14</f>
        <v>11</v>
      </c>
      <c r="AC17" s="140">
        <f>Huacareta!AC14</f>
        <v>57</v>
      </c>
      <c r="AD17" s="140">
        <f>Huacareta!AD14</f>
        <v>2</v>
      </c>
      <c r="AE17" s="140">
        <f>Huacareta!AE14</f>
        <v>291</v>
      </c>
      <c r="AF17" s="140">
        <f>Huacareta!AF14</f>
        <v>313</v>
      </c>
      <c r="AG17" s="140">
        <f>Huacareta!AG14</f>
        <v>2</v>
      </c>
      <c r="AH17" s="140">
        <f>Huacareta!AH14</f>
        <v>0</v>
      </c>
      <c r="AI17" s="140">
        <f>Huacareta!AI14</f>
        <v>0</v>
      </c>
      <c r="AJ17" s="140">
        <f>Huacareta!AJ14</f>
        <v>0</v>
      </c>
      <c r="AK17" s="140">
        <f>Huacareta!AK14</f>
        <v>316</v>
      </c>
      <c r="AL17" s="140">
        <f>Huacareta!AL14</f>
        <v>500</v>
      </c>
      <c r="AM17" s="140">
        <f>Huacareta!AM14</f>
        <v>816</v>
      </c>
      <c r="AN17" s="56">
        <f>Huacareta!AN14</f>
        <v>6</v>
      </c>
      <c r="AO17" s="53">
        <f t="shared" si="45"/>
        <v>1.1152416356877324</v>
      </c>
      <c r="AP17" s="53">
        <f t="shared" si="46"/>
        <v>1.1152416356877324</v>
      </c>
      <c r="AQ17" s="53">
        <f t="shared" si="47"/>
        <v>0.73529411764705876</v>
      </c>
      <c r="AR17" s="51">
        <f t="shared" si="48"/>
        <v>38.725490196078432</v>
      </c>
      <c r="AS17" s="51">
        <f t="shared" si="49"/>
        <v>61.274509803921575</v>
      </c>
      <c r="AT17" s="108">
        <f t="shared" si="50"/>
        <v>0</v>
      </c>
      <c r="AU17" s="108">
        <f t="shared" si="51"/>
        <v>0</v>
      </c>
      <c r="AV17" s="108">
        <f t="shared" si="52"/>
        <v>33.333333333333329</v>
      </c>
      <c r="AW17" s="108">
        <f t="shared" si="9"/>
        <v>0</v>
      </c>
      <c r="AX17" s="108">
        <f t="shared" si="53"/>
        <v>33.333333333333329</v>
      </c>
      <c r="AY17" s="108">
        <f t="shared" si="54"/>
        <v>33.333333333333329</v>
      </c>
      <c r="AZ17" s="108">
        <f t="shared" si="55"/>
        <v>0</v>
      </c>
    </row>
    <row r="18" spans="1:52" s="63" customFormat="1" ht="20.25" customHeight="1">
      <c r="A18" s="42" t="s">
        <v>140</v>
      </c>
      <c r="B18" s="38">
        <f>Huacaya!B10</f>
        <v>2</v>
      </c>
      <c r="C18" s="140">
        <f>Huacaya!C10</f>
        <v>338</v>
      </c>
      <c r="D18" s="60">
        <f>Huacaya!D10</f>
        <v>45694</v>
      </c>
      <c r="E18" s="60">
        <f>Huacaya!E10</f>
        <v>45713</v>
      </c>
      <c r="F18" s="140">
        <f>Huacaya!F10</f>
        <v>97</v>
      </c>
      <c r="G18" s="140">
        <f>Huacaya!G10</f>
        <v>0</v>
      </c>
      <c r="H18" s="140">
        <f>Huacaya!H10</f>
        <v>97</v>
      </c>
      <c r="I18" s="140">
        <f>Huacaya!I10</f>
        <v>3</v>
      </c>
      <c r="J18" s="140">
        <f>Huacaya!J10</f>
        <v>0</v>
      </c>
      <c r="K18" s="140">
        <f>Huacaya!K10</f>
        <v>100</v>
      </c>
      <c r="L18" s="140">
        <f>Huacaya!L10</f>
        <v>0</v>
      </c>
      <c r="M18" s="56">
        <f>Huacaya!M10</f>
        <v>0</v>
      </c>
      <c r="N18" s="140">
        <f>Huacaya!N10</f>
        <v>97</v>
      </c>
      <c r="O18" s="56">
        <f>Huacaya!O10</f>
        <v>9</v>
      </c>
      <c r="P18" s="140">
        <f>Huacaya!P10</f>
        <v>0</v>
      </c>
      <c r="Q18" s="140">
        <f>Huacaya!Q10</f>
        <v>6</v>
      </c>
      <c r="R18" s="140">
        <f>Huacaya!R10</f>
        <v>0</v>
      </c>
      <c r="S18" s="140">
        <f>Huacaya!S10</f>
        <v>7</v>
      </c>
      <c r="T18" s="140">
        <f>Huacaya!T10</f>
        <v>121</v>
      </c>
      <c r="U18" s="140">
        <f>Huacaya!U10</f>
        <v>3</v>
      </c>
      <c r="V18" s="140">
        <f>Huacaya!V10</f>
        <v>15</v>
      </c>
      <c r="W18" s="140">
        <f>Huacaya!W10</f>
        <v>79</v>
      </c>
      <c r="X18" s="140">
        <f>Huacaya!X10</f>
        <v>4</v>
      </c>
      <c r="Y18" s="140">
        <f>Huacaya!Y10</f>
        <v>0</v>
      </c>
      <c r="Z18" s="140">
        <f>Huacaya!Z10</f>
        <v>21</v>
      </c>
      <c r="AA18" s="140">
        <f>Huacaya!AA10</f>
        <v>1</v>
      </c>
      <c r="AB18" s="140">
        <f>Huacaya!AB10</f>
        <v>17</v>
      </c>
      <c r="AC18" s="140">
        <f>Huacaya!AC10</f>
        <v>10</v>
      </c>
      <c r="AD18" s="140">
        <f>Huacaya!AD10</f>
        <v>0</v>
      </c>
      <c r="AE18" s="140">
        <f>Huacaya!AE10</f>
        <v>254</v>
      </c>
      <c r="AF18" s="140">
        <f>Huacaya!AF10</f>
        <v>106</v>
      </c>
      <c r="AG18" s="140">
        <f>Huacaya!AG10</f>
        <v>1</v>
      </c>
      <c r="AH18" s="140">
        <f>Huacaya!AH10</f>
        <v>0</v>
      </c>
      <c r="AI18" s="140">
        <f>Huacaya!AI10</f>
        <v>2</v>
      </c>
      <c r="AJ18" s="140">
        <f>Huacaya!AJ10</f>
        <v>0</v>
      </c>
      <c r="AK18" s="140">
        <f>Huacaya!AK10</f>
        <v>293</v>
      </c>
      <c r="AL18" s="140">
        <f>Huacaya!AL10</f>
        <v>345</v>
      </c>
      <c r="AM18" s="140">
        <f>Huacaya!AM10</f>
        <v>638</v>
      </c>
      <c r="AN18" s="56">
        <f>Huacaya!AN10</f>
        <v>9</v>
      </c>
      <c r="AO18" s="53">
        <f t="shared" ref="AO18" si="67">O18/H18*100</f>
        <v>9.2783505154639183</v>
      </c>
      <c r="AP18" s="53">
        <f t="shared" ref="AP18" si="68">AN18/H18*100</f>
        <v>9.2783505154639183</v>
      </c>
      <c r="AQ18" s="53">
        <f t="shared" ref="AQ18" si="69">AN18/AM18*100</f>
        <v>1.4106583072100314</v>
      </c>
      <c r="AR18" s="51">
        <f t="shared" ref="AR18" si="70">AK18/AM18*100</f>
        <v>45.924764890282134</v>
      </c>
      <c r="AS18" s="51">
        <f t="shared" ref="AS18" si="71">AL18/AM18*100</f>
        <v>54.075235109717866</v>
      </c>
      <c r="AT18" s="108">
        <f t="shared" ref="AT18" si="72">R18/AN18*100</f>
        <v>0</v>
      </c>
      <c r="AU18" s="108">
        <f t="shared" ref="AU18" si="73">U18/AN18*100</f>
        <v>33.333333333333329</v>
      </c>
      <c r="AV18" s="108">
        <f t="shared" ref="AV18" si="74">X18/AN18*100</f>
        <v>44.444444444444443</v>
      </c>
      <c r="AW18" s="108">
        <f t="shared" ref="AW18" si="75">AA18/AN18*100</f>
        <v>11.111111111111111</v>
      </c>
      <c r="AX18" s="108">
        <f t="shared" ref="AX18" si="76">AD18/AN18*100</f>
        <v>0</v>
      </c>
      <c r="AY18" s="108">
        <f t="shared" ref="AY18" si="77">AG18/AN18*100</f>
        <v>11.111111111111111</v>
      </c>
      <c r="AZ18" s="108">
        <f t="shared" ref="AZ18" si="78">AJ18/AN18*100</f>
        <v>0</v>
      </c>
    </row>
    <row r="19" spans="1:52" s="63" customFormat="1" ht="20.25" customHeight="1">
      <c r="A19" s="42" t="s">
        <v>50</v>
      </c>
      <c r="B19" s="38">
        <f>Sucre!B23</f>
        <v>17</v>
      </c>
      <c r="C19" s="140">
        <f>Sucre!C23</f>
        <v>2846</v>
      </c>
      <c r="D19" s="60">
        <f>Sucre!D23</f>
        <v>45693</v>
      </c>
      <c r="E19" s="60">
        <f>Sucre!E23</f>
        <v>45712</v>
      </c>
      <c r="F19" s="140">
        <f>Sucre!F23</f>
        <v>1192</v>
      </c>
      <c r="G19" s="140">
        <f>Sucre!G23</f>
        <v>0</v>
      </c>
      <c r="H19" s="140">
        <f>Sucre!H23</f>
        <v>1192</v>
      </c>
      <c r="I19" s="140">
        <f>Sucre!I23</f>
        <v>89</v>
      </c>
      <c r="J19" s="140">
        <f>Sucre!J23</f>
        <v>0</v>
      </c>
      <c r="K19" s="140">
        <f>Sucre!K23</f>
        <v>1281</v>
      </c>
      <c r="L19" s="140">
        <f>Sucre!L23</f>
        <v>0</v>
      </c>
      <c r="M19" s="56">
        <f>Sucre!M23</f>
        <v>0</v>
      </c>
      <c r="N19" s="140">
        <f>Sucre!N23</f>
        <v>1192</v>
      </c>
      <c r="O19" s="56">
        <f>Sucre!O23</f>
        <v>69</v>
      </c>
      <c r="P19" s="140">
        <f>Sucre!P23</f>
        <v>37</v>
      </c>
      <c r="Q19" s="140">
        <f>Sucre!Q23</f>
        <v>189</v>
      </c>
      <c r="R19" s="140">
        <f>Sucre!R23</f>
        <v>2</v>
      </c>
      <c r="S19" s="140">
        <f>Sucre!S23</f>
        <v>263</v>
      </c>
      <c r="T19" s="140">
        <f>Sucre!T23</f>
        <v>638</v>
      </c>
      <c r="U19" s="140">
        <f>Sucre!U23</f>
        <v>31</v>
      </c>
      <c r="V19" s="140">
        <f>Sucre!V23</f>
        <v>907</v>
      </c>
      <c r="W19" s="140">
        <f>Sucre!W23</f>
        <v>329</v>
      </c>
      <c r="X19" s="140">
        <f>Sucre!X23</f>
        <v>15</v>
      </c>
      <c r="Y19" s="140">
        <f>Sucre!Y23</f>
        <v>38</v>
      </c>
      <c r="Z19" s="140">
        <f>Sucre!Z23</f>
        <v>96</v>
      </c>
      <c r="AA19" s="140">
        <f>Sucre!AA23</f>
        <v>2</v>
      </c>
      <c r="AB19" s="140">
        <f>Sucre!AB23</f>
        <v>305</v>
      </c>
      <c r="AC19" s="140">
        <f>Sucre!AC23</f>
        <v>224</v>
      </c>
      <c r="AD19" s="140">
        <f>Sucre!AD23</f>
        <v>23</v>
      </c>
      <c r="AE19" s="140">
        <f>Sucre!AE23</f>
        <v>2552</v>
      </c>
      <c r="AF19" s="140">
        <f>Sucre!AF23</f>
        <v>461</v>
      </c>
      <c r="AG19" s="140">
        <f>Sucre!AG23</f>
        <v>2</v>
      </c>
      <c r="AH19" s="140">
        <f>Sucre!AH23</f>
        <v>0</v>
      </c>
      <c r="AI19" s="140">
        <f>Sucre!AI23</f>
        <v>0</v>
      </c>
      <c r="AJ19" s="140">
        <f>Sucre!AJ23</f>
        <v>0</v>
      </c>
      <c r="AK19" s="140">
        <f>Sucre!AK23</f>
        <v>4102</v>
      </c>
      <c r="AL19" s="140">
        <f>Sucre!AL23</f>
        <v>1937</v>
      </c>
      <c r="AM19" s="140">
        <f>Sucre!AM23</f>
        <v>6039</v>
      </c>
      <c r="AN19" s="56">
        <f>Sucre!AN23</f>
        <v>75</v>
      </c>
      <c r="AO19" s="53">
        <f t="shared" si="45"/>
        <v>5.7885906040268456</v>
      </c>
      <c r="AP19" s="53">
        <f t="shared" si="46"/>
        <v>6.2919463087248326</v>
      </c>
      <c r="AQ19" s="53">
        <f t="shared" si="47"/>
        <v>1.2419274714356683</v>
      </c>
      <c r="AR19" s="51">
        <f t="shared" si="48"/>
        <v>67.925153171054802</v>
      </c>
      <c r="AS19" s="51">
        <f t="shared" si="49"/>
        <v>32.074846828945191</v>
      </c>
      <c r="AT19" s="108">
        <f t="shared" si="50"/>
        <v>2.666666666666667</v>
      </c>
      <c r="AU19" s="108">
        <f t="shared" si="51"/>
        <v>41.333333333333336</v>
      </c>
      <c r="AV19" s="108">
        <f t="shared" si="52"/>
        <v>20</v>
      </c>
      <c r="AW19" s="108">
        <f t="shared" si="9"/>
        <v>2.666666666666667</v>
      </c>
      <c r="AX19" s="108">
        <f t="shared" si="53"/>
        <v>30.666666666666664</v>
      </c>
      <c r="AY19" s="108">
        <f t="shared" si="54"/>
        <v>2.666666666666667</v>
      </c>
      <c r="AZ19" s="108">
        <f t="shared" si="55"/>
        <v>0</v>
      </c>
    </row>
    <row r="20" spans="1:52" s="63" customFormat="1" ht="20.25" customHeight="1">
      <c r="A20" s="42" t="s">
        <v>23</v>
      </c>
      <c r="B20" s="38">
        <f>'Villa Serrano'!B9</f>
        <v>1</v>
      </c>
      <c r="C20" s="140">
        <f>'Villa Serrano'!C9</f>
        <v>1215</v>
      </c>
      <c r="D20" s="60">
        <f>'Villa Serrano'!D9</f>
        <v>45705</v>
      </c>
      <c r="E20" s="60">
        <f>'Villa Serrano'!E9</f>
        <v>45716</v>
      </c>
      <c r="F20" s="140">
        <f>'Villa Serrano'!F9</f>
        <v>473</v>
      </c>
      <c r="G20" s="140">
        <f>'Villa Serrano'!G9</f>
        <v>0</v>
      </c>
      <c r="H20" s="140">
        <f>'Villa Serrano'!H9</f>
        <v>473</v>
      </c>
      <c r="I20" s="140">
        <f>'Villa Serrano'!I9</f>
        <v>69</v>
      </c>
      <c r="J20" s="140">
        <f>'Villa Serrano'!J9</f>
        <v>0</v>
      </c>
      <c r="K20" s="140">
        <f>'Villa Serrano'!K9</f>
        <v>542</v>
      </c>
      <c r="L20" s="140">
        <f>'Villa Serrano'!L9</f>
        <v>0</v>
      </c>
      <c r="M20" s="56">
        <f>'Villa Serrano'!M9</f>
        <v>0</v>
      </c>
      <c r="N20" s="140">
        <f>'Villa Serrano'!N9</f>
        <v>473</v>
      </c>
      <c r="O20" s="56">
        <f>'Villa Serrano'!O9</f>
        <v>1</v>
      </c>
      <c r="P20" s="140">
        <f>'Villa Serrano'!P9</f>
        <v>0</v>
      </c>
      <c r="Q20" s="140">
        <f>'Villa Serrano'!Q9</f>
        <v>9</v>
      </c>
      <c r="R20" s="140">
        <f>'Villa Serrano'!R9</f>
        <v>0</v>
      </c>
      <c r="S20" s="140">
        <f>'Villa Serrano'!S9</f>
        <v>4</v>
      </c>
      <c r="T20" s="140">
        <f>'Villa Serrano'!T9</f>
        <v>65</v>
      </c>
      <c r="U20" s="140">
        <f>'Villa Serrano'!U9</f>
        <v>0</v>
      </c>
      <c r="V20" s="140">
        <f>'Villa Serrano'!V9</f>
        <v>22</v>
      </c>
      <c r="W20" s="140">
        <f>'Villa Serrano'!W9</f>
        <v>75</v>
      </c>
      <c r="X20" s="140">
        <f>'Villa Serrano'!X9</f>
        <v>0</v>
      </c>
      <c r="Y20" s="140">
        <f>'Villa Serrano'!Y9</f>
        <v>0</v>
      </c>
      <c r="Z20" s="140">
        <f>'Villa Serrano'!Z9</f>
        <v>0</v>
      </c>
      <c r="AA20" s="140">
        <f>'Villa Serrano'!AA9</f>
        <v>0</v>
      </c>
      <c r="AB20" s="140">
        <f>'Villa Serrano'!AB9</f>
        <v>16</v>
      </c>
      <c r="AC20" s="140">
        <f>'Villa Serrano'!AC9</f>
        <v>64</v>
      </c>
      <c r="AD20" s="140">
        <f>'Villa Serrano'!AD9</f>
        <v>2</v>
      </c>
      <c r="AE20" s="140">
        <f>'Villa Serrano'!AE9</f>
        <v>36</v>
      </c>
      <c r="AF20" s="140">
        <f>'Villa Serrano'!AF9</f>
        <v>143</v>
      </c>
      <c r="AG20" s="140">
        <f>'Villa Serrano'!AG9</f>
        <v>0</v>
      </c>
      <c r="AH20" s="140">
        <f>'Villa Serrano'!AH9</f>
        <v>0</v>
      </c>
      <c r="AI20" s="140">
        <f>'Villa Serrano'!AI9</f>
        <v>0</v>
      </c>
      <c r="AJ20" s="140">
        <f>'Villa Serrano'!AJ9</f>
        <v>0</v>
      </c>
      <c r="AK20" s="140">
        <f>'Villa Serrano'!AK9</f>
        <v>78</v>
      </c>
      <c r="AL20" s="140">
        <f>'Villa Serrano'!AL9</f>
        <v>356</v>
      </c>
      <c r="AM20" s="140">
        <f>'Villa Serrano'!AM9</f>
        <v>434</v>
      </c>
      <c r="AN20" s="56">
        <f>'Villa Serrano'!AN9</f>
        <v>2</v>
      </c>
      <c r="AO20" s="53">
        <f t="shared" ref="AO20" si="79">O20/H20*100</f>
        <v>0.21141649048625794</v>
      </c>
      <c r="AP20" s="53">
        <f t="shared" ref="AP20" si="80">AN20/H20*100</f>
        <v>0.42283298097251587</v>
      </c>
      <c r="AQ20" s="53">
        <f t="shared" ref="AQ20" si="81">AN20/AM20*100</f>
        <v>0.46082949308755761</v>
      </c>
      <c r="AR20" s="51">
        <f t="shared" ref="AR20" si="82">AK20/AM20*100</f>
        <v>17.972350230414747</v>
      </c>
      <c r="AS20" s="51">
        <f t="shared" ref="AS20" si="83">AL20/AM20*100</f>
        <v>82.027649769585253</v>
      </c>
      <c r="AT20" s="108">
        <f t="shared" ref="AT20" si="84">R20/AN20*100</f>
        <v>0</v>
      </c>
      <c r="AU20" s="108">
        <f t="shared" ref="AU20" si="85">U20/AN20*100</f>
        <v>0</v>
      </c>
      <c r="AV20" s="108">
        <f t="shared" ref="AV20" si="86">X20/AN20*100</f>
        <v>0</v>
      </c>
      <c r="AW20" s="108">
        <f t="shared" si="9"/>
        <v>0</v>
      </c>
      <c r="AX20" s="108">
        <f t="shared" ref="AX20" si="87">AD20/AN20*100</f>
        <v>100</v>
      </c>
      <c r="AY20" s="108">
        <f t="shared" ref="AY20" si="88">AG20/AN20*100</f>
        <v>0</v>
      </c>
      <c r="AZ20" s="108">
        <f t="shared" ref="AZ20" si="89">AJ20/AN20*100</f>
        <v>0</v>
      </c>
    </row>
    <row r="21" spans="1:52" s="63" customFormat="1" ht="20.25" customHeight="1">
      <c r="A21" s="42" t="s">
        <v>49</v>
      </c>
      <c r="B21" s="38">
        <f>Padilla!B13</f>
        <v>2</v>
      </c>
      <c r="C21" s="140">
        <f>Padilla!C13</f>
        <v>589</v>
      </c>
      <c r="D21" s="60">
        <f>Padilla!D13</f>
        <v>45692</v>
      </c>
      <c r="E21" s="60">
        <f>Padilla!E13</f>
        <v>45701</v>
      </c>
      <c r="F21" s="140">
        <f>Padilla!F13</f>
        <v>185</v>
      </c>
      <c r="G21" s="140">
        <f>Padilla!G13</f>
        <v>0</v>
      </c>
      <c r="H21" s="140">
        <f>Padilla!H13</f>
        <v>185</v>
      </c>
      <c r="I21" s="140">
        <f>Padilla!I13</f>
        <v>31</v>
      </c>
      <c r="J21" s="140">
        <f>Padilla!J13</f>
        <v>0</v>
      </c>
      <c r="K21" s="140">
        <f>Padilla!K13</f>
        <v>216</v>
      </c>
      <c r="L21" s="140">
        <f>Padilla!L13</f>
        <v>0</v>
      </c>
      <c r="M21" s="56">
        <f>Padilla!M13</f>
        <v>0</v>
      </c>
      <c r="N21" s="140">
        <f>Padilla!N13</f>
        <v>185</v>
      </c>
      <c r="O21" s="56">
        <f>Padilla!O13</f>
        <v>24</v>
      </c>
      <c r="P21" s="140">
        <f>Padilla!P13</f>
        <v>0</v>
      </c>
      <c r="Q21" s="140">
        <f>Padilla!Q13</f>
        <v>12</v>
      </c>
      <c r="R21" s="140">
        <f>Padilla!R13</f>
        <v>2</v>
      </c>
      <c r="S21" s="140">
        <f>Padilla!S13</f>
        <v>0</v>
      </c>
      <c r="T21" s="140">
        <f>Padilla!T13</f>
        <v>89</v>
      </c>
      <c r="U21" s="140">
        <f>Padilla!U13</f>
        <v>7</v>
      </c>
      <c r="V21" s="140">
        <f>Padilla!V13</f>
        <v>294</v>
      </c>
      <c r="W21" s="140">
        <f>Padilla!W13</f>
        <v>121</v>
      </c>
      <c r="X21" s="140">
        <f>Padilla!X13</f>
        <v>10</v>
      </c>
      <c r="Y21" s="140">
        <f>Padilla!Y13</f>
        <v>3</v>
      </c>
      <c r="Z21" s="140">
        <f>Padilla!Z13</f>
        <v>28</v>
      </c>
      <c r="AA21" s="140">
        <f>Padilla!AA13</f>
        <v>0</v>
      </c>
      <c r="AB21" s="140">
        <f>Padilla!AB13</f>
        <v>25</v>
      </c>
      <c r="AC21" s="140">
        <f>Padilla!AC13</f>
        <v>60</v>
      </c>
      <c r="AD21" s="140">
        <f>Padilla!AD13</f>
        <v>15</v>
      </c>
      <c r="AE21" s="140">
        <f>Padilla!AE13</f>
        <v>444</v>
      </c>
      <c r="AF21" s="140">
        <f>Padilla!AF13</f>
        <v>0</v>
      </c>
      <c r="AG21" s="140">
        <f>Padilla!AG13</f>
        <v>1</v>
      </c>
      <c r="AH21" s="140">
        <f>Padilla!AH13</f>
        <v>0</v>
      </c>
      <c r="AI21" s="140">
        <f>Padilla!AI13</f>
        <v>0</v>
      </c>
      <c r="AJ21" s="140">
        <f>Padilla!AJ13</f>
        <v>0</v>
      </c>
      <c r="AK21" s="140">
        <f>Padilla!AK13</f>
        <v>766</v>
      </c>
      <c r="AL21" s="140">
        <f>Padilla!AL13</f>
        <v>310</v>
      </c>
      <c r="AM21" s="140">
        <f>Padilla!AM13</f>
        <v>1076</v>
      </c>
      <c r="AN21" s="56">
        <f>Padilla!AN13</f>
        <v>35</v>
      </c>
      <c r="AO21" s="53">
        <f t="shared" si="45"/>
        <v>12.972972972972974</v>
      </c>
      <c r="AP21" s="53">
        <f t="shared" si="46"/>
        <v>18.918918918918919</v>
      </c>
      <c r="AQ21" s="53">
        <f t="shared" si="47"/>
        <v>3.2527881040892193</v>
      </c>
      <c r="AR21" s="51">
        <f t="shared" si="48"/>
        <v>71.189591078066911</v>
      </c>
      <c r="AS21" s="51">
        <f t="shared" si="49"/>
        <v>28.810408921933085</v>
      </c>
      <c r="AT21" s="108">
        <f t="shared" si="50"/>
        <v>5.7142857142857144</v>
      </c>
      <c r="AU21" s="108">
        <f t="shared" si="51"/>
        <v>20</v>
      </c>
      <c r="AV21" s="108">
        <f t="shared" si="52"/>
        <v>28.571428571428569</v>
      </c>
      <c r="AW21" s="108">
        <f t="shared" si="9"/>
        <v>0</v>
      </c>
      <c r="AX21" s="108">
        <f t="shared" si="53"/>
        <v>42.857142857142854</v>
      </c>
      <c r="AY21" s="108">
        <f t="shared" si="54"/>
        <v>2.8571428571428572</v>
      </c>
      <c r="AZ21" s="108">
        <f t="shared" si="55"/>
        <v>0</v>
      </c>
    </row>
    <row r="22" spans="1:52" s="63" customFormat="1" ht="20.25" customHeight="1">
      <c r="A22" s="152" t="s">
        <v>156</v>
      </c>
      <c r="B22" s="140">
        <f>Yamparaez!B9</f>
        <v>3</v>
      </c>
      <c r="C22" s="140">
        <f>Yamparaez!C9</f>
        <v>705</v>
      </c>
      <c r="D22" s="60">
        <f>Yamparaez!D9</f>
        <v>45692</v>
      </c>
      <c r="E22" s="60">
        <f>Yamparaez!E9</f>
        <v>45709</v>
      </c>
      <c r="F22" s="140">
        <f>Yamparaez!F9</f>
        <v>317</v>
      </c>
      <c r="G22" s="140">
        <f>Yamparaez!G9</f>
        <v>0</v>
      </c>
      <c r="H22" s="140">
        <f>Yamparaez!H9</f>
        <v>317</v>
      </c>
      <c r="I22" s="140">
        <f>Yamparaez!I9</f>
        <v>17</v>
      </c>
      <c r="J22" s="140">
        <f>Yamparaez!J9</f>
        <v>0</v>
      </c>
      <c r="K22" s="140">
        <f>Yamparaez!K9</f>
        <v>334</v>
      </c>
      <c r="L22" s="140">
        <f>Yamparaez!L9</f>
        <v>0</v>
      </c>
      <c r="M22" s="56">
        <f>Yamparaez!M9</f>
        <v>0</v>
      </c>
      <c r="N22" s="140">
        <f>Yamparaez!N9</f>
        <v>0</v>
      </c>
      <c r="O22" s="56">
        <f>Yamparaez!O9</f>
        <v>2</v>
      </c>
      <c r="P22" s="140">
        <f>Yamparaez!P9</f>
        <v>1</v>
      </c>
      <c r="Q22" s="140">
        <f>Yamparaez!Q9</f>
        <v>8</v>
      </c>
      <c r="R22" s="140">
        <f>Yamparaez!R9</f>
        <v>0</v>
      </c>
      <c r="S22" s="140">
        <f>Yamparaez!S9</f>
        <v>4</v>
      </c>
      <c r="T22" s="140">
        <f>Yamparaez!T9</f>
        <v>29</v>
      </c>
      <c r="U22" s="140">
        <f>Yamparaez!U9</f>
        <v>1</v>
      </c>
      <c r="V22" s="140">
        <f>Yamparaez!V9</f>
        <v>15</v>
      </c>
      <c r="W22" s="140">
        <f>Yamparaez!W9</f>
        <v>25</v>
      </c>
      <c r="X22" s="140">
        <f>Yamparaez!X9</f>
        <v>0</v>
      </c>
      <c r="Y22" s="140">
        <f>Yamparaez!Y9</f>
        <v>30</v>
      </c>
      <c r="Z22" s="140">
        <f>Yamparaez!Z9</f>
        <v>19</v>
      </c>
      <c r="AA22" s="140">
        <f>Yamparaez!AA9</f>
        <v>0</v>
      </c>
      <c r="AB22" s="140">
        <f>Yamparaez!AB9</f>
        <v>6</v>
      </c>
      <c r="AC22" s="140">
        <f>Yamparaez!AC9</f>
        <v>11</v>
      </c>
      <c r="AD22" s="140">
        <f>Yamparaez!AD9</f>
        <v>0</v>
      </c>
      <c r="AE22" s="140">
        <f>Yamparaez!AE9</f>
        <v>6</v>
      </c>
      <c r="AF22" s="140">
        <f>Yamparaez!AF9</f>
        <v>6</v>
      </c>
      <c r="AG22" s="140">
        <f>Yamparaez!AG9</f>
        <v>2</v>
      </c>
      <c r="AH22" s="140">
        <f>Yamparaez!AH9</f>
        <v>0</v>
      </c>
      <c r="AI22" s="140">
        <f>Yamparaez!AI9</f>
        <v>0</v>
      </c>
      <c r="AJ22" s="140">
        <f>Yamparaez!AJ9</f>
        <v>0</v>
      </c>
      <c r="AK22" s="140">
        <f>Yamparaez!AK9</f>
        <v>62</v>
      </c>
      <c r="AL22" s="140">
        <f>Yamparaez!AL9</f>
        <v>98</v>
      </c>
      <c r="AM22" s="140">
        <f>Yamparaez!AM9</f>
        <v>160</v>
      </c>
      <c r="AN22" s="56">
        <f>Yamparaez!AN9</f>
        <v>3</v>
      </c>
      <c r="AO22" s="53">
        <f t="shared" ref="AO22" si="90">O22/H22*100</f>
        <v>0.63091482649842268</v>
      </c>
      <c r="AP22" s="53">
        <f t="shared" ref="AP22" si="91">AN22/H22*100</f>
        <v>0.94637223974763407</v>
      </c>
      <c r="AQ22" s="53">
        <f t="shared" ref="AQ22" si="92">AN22/AM22*100</f>
        <v>1.875</v>
      </c>
      <c r="AR22" s="51">
        <f t="shared" ref="AR22" si="93">AK22/AM22*100</f>
        <v>38.75</v>
      </c>
      <c r="AS22" s="51">
        <f t="shared" ref="AS22" si="94">AL22/AM22*100</f>
        <v>61.250000000000007</v>
      </c>
      <c r="AT22" s="108">
        <f t="shared" ref="AT22" si="95">R22/AN22*100</f>
        <v>0</v>
      </c>
      <c r="AU22" s="108">
        <f t="shared" ref="AU22" si="96">U22/AN22*100</f>
        <v>33.333333333333329</v>
      </c>
      <c r="AV22" s="108">
        <f t="shared" ref="AV22" si="97">X22/AN22*100</f>
        <v>0</v>
      </c>
      <c r="AW22" s="108">
        <f t="shared" ref="AW22" si="98">AA22/AN22*100</f>
        <v>0</v>
      </c>
      <c r="AX22" s="108">
        <f t="shared" ref="AX22" si="99">AD22/AN22*100</f>
        <v>0</v>
      </c>
      <c r="AY22" s="108">
        <f t="shared" ref="AY22" si="100">AG22/AN22*100</f>
        <v>66.666666666666657</v>
      </c>
      <c r="AZ22" s="108">
        <f t="shared" ref="AZ22" si="101">AJ22/AN22*100</f>
        <v>0</v>
      </c>
    </row>
    <row r="23" spans="1:52" s="63" customFormat="1" ht="20.25" customHeight="1">
      <c r="A23" s="42" t="s">
        <v>213</v>
      </c>
      <c r="B23" s="38">
        <f>'El Villar'!B7</f>
        <v>1</v>
      </c>
      <c r="C23" s="140">
        <f>'El Villar'!C7</f>
        <v>118</v>
      </c>
      <c r="D23" s="60">
        <f>'El Villar'!D7</f>
        <v>45699</v>
      </c>
      <c r="E23" s="60">
        <f>'El Villar'!E7</f>
        <v>45706</v>
      </c>
      <c r="F23" s="140">
        <f>'El Villar'!F7</f>
        <v>53</v>
      </c>
      <c r="G23" s="140">
        <f>'El Villar'!G7</f>
        <v>0</v>
      </c>
      <c r="H23" s="140">
        <f>'El Villar'!H7</f>
        <v>53</v>
      </c>
      <c r="I23" s="140">
        <f>'El Villar'!I7</f>
        <v>25</v>
      </c>
      <c r="J23" s="140">
        <f>'El Villar'!J7</f>
        <v>0</v>
      </c>
      <c r="K23" s="140">
        <f>'El Villar'!K7</f>
        <v>78</v>
      </c>
      <c r="L23" s="140">
        <f>'El Villar'!L7</f>
        <v>0</v>
      </c>
      <c r="M23" s="56">
        <f>'El Villar'!M7</f>
        <v>0</v>
      </c>
      <c r="N23" s="140">
        <f>'El Villar'!N7</f>
        <v>53</v>
      </c>
      <c r="O23" s="56">
        <f>'El Villar'!O7</f>
        <v>0</v>
      </c>
      <c r="P23" s="140">
        <f>'El Villar'!P7</f>
        <v>0</v>
      </c>
      <c r="Q23" s="140">
        <f>'El Villar'!Q7</f>
        <v>0</v>
      </c>
      <c r="R23" s="140">
        <f>'El Villar'!R7</f>
        <v>0</v>
      </c>
      <c r="S23" s="140">
        <f>'El Villar'!S7</f>
        <v>1</v>
      </c>
      <c r="T23" s="140">
        <f>'El Villar'!T7</f>
        <v>17</v>
      </c>
      <c r="U23" s="140">
        <f>'El Villar'!U7</f>
        <v>0</v>
      </c>
      <c r="V23" s="140">
        <f>'El Villar'!V7</f>
        <v>0</v>
      </c>
      <c r="W23" s="140">
        <f>'El Villar'!W7</f>
        <v>0</v>
      </c>
      <c r="X23" s="140">
        <f>'El Villar'!X7</f>
        <v>0</v>
      </c>
      <c r="Y23" s="140">
        <f>'El Villar'!Y7</f>
        <v>0</v>
      </c>
      <c r="Z23" s="140">
        <f>'El Villar'!Z7</f>
        <v>0</v>
      </c>
      <c r="AA23" s="140">
        <f>'El Villar'!AA7</f>
        <v>0</v>
      </c>
      <c r="AB23" s="140">
        <f>'El Villar'!AB7</f>
        <v>2</v>
      </c>
      <c r="AC23" s="140">
        <f>'El Villar'!AC7</f>
        <v>1</v>
      </c>
      <c r="AD23" s="140">
        <f>'El Villar'!AD7</f>
        <v>0</v>
      </c>
      <c r="AE23" s="140">
        <f>'El Villar'!AE7</f>
        <v>0</v>
      </c>
      <c r="AF23" s="140">
        <f>'El Villar'!AF7</f>
        <v>3</v>
      </c>
      <c r="AG23" s="140">
        <f>'El Villar'!AG7</f>
        <v>0</v>
      </c>
      <c r="AH23" s="140">
        <f>'El Villar'!AH7</f>
        <v>0</v>
      </c>
      <c r="AI23" s="140">
        <f>'El Villar'!AI7</f>
        <v>0</v>
      </c>
      <c r="AJ23" s="140">
        <f>'El Villar'!AJ7</f>
        <v>0</v>
      </c>
      <c r="AK23" s="140">
        <f>'El Villar'!AK7</f>
        <v>3</v>
      </c>
      <c r="AL23" s="140">
        <f>'El Villar'!AL7</f>
        <v>21</v>
      </c>
      <c r="AM23" s="140">
        <f>'El Villar'!AM7</f>
        <v>24</v>
      </c>
      <c r="AN23" s="56">
        <f>'El Villar'!AN7</f>
        <v>0</v>
      </c>
      <c r="AO23" s="53">
        <f t="shared" ref="AO23" si="102">O23/H23*100</f>
        <v>0</v>
      </c>
      <c r="AP23" s="53">
        <f t="shared" ref="AP23" si="103">AN23/H23*100</f>
        <v>0</v>
      </c>
      <c r="AQ23" s="53">
        <f t="shared" ref="AQ23" si="104">AN23/AM23*100</f>
        <v>0</v>
      </c>
      <c r="AR23" s="51">
        <f t="shared" ref="AR23" si="105">AK23/AM23*100</f>
        <v>12.5</v>
      </c>
      <c r="AS23" s="51">
        <f t="shared" ref="AS23" si="106">AL23/AM23*100</f>
        <v>87.5</v>
      </c>
      <c r="AT23" s="108" t="e">
        <f t="shared" ref="AT23" si="107">R23/AN23*100</f>
        <v>#DIV/0!</v>
      </c>
      <c r="AU23" s="108" t="e">
        <f t="shared" ref="AU23" si="108">U23/AN23*100</f>
        <v>#DIV/0!</v>
      </c>
      <c r="AV23" s="108" t="e">
        <f t="shared" ref="AV23" si="109">X23/AN23*100</f>
        <v>#DIV/0!</v>
      </c>
      <c r="AW23" s="108" t="e">
        <f t="shared" ref="AW23" si="110">AA23/AN23*100</f>
        <v>#DIV/0!</v>
      </c>
      <c r="AX23" s="108" t="e">
        <f t="shared" ref="AX23" si="111">AD23/AN23*100</f>
        <v>#DIV/0!</v>
      </c>
      <c r="AY23" s="108" t="e">
        <f t="shared" ref="AY23" si="112">AG23/AN23*100</f>
        <v>#DIV/0!</v>
      </c>
      <c r="AZ23" s="108" t="e">
        <f t="shared" ref="AZ23" si="113">AJ23/AN23*100</f>
        <v>#DIV/0!</v>
      </c>
    </row>
    <row r="24" spans="1:52" s="40" customFormat="1" ht="20.25" customHeight="1">
      <c r="A24" s="82" t="s">
        <v>99</v>
      </c>
      <c r="B24" s="82">
        <f>SUM(B14:B23)</f>
        <v>53</v>
      </c>
      <c r="C24" s="82">
        <f>SUM(C14:C23)</f>
        <v>10105</v>
      </c>
      <c r="D24" s="124">
        <f>D21</f>
        <v>45692</v>
      </c>
      <c r="E24" s="124">
        <f>MAX(E14:E23)</f>
        <v>45716</v>
      </c>
      <c r="F24" s="82">
        <f>SUM(F14:F23)</f>
        <v>3778</v>
      </c>
      <c r="G24" s="82">
        <f t="shared" ref="G24:AJ24" si="114">SUM(G14:G23)</f>
        <v>0</v>
      </c>
      <c r="H24" s="82">
        <f t="shared" si="114"/>
        <v>3778</v>
      </c>
      <c r="I24" s="82">
        <f t="shared" si="114"/>
        <v>274</v>
      </c>
      <c r="J24" s="82">
        <f t="shared" si="114"/>
        <v>0</v>
      </c>
      <c r="K24" s="82">
        <f t="shared" si="114"/>
        <v>4052</v>
      </c>
      <c r="L24" s="82">
        <f t="shared" si="114"/>
        <v>0</v>
      </c>
      <c r="M24" s="178">
        <f t="shared" si="114"/>
        <v>0</v>
      </c>
      <c r="N24" s="82">
        <f t="shared" si="114"/>
        <v>2888</v>
      </c>
      <c r="O24" s="178">
        <f t="shared" si="114"/>
        <v>263</v>
      </c>
      <c r="P24" s="82">
        <f t="shared" si="114"/>
        <v>44</v>
      </c>
      <c r="Q24" s="82">
        <f t="shared" si="114"/>
        <v>242</v>
      </c>
      <c r="R24" s="82">
        <f t="shared" si="114"/>
        <v>5</v>
      </c>
      <c r="S24" s="82">
        <f t="shared" si="114"/>
        <v>340</v>
      </c>
      <c r="T24" s="82">
        <f t="shared" si="114"/>
        <v>1368</v>
      </c>
      <c r="U24" s="82">
        <f t="shared" si="114"/>
        <v>117</v>
      </c>
      <c r="V24" s="82">
        <f t="shared" si="114"/>
        <v>1426</v>
      </c>
      <c r="W24" s="82">
        <f t="shared" si="114"/>
        <v>1009</v>
      </c>
      <c r="X24" s="82">
        <f t="shared" si="114"/>
        <v>77</v>
      </c>
      <c r="Y24" s="82">
        <f t="shared" si="114"/>
        <v>84</v>
      </c>
      <c r="Z24" s="82">
        <f t="shared" si="114"/>
        <v>305</v>
      </c>
      <c r="AA24" s="82">
        <f t="shared" si="114"/>
        <v>31</v>
      </c>
      <c r="AB24" s="82">
        <f t="shared" si="114"/>
        <v>577</v>
      </c>
      <c r="AC24" s="82">
        <f t="shared" si="114"/>
        <v>671</v>
      </c>
      <c r="AD24" s="82">
        <f t="shared" si="114"/>
        <v>127</v>
      </c>
      <c r="AE24" s="82">
        <f t="shared" si="114"/>
        <v>4153</v>
      </c>
      <c r="AF24" s="82">
        <f t="shared" si="114"/>
        <v>1347</v>
      </c>
      <c r="AG24" s="82">
        <f t="shared" si="114"/>
        <v>20</v>
      </c>
      <c r="AH24" s="82">
        <f t="shared" si="114"/>
        <v>2</v>
      </c>
      <c r="AI24" s="82">
        <f t="shared" si="114"/>
        <v>3</v>
      </c>
      <c r="AJ24" s="82">
        <f t="shared" si="114"/>
        <v>1</v>
      </c>
      <c r="AK24" s="83">
        <f>P24+S24+V24+Y24+AB24+AE24+AH24</f>
        <v>6626</v>
      </c>
      <c r="AL24" s="83">
        <f>Q24+T24+W24+Z24+AC24+AF24+AI24</f>
        <v>4945</v>
      </c>
      <c r="AM24" s="83">
        <f>AK24+AL24</f>
        <v>11571</v>
      </c>
      <c r="AN24" s="178">
        <f>R24+U24+X24+AA24+AD24+AG24+AJ24</f>
        <v>378</v>
      </c>
      <c r="AO24" s="85">
        <f t="shared" ref="AO24:AO25" si="115">O24/H24*100</f>
        <v>6.9613552143991537</v>
      </c>
      <c r="AP24" s="85">
        <f t="shared" ref="AP24:AP25" si="116">AN24/H24*100</f>
        <v>10.005293806246691</v>
      </c>
      <c r="AQ24" s="85">
        <f t="shared" ref="AQ24:AQ25" si="117">AN24/AM24*100</f>
        <v>3.2667876588021776</v>
      </c>
      <c r="AR24" s="85">
        <f t="shared" ref="AR24:AR25" si="118">AK24/AM24*100</f>
        <v>57.26384927836834</v>
      </c>
      <c r="AS24" s="85">
        <f t="shared" ref="AS24:AS25" si="119">AL24/AM24*100</f>
        <v>42.736150721631667</v>
      </c>
      <c r="AT24" s="85">
        <f t="shared" ref="AT24:AT25" si="120">R24/AN24*100</f>
        <v>1.3227513227513228</v>
      </c>
      <c r="AU24" s="85">
        <f t="shared" ref="AU24:AU25" si="121">U24/AN24*100</f>
        <v>30.952380952380953</v>
      </c>
      <c r="AV24" s="85">
        <f t="shared" ref="AV24:AV25" si="122">X24/AN24*100</f>
        <v>20.37037037037037</v>
      </c>
      <c r="AW24" s="85">
        <f t="shared" si="9"/>
        <v>8.2010582010582009</v>
      </c>
      <c r="AX24" s="85">
        <f t="shared" ref="AX24:AX25" si="123">AD24/AN24*100</f>
        <v>33.597883597883602</v>
      </c>
      <c r="AY24" s="85">
        <f t="shared" ref="AY24:AY25" si="124">AG24/AN24*100</f>
        <v>5.2910052910052912</v>
      </c>
      <c r="AZ24" s="85">
        <f t="shared" ref="AZ24:AZ25" si="125">AJ24/AN24*100</f>
        <v>0.26455026455026454</v>
      </c>
    </row>
    <row r="25" spans="1:52" s="237" customFormat="1" ht="20.25" customHeight="1">
      <c r="A25" s="202" t="s">
        <v>24</v>
      </c>
      <c r="B25" s="235">
        <f>Monteagudo!B48</f>
        <v>16</v>
      </c>
      <c r="C25" s="235">
        <f>Monteagudo!C48</f>
        <v>2754</v>
      </c>
      <c r="D25" s="236">
        <f>Monteagudo!D48</f>
        <v>45717</v>
      </c>
      <c r="E25" s="236">
        <f>Monteagudo!E48</f>
        <v>45747</v>
      </c>
      <c r="F25" s="235">
        <f>Monteagudo!F48</f>
        <v>730</v>
      </c>
      <c r="G25" s="235">
        <f>Monteagudo!G48</f>
        <v>0</v>
      </c>
      <c r="H25" s="235">
        <f>Monteagudo!H48</f>
        <v>730</v>
      </c>
      <c r="I25" s="235">
        <f>Monteagudo!I48</f>
        <v>0</v>
      </c>
      <c r="J25" s="235">
        <f>Monteagudo!J48</f>
        <v>0</v>
      </c>
      <c r="K25" s="235">
        <f>Monteagudo!K48</f>
        <v>730</v>
      </c>
      <c r="L25" s="235">
        <f>Monteagudo!L48</f>
        <v>0</v>
      </c>
      <c r="M25" s="234">
        <f>Monteagudo!M48</f>
        <v>0</v>
      </c>
      <c r="N25" s="235">
        <f>Monteagudo!N48</f>
        <v>730</v>
      </c>
      <c r="O25" s="234">
        <f>Monteagudo!O48</f>
        <v>55</v>
      </c>
      <c r="P25" s="235">
        <f>Monteagudo!P48</f>
        <v>0</v>
      </c>
      <c r="Q25" s="235">
        <f>Monteagudo!Q48</f>
        <v>0</v>
      </c>
      <c r="R25" s="235">
        <f>Monteagudo!R48</f>
        <v>0</v>
      </c>
      <c r="S25" s="235">
        <f>Monteagudo!S48</f>
        <v>0</v>
      </c>
      <c r="T25" s="235">
        <f>Monteagudo!T48</f>
        <v>34</v>
      </c>
      <c r="U25" s="235">
        <f>Monteagudo!U48</f>
        <v>3</v>
      </c>
      <c r="V25" s="235">
        <f>Monteagudo!V48</f>
        <v>23</v>
      </c>
      <c r="W25" s="235">
        <f>Monteagudo!W48</f>
        <v>160</v>
      </c>
      <c r="X25" s="235">
        <f>Monteagudo!X48</f>
        <v>26</v>
      </c>
      <c r="Y25" s="235">
        <f>Monteagudo!Y48</f>
        <v>7</v>
      </c>
      <c r="Z25" s="235">
        <f>Monteagudo!Z48</f>
        <v>52</v>
      </c>
      <c r="AA25" s="235">
        <f>Monteagudo!AA48</f>
        <v>1</v>
      </c>
      <c r="AB25" s="235">
        <f>Monteagudo!AB48</f>
        <v>7</v>
      </c>
      <c r="AC25" s="235">
        <f>Monteagudo!AC48</f>
        <v>187</v>
      </c>
      <c r="AD25" s="235">
        <f>Monteagudo!AD48</f>
        <v>32</v>
      </c>
      <c r="AE25" s="235">
        <f>Monteagudo!AE48</f>
        <v>85</v>
      </c>
      <c r="AF25" s="235">
        <f>Monteagudo!AF48</f>
        <v>533</v>
      </c>
      <c r="AG25" s="235">
        <f>Monteagudo!AG48</f>
        <v>19</v>
      </c>
      <c r="AH25" s="235">
        <f>Monteagudo!AH48</f>
        <v>0</v>
      </c>
      <c r="AI25" s="235">
        <f>Monteagudo!AI48</f>
        <v>0</v>
      </c>
      <c r="AJ25" s="235">
        <f>Monteagudo!AJ48</f>
        <v>0</v>
      </c>
      <c r="AK25" s="235">
        <f>Monteagudo!AK48</f>
        <v>122</v>
      </c>
      <c r="AL25" s="235">
        <f>Monteagudo!AL48</f>
        <v>966</v>
      </c>
      <c r="AM25" s="235">
        <f>Monteagudo!AM48</f>
        <v>1088</v>
      </c>
      <c r="AN25" s="234">
        <f>Monteagudo!AN48</f>
        <v>81</v>
      </c>
      <c r="AO25" s="53">
        <f t="shared" si="115"/>
        <v>7.5342465753424657</v>
      </c>
      <c r="AP25" s="53">
        <f t="shared" si="116"/>
        <v>11.095890410958905</v>
      </c>
      <c r="AQ25" s="53">
        <f t="shared" si="117"/>
        <v>7.4448529411764701</v>
      </c>
      <c r="AR25" s="51">
        <f t="shared" si="118"/>
        <v>11.213235294117647</v>
      </c>
      <c r="AS25" s="51">
        <f t="shared" si="119"/>
        <v>88.786764705882348</v>
      </c>
      <c r="AT25" s="108">
        <f t="shared" si="120"/>
        <v>0</v>
      </c>
      <c r="AU25" s="108">
        <f t="shared" si="121"/>
        <v>3.7037037037037033</v>
      </c>
      <c r="AV25" s="108">
        <f t="shared" si="122"/>
        <v>32.098765432098766</v>
      </c>
      <c r="AW25" s="108">
        <f t="shared" ref="AW25" si="126">AA25/AN25*100</f>
        <v>1.2345679012345678</v>
      </c>
      <c r="AX25" s="108">
        <f t="shared" si="123"/>
        <v>39.506172839506171</v>
      </c>
      <c r="AY25" s="108">
        <f t="shared" si="124"/>
        <v>23.456790123456788</v>
      </c>
      <c r="AZ25" s="108">
        <f t="shared" si="125"/>
        <v>0</v>
      </c>
    </row>
    <row r="26" spans="1:52" s="237" customFormat="1" ht="20.25" customHeight="1">
      <c r="A26" s="202" t="s">
        <v>106</v>
      </c>
      <c r="B26" s="235">
        <f>Muyupampa!C34</f>
        <v>13</v>
      </c>
      <c r="C26" s="235">
        <f>Muyupampa!D34</f>
        <v>69</v>
      </c>
      <c r="D26" s="236">
        <f>Muyupampa!E34</f>
        <v>45721</v>
      </c>
      <c r="E26" s="236">
        <f>Muyupampa!F34</f>
        <v>45745</v>
      </c>
      <c r="F26" s="235">
        <f>Muyupampa!G34</f>
        <v>16</v>
      </c>
      <c r="G26" s="235">
        <f>Muyupampa!H34</f>
        <v>0</v>
      </c>
      <c r="H26" s="235">
        <f>Muyupampa!I34</f>
        <v>16</v>
      </c>
      <c r="I26" s="235">
        <f>Muyupampa!J34</f>
        <v>2</v>
      </c>
      <c r="J26" s="235">
        <f>Muyupampa!K34</f>
        <v>0</v>
      </c>
      <c r="K26" s="235">
        <f>Muyupampa!L34</f>
        <v>18</v>
      </c>
      <c r="L26" s="235">
        <f>Muyupampa!M34</f>
        <v>0</v>
      </c>
      <c r="M26" s="234">
        <f>Muyupampa!N34</f>
        <v>0</v>
      </c>
      <c r="N26" s="235">
        <f>Muyupampa!O34</f>
        <v>0</v>
      </c>
      <c r="O26" s="234">
        <f>Muyupampa!P34</f>
        <v>0</v>
      </c>
      <c r="P26" s="235">
        <f>Muyupampa!Q34</f>
        <v>0</v>
      </c>
      <c r="Q26" s="235">
        <f>Muyupampa!R34</f>
        <v>0</v>
      </c>
      <c r="R26" s="235">
        <f>Muyupampa!S34</f>
        <v>0</v>
      </c>
      <c r="S26" s="235">
        <f>Muyupampa!T34</f>
        <v>0</v>
      </c>
      <c r="T26" s="235">
        <f>Muyupampa!U34</f>
        <v>1</v>
      </c>
      <c r="U26" s="235">
        <f>Muyupampa!V34</f>
        <v>0</v>
      </c>
      <c r="V26" s="235">
        <f>Muyupampa!W34</f>
        <v>5</v>
      </c>
      <c r="W26" s="235">
        <f>Muyupampa!X34</f>
        <v>2</v>
      </c>
      <c r="X26" s="235">
        <f>Muyupampa!Y34</f>
        <v>0</v>
      </c>
      <c r="Y26" s="235">
        <f>Muyupampa!Z34</f>
        <v>0</v>
      </c>
      <c r="Z26" s="235">
        <f>Muyupampa!AA34</f>
        <v>0</v>
      </c>
      <c r="AA26" s="235">
        <f>Muyupampa!AB34</f>
        <v>0</v>
      </c>
      <c r="AB26" s="235">
        <f>Muyupampa!AC34</f>
        <v>3</v>
      </c>
      <c r="AC26" s="235">
        <f>Muyupampa!AD34</f>
        <v>1</v>
      </c>
      <c r="AD26" s="235">
        <f>Muyupampa!AE34</f>
        <v>0</v>
      </c>
      <c r="AE26" s="235">
        <f>Muyupampa!AF34</f>
        <v>10</v>
      </c>
      <c r="AF26" s="235">
        <f>Muyupampa!AG34</f>
        <v>1</v>
      </c>
      <c r="AG26" s="235">
        <f>Muyupampa!AH34</f>
        <v>0</v>
      </c>
      <c r="AH26" s="235">
        <f>Muyupampa!AI34</f>
        <v>0</v>
      </c>
      <c r="AI26" s="235">
        <f>Muyupampa!AJ34</f>
        <v>0</v>
      </c>
      <c r="AJ26" s="235">
        <f>Muyupampa!AK34</f>
        <v>0</v>
      </c>
      <c r="AK26" s="235">
        <f>Muyupampa!AL34</f>
        <v>18</v>
      </c>
      <c r="AL26" s="235">
        <f>Muyupampa!AM34</f>
        <v>5</v>
      </c>
      <c r="AM26" s="235">
        <f>Muyupampa!AN34</f>
        <v>23</v>
      </c>
      <c r="AN26" s="234">
        <f>Muyupampa!AO34</f>
        <v>0</v>
      </c>
      <c r="AO26" s="53">
        <f t="shared" ref="AO26:AO35" si="127">O26/H26*100</f>
        <v>0</v>
      </c>
      <c r="AP26" s="53">
        <f t="shared" ref="AP26:AP35" si="128">AN26/H26*100</f>
        <v>0</v>
      </c>
      <c r="AQ26" s="53">
        <f t="shared" ref="AQ26:AQ35" si="129">AN26/AM26*100</f>
        <v>0</v>
      </c>
      <c r="AR26" s="51">
        <f t="shared" ref="AR26:AR35" si="130">AK26/AM26*100</f>
        <v>78.260869565217391</v>
      </c>
      <c r="AS26" s="51">
        <f t="shared" ref="AS26:AS35" si="131">AL26/AM26*100</f>
        <v>21.739130434782609</v>
      </c>
      <c r="AT26" s="108" t="e">
        <f t="shared" ref="AT26:AT35" si="132">R26/AN26*100</f>
        <v>#DIV/0!</v>
      </c>
      <c r="AU26" s="108" t="e">
        <f t="shared" ref="AU26:AU35" si="133">U26/AN26*100</f>
        <v>#DIV/0!</v>
      </c>
      <c r="AV26" s="108" t="e">
        <f t="shared" ref="AV26:AV35" si="134">X26/AN26*100</f>
        <v>#DIV/0!</v>
      </c>
      <c r="AW26" s="108" t="e">
        <f t="shared" ref="AW26:AW35" si="135">AA26/AN26*100</f>
        <v>#DIV/0!</v>
      </c>
      <c r="AX26" s="108" t="e">
        <f t="shared" ref="AX26:AX35" si="136">AD26/AN26*100</f>
        <v>#DIV/0!</v>
      </c>
      <c r="AY26" s="108" t="e">
        <f t="shared" ref="AY26:AY35" si="137">AG26/AN26*100</f>
        <v>#DIV/0!</v>
      </c>
      <c r="AZ26" s="108" t="e">
        <f t="shared" ref="AZ26:AZ35" si="138">AJ26/AN26*100</f>
        <v>#DIV/0!</v>
      </c>
    </row>
    <row r="27" spans="1:52" s="237" customFormat="1" ht="20.25" customHeight="1">
      <c r="A27" s="202" t="s">
        <v>105</v>
      </c>
      <c r="B27" s="235">
        <f>Machareti!B26</f>
        <v>4</v>
      </c>
      <c r="C27" s="235">
        <f>Machareti!C26</f>
        <v>1158</v>
      </c>
      <c r="D27" s="236">
        <f>Machareti!D26</f>
        <v>45724</v>
      </c>
      <c r="E27" s="236">
        <f>Machareti!E26</f>
        <v>45747</v>
      </c>
      <c r="F27" s="235">
        <f>Machareti!F26</f>
        <v>405</v>
      </c>
      <c r="G27" s="235">
        <f>Machareti!G26</f>
        <v>0</v>
      </c>
      <c r="H27" s="235">
        <f>Machareti!H26</f>
        <v>405</v>
      </c>
      <c r="I27" s="235">
        <f>Machareti!I26</f>
        <v>5</v>
      </c>
      <c r="J27" s="235">
        <f>Machareti!J26</f>
        <v>0</v>
      </c>
      <c r="K27" s="235">
        <f>Machareti!K26</f>
        <v>410</v>
      </c>
      <c r="L27" s="235">
        <f>Machareti!L26</f>
        <v>0</v>
      </c>
      <c r="M27" s="234">
        <f>Machareti!M26</f>
        <v>0</v>
      </c>
      <c r="N27" s="235">
        <f>Machareti!N26</f>
        <v>405</v>
      </c>
      <c r="O27" s="234">
        <f>Machareti!O26</f>
        <v>118</v>
      </c>
      <c r="P27" s="235">
        <f>Machareti!P26</f>
        <v>0</v>
      </c>
      <c r="Q27" s="235">
        <f>Machareti!Q26</f>
        <v>1</v>
      </c>
      <c r="R27" s="235">
        <f>Machareti!R26</f>
        <v>0</v>
      </c>
      <c r="S27" s="235">
        <f>Machareti!S26</f>
        <v>11</v>
      </c>
      <c r="T27" s="235">
        <f>Machareti!T26</f>
        <v>771</v>
      </c>
      <c r="U27" s="235">
        <f>Machareti!U26</f>
        <v>89</v>
      </c>
      <c r="V27" s="235">
        <f>Machareti!V26</f>
        <v>0</v>
      </c>
      <c r="W27" s="235">
        <f>Machareti!W26</f>
        <v>233</v>
      </c>
      <c r="X27" s="235">
        <f>Machareti!X26</f>
        <v>26</v>
      </c>
      <c r="Y27" s="235">
        <f>Machareti!Y26</f>
        <v>1</v>
      </c>
      <c r="Z27" s="235">
        <f>Machareti!Z26</f>
        <v>142</v>
      </c>
      <c r="AA27" s="235">
        <f>Machareti!AA26</f>
        <v>32</v>
      </c>
      <c r="AB27" s="235">
        <f>Machareti!AB26</f>
        <v>91</v>
      </c>
      <c r="AC27" s="235">
        <f>Machareti!AC26</f>
        <v>124</v>
      </c>
      <c r="AD27" s="235">
        <f>Machareti!AD26</f>
        <v>34</v>
      </c>
      <c r="AE27" s="235">
        <f>Machareti!AE26</f>
        <v>619</v>
      </c>
      <c r="AF27" s="235">
        <f>Machareti!AF26</f>
        <v>328</v>
      </c>
      <c r="AG27" s="235">
        <f>Machareti!AG26</f>
        <v>22</v>
      </c>
      <c r="AH27" s="235">
        <f>Machareti!AH26</f>
        <v>0</v>
      </c>
      <c r="AI27" s="235">
        <f>Machareti!AI26</f>
        <v>0</v>
      </c>
      <c r="AJ27" s="235">
        <f>Machareti!AJ26</f>
        <v>0</v>
      </c>
      <c r="AK27" s="235">
        <f>Machareti!AK26</f>
        <v>722</v>
      </c>
      <c r="AL27" s="235">
        <f>Machareti!AL26</f>
        <v>1599</v>
      </c>
      <c r="AM27" s="235">
        <f>Machareti!AM26</f>
        <v>2321</v>
      </c>
      <c r="AN27" s="234">
        <f>Machareti!AN26</f>
        <v>203</v>
      </c>
      <c r="AO27" s="53">
        <f t="shared" si="127"/>
        <v>29.1358024691358</v>
      </c>
      <c r="AP27" s="53">
        <f t="shared" si="128"/>
        <v>50.123456790123456</v>
      </c>
      <c r="AQ27" s="53">
        <f t="shared" si="129"/>
        <v>8.7462300732442912</v>
      </c>
      <c r="AR27" s="51">
        <f t="shared" si="130"/>
        <v>31.107281344248168</v>
      </c>
      <c r="AS27" s="51">
        <f t="shared" si="131"/>
        <v>68.892718655751821</v>
      </c>
      <c r="AT27" s="108">
        <f t="shared" si="132"/>
        <v>0</v>
      </c>
      <c r="AU27" s="108">
        <f t="shared" si="133"/>
        <v>43.842364532019708</v>
      </c>
      <c r="AV27" s="108">
        <f t="shared" si="134"/>
        <v>12.807881773399016</v>
      </c>
      <c r="AW27" s="108">
        <f t="shared" si="135"/>
        <v>15.763546798029557</v>
      </c>
      <c r="AX27" s="108">
        <f t="shared" si="136"/>
        <v>16.748768472906402</v>
      </c>
      <c r="AY27" s="108">
        <f t="shared" si="137"/>
        <v>10.83743842364532</v>
      </c>
      <c r="AZ27" s="108">
        <f t="shared" si="138"/>
        <v>0</v>
      </c>
    </row>
    <row r="28" spans="1:52" s="237" customFormat="1" ht="20.25" customHeight="1">
      <c r="A28" s="202" t="s">
        <v>25</v>
      </c>
      <c r="B28" s="235">
        <f>Huacareta!B18</f>
        <v>2</v>
      </c>
      <c r="C28" s="235">
        <f>Huacareta!C18</f>
        <v>1426</v>
      </c>
      <c r="D28" s="236">
        <f>Huacareta!D18</f>
        <v>45722</v>
      </c>
      <c r="E28" s="236">
        <f>Huacareta!E18</f>
        <v>45744</v>
      </c>
      <c r="F28" s="235">
        <f>Huacareta!F18</f>
        <v>542</v>
      </c>
      <c r="G28" s="235">
        <f>Huacareta!G18</f>
        <v>0</v>
      </c>
      <c r="H28" s="235">
        <f>Huacareta!H18</f>
        <v>542</v>
      </c>
      <c r="I28" s="235">
        <f>Huacareta!I18</f>
        <v>25</v>
      </c>
      <c r="J28" s="235">
        <f>Huacareta!J18</f>
        <v>0</v>
      </c>
      <c r="K28" s="235">
        <f>Huacareta!K18</f>
        <v>567</v>
      </c>
      <c r="L28" s="235">
        <f>Huacareta!L18</f>
        <v>0</v>
      </c>
      <c r="M28" s="234">
        <f>Huacareta!M18</f>
        <v>0</v>
      </c>
      <c r="N28" s="235">
        <f>Huacareta!N18</f>
        <v>542</v>
      </c>
      <c r="O28" s="234">
        <f>Huacareta!O18</f>
        <v>9</v>
      </c>
      <c r="P28" s="235">
        <f>Huacareta!P18</f>
        <v>0</v>
      </c>
      <c r="Q28" s="235">
        <f>Huacareta!Q18</f>
        <v>0</v>
      </c>
      <c r="R28" s="235">
        <f>Huacareta!R18</f>
        <v>0</v>
      </c>
      <c r="S28" s="235">
        <f>Huacareta!S18</f>
        <v>0</v>
      </c>
      <c r="T28" s="235">
        <f>Huacareta!T18</f>
        <v>0</v>
      </c>
      <c r="U28" s="235">
        <f>Huacareta!U18</f>
        <v>0</v>
      </c>
      <c r="V28" s="235">
        <f>Huacareta!V18</f>
        <v>249</v>
      </c>
      <c r="W28" s="235">
        <f>Huacareta!W18</f>
        <v>175</v>
      </c>
      <c r="X28" s="235">
        <f>Huacareta!X18</f>
        <v>1</v>
      </c>
      <c r="Y28" s="235">
        <f>Huacareta!Y18</f>
        <v>0</v>
      </c>
      <c r="Z28" s="235">
        <f>Huacareta!Z18</f>
        <v>2</v>
      </c>
      <c r="AA28" s="235">
        <f>Huacareta!AA18</f>
        <v>0</v>
      </c>
      <c r="AB28" s="235">
        <f>Huacareta!AB18</f>
        <v>285</v>
      </c>
      <c r="AC28" s="235">
        <f>Huacareta!AC18</f>
        <v>80</v>
      </c>
      <c r="AD28" s="235">
        <f>Huacareta!AD18</f>
        <v>2</v>
      </c>
      <c r="AE28" s="235">
        <f>Huacareta!AE18</f>
        <v>339</v>
      </c>
      <c r="AF28" s="235">
        <f>Huacareta!AF18</f>
        <v>443</v>
      </c>
      <c r="AG28" s="235">
        <f>Huacareta!AG18</f>
        <v>6</v>
      </c>
      <c r="AH28" s="235">
        <f>Huacareta!AH18</f>
        <v>0</v>
      </c>
      <c r="AI28" s="235">
        <f>Huacareta!AI18</f>
        <v>0</v>
      </c>
      <c r="AJ28" s="235">
        <f>Huacareta!AJ18</f>
        <v>0</v>
      </c>
      <c r="AK28" s="235">
        <f>Huacareta!AK18</f>
        <v>873</v>
      </c>
      <c r="AL28" s="235">
        <f>Huacareta!AL18</f>
        <v>700</v>
      </c>
      <c r="AM28" s="235">
        <f>Huacareta!AM18</f>
        <v>1573</v>
      </c>
      <c r="AN28" s="234">
        <f>Huacareta!AN18</f>
        <v>9</v>
      </c>
      <c r="AO28" s="53">
        <f t="shared" si="127"/>
        <v>1.6605166051660518</v>
      </c>
      <c r="AP28" s="53">
        <f t="shared" si="128"/>
        <v>1.6605166051660518</v>
      </c>
      <c r="AQ28" s="53">
        <f t="shared" si="129"/>
        <v>0.57215511760966309</v>
      </c>
      <c r="AR28" s="51">
        <f t="shared" si="130"/>
        <v>55.499046408137318</v>
      </c>
      <c r="AS28" s="51">
        <f t="shared" si="131"/>
        <v>44.500953591862682</v>
      </c>
      <c r="AT28" s="108">
        <f t="shared" si="132"/>
        <v>0</v>
      </c>
      <c r="AU28" s="108">
        <f t="shared" si="133"/>
        <v>0</v>
      </c>
      <c r="AV28" s="108">
        <f t="shared" si="134"/>
        <v>11.111111111111111</v>
      </c>
      <c r="AW28" s="108">
        <f t="shared" si="135"/>
        <v>0</v>
      </c>
      <c r="AX28" s="108">
        <f t="shared" si="136"/>
        <v>22.222222222222221</v>
      </c>
      <c r="AY28" s="108">
        <f t="shared" si="137"/>
        <v>66.666666666666657</v>
      </c>
      <c r="AZ28" s="108">
        <f t="shared" si="138"/>
        <v>0</v>
      </c>
    </row>
    <row r="29" spans="1:52" s="237" customFormat="1" ht="20.25" customHeight="1">
      <c r="A29" s="202" t="s">
        <v>140</v>
      </c>
      <c r="B29" s="235">
        <f>Huacaya!B13</f>
        <v>2</v>
      </c>
      <c r="C29" s="235">
        <f>Huacaya!C13</f>
        <v>351</v>
      </c>
      <c r="D29" s="236">
        <f>Huacaya!D13</f>
        <v>45730</v>
      </c>
      <c r="E29" s="236">
        <f>Huacaya!E13</f>
        <v>45744</v>
      </c>
      <c r="F29" s="235">
        <f>Huacaya!F13</f>
        <v>128</v>
      </c>
      <c r="G29" s="235">
        <f>Huacaya!G13</f>
        <v>0</v>
      </c>
      <c r="H29" s="235">
        <f>Huacaya!H13</f>
        <v>128</v>
      </c>
      <c r="I29" s="235">
        <f>Huacaya!I13</f>
        <v>20</v>
      </c>
      <c r="J29" s="235">
        <f>Huacaya!J13</f>
        <v>0</v>
      </c>
      <c r="K29" s="235">
        <f>Huacaya!K13</f>
        <v>148</v>
      </c>
      <c r="L29" s="235">
        <f>Huacaya!L13</f>
        <v>0</v>
      </c>
      <c r="M29" s="234">
        <f>Huacaya!M13</f>
        <v>0</v>
      </c>
      <c r="N29" s="235">
        <f>Huacaya!N13</f>
        <v>128</v>
      </c>
      <c r="O29" s="234">
        <f>Huacaya!O13</f>
        <v>17</v>
      </c>
      <c r="P29" s="235">
        <f>Huacaya!P13</f>
        <v>0</v>
      </c>
      <c r="Q29" s="235">
        <f>Huacaya!Q13</f>
        <v>10</v>
      </c>
      <c r="R29" s="235">
        <f>Huacaya!R13</f>
        <v>0</v>
      </c>
      <c r="S29" s="235">
        <f>Huacaya!S13</f>
        <v>22</v>
      </c>
      <c r="T29" s="235">
        <f>Huacaya!T13</f>
        <v>168</v>
      </c>
      <c r="U29" s="235">
        <f>Huacaya!U13</f>
        <v>3</v>
      </c>
      <c r="V29" s="235">
        <f>Huacaya!V13</f>
        <v>148</v>
      </c>
      <c r="W29" s="235">
        <f>Huacaya!W13</f>
        <v>49</v>
      </c>
      <c r="X29" s="235">
        <f>Huacaya!X13</f>
        <v>5</v>
      </c>
      <c r="Y29" s="235">
        <f>Huacaya!Y13</f>
        <v>166</v>
      </c>
      <c r="Z29" s="235">
        <f>Huacaya!Z13</f>
        <v>5</v>
      </c>
      <c r="AA29" s="235">
        <f>Huacaya!AA13</f>
        <v>1</v>
      </c>
      <c r="AB29" s="235">
        <f>Huacaya!AB13</f>
        <v>52</v>
      </c>
      <c r="AC29" s="235">
        <f>Huacaya!AC13</f>
        <v>20</v>
      </c>
      <c r="AD29" s="235">
        <f>Huacaya!AD13</f>
        <v>2</v>
      </c>
      <c r="AE29" s="235">
        <f>Huacaya!AE13</f>
        <v>486</v>
      </c>
      <c r="AF29" s="235">
        <f>Huacaya!AF13</f>
        <v>89</v>
      </c>
      <c r="AG29" s="235">
        <f>Huacaya!AG13</f>
        <v>6</v>
      </c>
      <c r="AH29" s="235">
        <f>Huacaya!AH13</f>
        <v>0</v>
      </c>
      <c r="AI29" s="235">
        <f>Huacaya!AI13</f>
        <v>1</v>
      </c>
      <c r="AJ29" s="235">
        <f>Huacaya!AJ13</f>
        <v>0</v>
      </c>
      <c r="AK29" s="235">
        <f>Huacaya!AK13</f>
        <v>874</v>
      </c>
      <c r="AL29" s="235">
        <f>Huacaya!AL13</f>
        <v>342</v>
      </c>
      <c r="AM29" s="235">
        <f>Huacaya!AM13</f>
        <v>1216</v>
      </c>
      <c r="AN29" s="234">
        <f>Huacaya!AN13</f>
        <v>17</v>
      </c>
      <c r="AO29" s="53">
        <f t="shared" si="127"/>
        <v>13.28125</v>
      </c>
      <c r="AP29" s="53">
        <f t="shared" si="128"/>
        <v>13.28125</v>
      </c>
      <c r="AQ29" s="53">
        <f t="shared" si="129"/>
        <v>1.3980263157894737</v>
      </c>
      <c r="AR29" s="51">
        <f t="shared" si="130"/>
        <v>71.875</v>
      </c>
      <c r="AS29" s="51">
        <f t="shared" si="131"/>
        <v>28.125</v>
      </c>
      <c r="AT29" s="108">
        <f t="shared" si="132"/>
        <v>0</v>
      </c>
      <c r="AU29" s="108">
        <f t="shared" si="133"/>
        <v>17.647058823529413</v>
      </c>
      <c r="AV29" s="108">
        <f t="shared" si="134"/>
        <v>29.411764705882355</v>
      </c>
      <c r="AW29" s="108">
        <f t="shared" si="135"/>
        <v>5.8823529411764701</v>
      </c>
      <c r="AX29" s="108">
        <f t="shared" si="136"/>
        <v>11.76470588235294</v>
      </c>
      <c r="AY29" s="108">
        <f t="shared" si="137"/>
        <v>35.294117647058826</v>
      </c>
      <c r="AZ29" s="108">
        <f t="shared" si="138"/>
        <v>0</v>
      </c>
    </row>
    <row r="30" spans="1:52" s="237" customFormat="1" ht="20.25" customHeight="1">
      <c r="A30" s="202" t="s">
        <v>50</v>
      </c>
      <c r="B30" s="235">
        <f>Sucre!B34</f>
        <v>21</v>
      </c>
      <c r="C30" s="235">
        <f>Sucre!C34</f>
        <v>5646</v>
      </c>
      <c r="D30" s="236">
        <f>Sucre!D34</f>
        <v>45722</v>
      </c>
      <c r="E30" s="236">
        <f>Sucre!E34</f>
        <v>45742</v>
      </c>
      <c r="F30" s="235">
        <f>Sucre!F34</f>
        <v>306</v>
      </c>
      <c r="G30" s="235">
        <f>Sucre!G34</f>
        <v>0</v>
      </c>
      <c r="H30" s="235">
        <f>Sucre!H34</f>
        <v>306</v>
      </c>
      <c r="I30" s="235">
        <f>Sucre!I34</f>
        <v>67</v>
      </c>
      <c r="J30" s="235">
        <f>Sucre!J34</f>
        <v>0</v>
      </c>
      <c r="K30" s="235">
        <f>Sucre!K34</f>
        <v>2697</v>
      </c>
      <c r="L30" s="235">
        <f>Sucre!L34</f>
        <v>0</v>
      </c>
      <c r="M30" s="234">
        <f>Sucre!M34</f>
        <v>0</v>
      </c>
      <c r="N30" s="235">
        <f>Sucre!N34</f>
        <v>2433</v>
      </c>
      <c r="O30" s="234">
        <f>Sucre!O34</f>
        <v>116</v>
      </c>
      <c r="P30" s="235">
        <f>Sucre!P34</f>
        <v>104</v>
      </c>
      <c r="Q30" s="235">
        <f>Sucre!Q34</f>
        <v>481</v>
      </c>
      <c r="R30" s="235">
        <f>Sucre!R34</f>
        <v>6</v>
      </c>
      <c r="S30" s="235">
        <f>Sucre!S34</f>
        <v>508</v>
      </c>
      <c r="T30" s="235">
        <f>Sucre!T34</f>
        <v>1318</v>
      </c>
      <c r="U30" s="235">
        <f>Sucre!U34</f>
        <v>54</v>
      </c>
      <c r="V30" s="235">
        <f>Sucre!V34</f>
        <v>2411</v>
      </c>
      <c r="W30" s="235">
        <f>Sucre!W34</f>
        <v>739</v>
      </c>
      <c r="X30" s="235">
        <f>Sucre!X34</f>
        <v>40</v>
      </c>
      <c r="Y30" s="235">
        <f>Sucre!Y34</f>
        <v>88</v>
      </c>
      <c r="Z30" s="235">
        <f>Sucre!Z34</f>
        <v>193</v>
      </c>
      <c r="AA30" s="235">
        <f>Sucre!AA34</f>
        <v>3</v>
      </c>
      <c r="AB30" s="235">
        <f>Sucre!AB34</f>
        <v>885</v>
      </c>
      <c r="AC30" s="235">
        <f>Sucre!AC34</f>
        <v>247</v>
      </c>
      <c r="AD30" s="235">
        <f>Sucre!AD34</f>
        <v>26</v>
      </c>
      <c r="AE30" s="235">
        <f>Sucre!AE34</f>
        <v>6877</v>
      </c>
      <c r="AF30" s="235">
        <f>Sucre!AF34</f>
        <v>492</v>
      </c>
      <c r="AG30" s="235">
        <f>Sucre!AG34</f>
        <v>4</v>
      </c>
      <c r="AH30" s="235">
        <f>Sucre!AH34</f>
        <v>0</v>
      </c>
      <c r="AI30" s="235">
        <f>Sucre!AI34</f>
        <v>0</v>
      </c>
      <c r="AJ30" s="235">
        <f>Sucre!AJ34</f>
        <v>0</v>
      </c>
      <c r="AK30" s="235">
        <f>Sucre!AK34</f>
        <v>10873</v>
      </c>
      <c r="AL30" s="235">
        <f>Sucre!AL34</f>
        <v>3470</v>
      </c>
      <c r="AM30" s="235">
        <f>Sucre!AM34</f>
        <v>14343</v>
      </c>
      <c r="AN30" s="234">
        <f>Sucre!AN34</f>
        <v>133</v>
      </c>
      <c r="AO30" s="53">
        <f t="shared" si="127"/>
        <v>37.908496732026144</v>
      </c>
      <c r="AP30" s="53">
        <f t="shared" si="128"/>
        <v>43.464052287581701</v>
      </c>
      <c r="AQ30" s="53">
        <f t="shared" si="129"/>
        <v>0.92728160078086874</v>
      </c>
      <c r="AR30" s="51">
        <f t="shared" si="130"/>
        <v>75.807013874363804</v>
      </c>
      <c r="AS30" s="51">
        <f t="shared" si="131"/>
        <v>24.1929861256362</v>
      </c>
      <c r="AT30" s="108">
        <f t="shared" si="132"/>
        <v>4.5112781954887211</v>
      </c>
      <c r="AU30" s="108">
        <f t="shared" si="133"/>
        <v>40.601503759398497</v>
      </c>
      <c r="AV30" s="108">
        <f t="shared" si="134"/>
        <v>30.075187969924812</v>
      </c>
      <c r="AW30" s="108">
        <f t="shared" si="135"/>
        <v>2.2556390977443606</v>
      </c>
      <c r="AX30" s="108">
        <f t="shared" si="136"/>
        <v>19.548872180451127</v>
      </c>
      <c r="AY30" s="108">
        <f t="shared" si="137"/>
        <v>3.007518796992481</v>
      </c>
      <c r="AZ30" s="108">
        <f t="shared" si="138"/>
        <v>0</v>
      </c>
    </row>
    <row r="31" spans="1:52" s="237" customFormat="1" ht="20.25" customHeight="1">
      <c r="A31" s="202" t="s">
        <v>23</v>
      </c>
      <c r="B31" s="235">
        <f>'Villa Serrano'!B11</f>
        <v>3</v>
      </c>
      <c r="C31" s="235">
        <f>'Villa Serrano'!C11</f>
        <v>857</v>
      </c>
      <c r="D31" s="236">
        <f>'Villa Serrano'!D11</f>
        <v>45726</v>
      </c>
      <c r="E31" s="236">
        <f>'Villa Serrano'!E11</f>
        <v>45744</v>
      </c>
      <c r="F31" s="235">
        <f>'Villa Serrano'!F11</f>
        <v>342</v>
      </c>
      <c r="G31" s="235">
        <f>'Villa Serrano'!G11</f>
        <v>0</v>
      </c>
      <c r="H31" s="235">
        <f>'Villa Serrano'!H11</f>
        <v>342</v>
      </c>
      <c r="I31" s="235">
        <f>'Villa Serrano'!I11</f>
        <v>0</v>
      </c>
      <c r="J31" s="235">
        <f>'Villa Serrano'!J11</f>
        <v>0</v>
      </c>
      <c r="K31" s="235">
        <f>'Villa Serrano'!K11</f>
        <v>342</v>
      </c>
      <c r="L31" s="235">
        <f>'Villa Serrano'!L11</f>
        <v>0</v>
      </c>
      <c r="M31" s="234">
        <f>'Villa Serrano'!M11</f>
        <v>0</v>
      </c>
      <c r="N31" s="235">
        <f>'Villa Serrano'!N11</f>
        <v>342</v>
      </c>
      <c r="O31" s="234">
        <f>'Villa Serrano'!O11</f>
        <v>13</v>
      </c>
      <c r="P31" s="235">
        <f>'Villa Serrano'!P11</f>
        <v>0</v>
      </c>
      <c r="Q31" s="235">
        <f>'Villa Serrano'!Q11</f>
        <v>1</v>
      </c>
      <c r="R31" s="235">
        <f>'Villa Serrano'!R11</f>
        <v>0</v>
      </c>
      <c r="S31" s="235">
        <f>'Villa Serrano'!S11</f>
        <v>2</v>
      </c>
      <c r="T31" s="235">
        <f>'Villa Serrano'!T11</f>
        <v>31</v>
      </c>
      <c r="U31" s="235">
        <f>'Villa Serrano'!U11</f>
        <v>0</v>
      </c>
      <c r="V31" s="235">
        <f>'Villa Serrano'!V11</f>
        <v>43</v>
      </c>
      <c r="W31" s="235">
        <f>'Villa Serrano'!W11</f>
        <v>58</v>
      </c>
      <c r="X31" s="235">
        <f>'Villa Serrano'!X11</f>
        <v>0</v>
      </c>
      <c r="Y31" s="235">
        <f>'Villa Serrano'!Y11</f>
        <v>0</v>
      </c>
      <c r="Z31" s="235">
        <f>'Villa Serrano'!Z11</f>
        <v>0</v>
      </c>
      <c r="AA31" s="235">
        <f>'Villa Serrano'!AA11</f>
        <v>0</v>
      </c>
      <c r="AB31" s="235">
        <f>'Villa Serrano'!AB11</f>
        <v>24</v>
      </c>
      <c r="AC31" s="235">
        <f>'Villa Serrano'!AC11</f>
        <v>88</v>
      </c>
      <c r="AD31" s="235">
        <f>'Villa Serrano'!AD11</f>
        <v>18</v>
      </c>
      <c r="AE31" s="235">
        <f>'Villa Serrano'!AE11</f>
        <v>5</v>
      </c>
      <c r="AF31" s="235">
        <f>'Villa Serrano'!AF11</f>
        <v>84</v>
      </c>
      <c r="AG31" s="235">
        <f>'Villa Serrano'!AG11</f>
        <v>2</v>
      </c>
      <c r="AH31" s="235">
        <f>'Villa Serrano'!AH11</f>
        <v>3</v>
      </c>
      <c r="AI31" s="235">
        <f>'Villa Serrano'!AI11</f>
        <v>2</v>
      </c>
      <c r="AJ31" s="235">
        <f>'Villa Serrano'!AJ11</f>
        <v>0</v>
      </c>
      <c r="AK31" s="235">
        <f>'Villa Serrano'!AK11</f>
        <v>77</v>
      </c>
      <c r="AL31" s="235">
        <f>'Villa Serrano'!AL11</f>
        <v>264</v>
      </c>
      <c r="AM31" s="235">
        <f>'Villa Serrano'!AM11</f>
        <v>341</v>
      </c>
      <c r="AN31" s="234">
        <f>'Villa Serrano'!AN11</f>
        <v>20</v>
      </c>
      <c r="AO31" s="53">
        <f t="shared" si="127"/>
        <v>3.8011695906432745</v>
      </c>
      <c r="AP31" s="53">
        <f t="shared" si="128"/>
        <v>5.8479532163742682</v>
      </c>
      <c r="AQ31" s="53">
        <f t="shared" si="129"/>
        <v>5.8651026392961878</v>
      </c>
      <c r="AR31" s="51">
        <f t="shared" si="130"/>
        <v>22.58064516129032</v>
      </c>
      <c r="AS31" s="51">
        <f t="shared" si="131"/>
        <v>77.41935483870968</v>
      </c>
      <c r="AT31" s="108">
        <f t="shared" si="132"/>
        <v>0</v>
      </c>
      <c r="AU31" s="108">
        <f t="shared" si="133"/>
        <v>0</v>
      </c>
      <c r="AV31" s="108">
        <f t="shared" si="134"/>
        <v>0</v>
      </c>
      <c r="AW31" s="108">
        <f t="shared" si="135"/>
        <v>0</v>
      </c>
      <c r="AX31" s="108">
        <f t="shared" si="136"/>
        <v>90</v>
      </c>
      <c r="AY31" s="108">
        <f t="shared" si="137"/>
        <v>10</v>
      </c>
      <c r="AZ31" s="108">
        <f t="shared" si="138"/>
        <v>0</v>
      </c>
    </row>
    <row r="32" spans="1:52" s="237" customFormat="1" ht="20.25" customHeight="1">
      <c r="A32" s="202" t="s">
        <v>49</v>
      </c>
      <c r="B32" s="235">
        <f>Padilla!B18</f>
        <v>3</v>
      </c>
      <c r="C32" s="235">
        <f>Padilla!C18</f>
        <v>1329</v>
      </c>
      <c r="D32" s="236">
        <f>Padilla!D18</f>
        <v>45706</v>
      </c>
      <c r="E32" s="236">
        <f>Padilla!E18</f>
        <v>45744</v>
      </c>
      <c r="F32" s="235">
        <f>Padilla!F18</f>
        <v>420</v>
      </c>
      <c r="G32" s="235">
        <f>Padilla!G18</f>
        <v>0</v>
      </c>
      <c r="H32" s="235">
        <f>Padilla!H18</f>
        <v>420</v>
      </c>
      <c r="I32" s="235">
        <f>Padilla!I18</f>
        <v>68</v>
      </c>
      <c r="J32" s="235">
        <f>Padilla!J18</f>
        <v>0</v>
      </c>
      <c r="K32" s="235">
        <f>Padilla!K18</f>
        <v>488</v>
      </c>
      <c r="L32" s="235">
        <f>Padilla!L18</f>
        <v>0</v>
      </c>
      <c r="M32" s="234">
        <f>Padilla!M18</f>
        <v>0</v>
      </c>
      <c r="N32" s="235">
        <f>Padilla!N18</f>
        <v>420</v>
      </c>
      <c r="O32" s="234">
        <f>Padilla!O18</f>
        <v>101</v>
      </c>
      <c r="P32" s="235">
        <f>Padilla!P18</f>
        <v>0</v>
      </c>
      <c r="Q32" s="235">
        <f>Padilla!Q18</f>
        <v>62</v>
      </c>
      <c r="R32" s="235">
        <f>Padilla!R18</f>
        <v>4</v>
      </c>
      <c r="S32" s="235">
        <f>Padilla!S18</f>
        <v>1</v>
      </c>
      <c r="T32" s="235">
        <f>Padilla!T18</f>
        <v>175</v>
      </c>
      <c r="U32" s="235">
        <f>Padilla!U18</f>
        <v>42</v>
      </c>
      <c r="V32" s="235">
        <f>Padilla!V18</f>
        <v>782</v>
      </c>
      <c r="W32" s="235">
        <f>Padilla!W18</f>
        <v>481</v>
      </c>
      <c r="X32" s="235">
        <f>Padilla!X18</f>
        <v>72</v>
      </c>
      <c r="Y32" s="235">
        <f>Padilla!Y18</f>
        <v>14</v>
      </c>
      <c r="Z32" s="235">
        <f>Padilla!Z18</f>
        <v>255</v>
      </c>
      <c r="AA32" s="235">
        <f>Padilla!AA18</f>
        <v>8</v>
      </c>
      <c r="AB32" s="235">
        <f>Padilla!AB18</f>
        <v>69</v>
      </c>
      <c r="AC32" s="235">
        <f>Padilla!AC18</f>
        <v>85</v>
      </c>
      <c r="AD32" s="235">
        <f>Padilla!AD18</f>
        <v>65</v>
      </c>
      <c r="AE32" s="235">
        <f>Padilla!AE18</f>
        <v>756</v>
      </c>
      <c r="AF32" s="235">
        <f>Padilla!AF18</f>
        <v>4</v>
      </c>
      <c r="AG32" s="235">
        <f>Padilla!AG18</f>
        <v>7</v>
      </c>
      <c r="AH32" s="235">
        <f>Padilla!AH18</f>
        <v>0</v>
      </c>
      <c r="AI32" s="235">
        <f>Padilla!AI18</f>
        <v>0</v>
      </c>
      <c r="AJ32" s="235">
        <f>Padilla!AJ18</f>
        <v>0</v>
      </c>
      <c r="AK32" s="235">
        <f>Padilla!AK18</f>
        <v>1622</v>
      </c>
      <c r="AL32" s="235">
        <f>Padilla!AL18</f>
        <v>1062</v>
      </c>
      <c r="AM32" s="235">
        <f>Padilla!AM18</f>
        <v>2684</v>
      </c>
      <c r="AN32" s="234">
        <f>Padilla!AN18</f>
        <v>198</v>
      </c>
      <c r="AO32" s="53">
        <f t="shared" si="127"/>
        <v>24.047619047619047</v>
      </c>
      <c r="AP32" s="53">
        <f t="shared" si="128"/>
        <v>47.142857142857139</v>
      </c>
      <c r="AQ32" s="53">
        <f t="shared" si="129"/>
        <v>7.3770491803278686</v>
      </c>
      <c r="AR32" s="51">
        <f t="shared" si="130"/>
        <v>60.432190760059612</v>
      </c>
      <c r="AS32" s="51">
        <f t="shared" si="131"/>
        <v>39.567809239940388</v>
      </c>
      <c r="AT32" s="108">
        <f t="shared" si="132"/>
        <v>2.0202020202020203</v>
      </c>
      <c r="AU32" s="108">
        <f t="shared" si="133"/>
        <v>21.212121212121211</v>
      </c>
      <c r="AV32" s="108">
        <f t="shared" si="134"/>
        <v>36.363636363636367</v>
      </c>
      <c r="AW32" s="108">
        <f t="shared" si="135"/>
        <v>4.0404040404040407</v>
      </c>
      <c r="AX32" s="108">
        <f t="shared" si="136"/>
        <v>32.828282828282831</v>
      </c>
      <c r="AY32" s="108">
        <f t="shared" si="137"/>
        <v>3.535353535353535</v>
      </c>
      <c r="AZ32" s="108">
        <f t="shared" si="138"/>
        <v>0</v>
      </c>
    </row>
    <row r="33" spans="1:52" s="237" customFormat="1" ht="20.25" customHeight="1">
      <c r="A33" s="202" t="s">
        <v>156</v>
      </c>
      <c r="B33" s="235">
        <f>Yamparaez!B15</f>
        <v>3</v>
      </c>
      <c r="C33" s="235">
        <f>Yamparaez!C15</f>
        <v>702</v>
      </c>
      <c r="D33" s="236">
        <f>Yamparaez!D15</f>
        <v>45715</v>
      </c>
      <c r="E33" s="236">
        <f>Yamparaez!E15</f>
        <v>45742</v>
      </c>
      <c r="F33" s="235">
        <f>Yamparaez!F15</f>
        <v>365</v>
      </c>
      <c r="G33" s="235">
        <f>Yamparaez!G15</f>
        <v>0</v>
      </c>
      <c r="H33" s="235">
        <f>Yamparaez!H15</f>
        <v>365</v>
      </c>
      <c r="I33" s="235">
        <f>Yamparaez!I15</f>
        <v>12</v>
      </c>
      <c r="J33" s="235">
        <f>Yamparaez!J15</f>
        <v>0</v>
      </c>
      <c r="K33" s="235">
        <f>Yamparaez!K15</f>
        <v>377</v>
      </c>
      <c r="L33" s="235">
        <f>Yamparaez!L15</f>
        <v>0</v>
      </c>
      <c r="M33" s="234">
        <f>Yamparaez!M15</f>
        <v>0</v>
      </c>
      <c r="N33" s="235">
        <f>Yamparaez!N15</f>
        <v>365</v>
      </c>
      <c r="O33" s="234">
        <f>Yamparaez!O15</f>
        <v>4</v>
      </c>
      <c r="P33" s="235">
        <f>Yamparaez!P15</f>
        <v>13</v>
      </c>
      <c r="Q33" s="235">
        <f>Yamparaez!Q15</f>
        <v>32</v>
      </c>
      <c r="R33" s="235">
        <f>Yamparaez!R15</f>
        <v>0</v>
      </c>
      <c r="S33" s="235">
        <f>Yamparaez!S15</f>
        <v>28</v>
      </c>
      <c r="T33" s="235">
        <f>Yamparaez!T15</f>
        <v>92</v>
      </c>
      <c r="U33" s="235">
        <f>Yamparaez!U15</f>
        <v>1</v>
      </c>
      <c r="V33" s="235">
        <f>Yamparaez!V15</f>
        <v>1</v>
      </c>
      <c r="W33" s="235">
        <f>Yamparaez!W15</f>
        <v>14</v>
      </c>
      <c r="X33" s="235">
        <f>Yamparaez!X15</f>
        <v>1</v>
      </c>
      <c r="Y33" s="235">
        <f>Yamparaez!Y15</f>
        <v>46</v>
      </c>
      <c r="Z33" s="235">
        <f>Yamparaez!Z15</f>
        <v>6</v>
      </c>
      <c r="AA33" s="235">
        <f>Yamparaez!AA15</f>
        <v>0</v>
      </c>
      <c r="AB33" s="235">
        <f>Yamparaez!AB15</f>
        <v>10</v>
      </c>
      <c r="AC33" s="235">
        <f>Yamparaez!AC15</f>
        <v>19</v>
      </c>
      <c r="AD33" s="235">
        <f>Yamparaez!AD15</f>
        <v>2</v>
      </c>
      <c r="AE33" s="235">
        <f>Yamparaez!AE15</f>
        <v>4</v>
      </c>
      <c r="AF33" s="235">
        <f>Yamparaez!AF15</f>
        <v>8</v>
      </c>
      <c r="AG33" s="235">
        <f>Yamparaez!AG15</f>
        <v>0</v>
      </c>
      <c r="AH33" s="235">
        <f>Yamparaez!AH15</f>
        <v>2</v>
      </c>
      <c r="AI33" s="235">
        <f>Yamparaez!AI15</f>
        <v>0</v>
      </c>
      <c r="AJ33" s="235">
        <f>Yamparaez!AJ15</f>
        <v>0</v>
      </c>
      <c r="AK33" s="235">
        <f>Yamparaez!AK15</f>
        <v>104</v>
      </c>
      <c r="AL33" s="235">
        <f>Yamparaez!AL15</f>
        <v>171</v>
      </c>
      <c r="AM33" s="235">
        <f>Yamparaez!AM15</f>
        <v>275</v>
      </c>
      <c r="AN33" s="234">
        <f>Yamparaez!AN15</f>
        <v>4</v>
      </c>
      <c r="AO33" s="53">
        <f t="shared" si="127"/>
        <v>1.095890410958904</v>
      </c>
      <c r="AP33" s="53">
        <f t="shared" si="128"/>
        <v>1.095890410958904</v>
      </c>
      <c r="AQ33" s="53">
        <f t="shared" si="129"/>
        <v>1.4545454545454546</v>
      </c>
      <c r="AR33" s="51">
        <f t="shared" si="130"/>
        <v>37.81818181818182</v>
      </c>
      <c r="AS33" s="51">
        <f t="shared" si="131"/>
        <v>62.18181818181818</v>
      </c>
      <c r="AT33" s="108">
        <f t="shared" si="132"/>
        <v>0</v>
      </c>
      <c r="AU33" s="108">
        <f t="shared" si="133"/>
        <v>25</v>
      </c>
      <c r="AV33" s="108">
        <f t="shared" si="134"/>
        <v>25</v>
      </c>
      <c r="AW33" s="108">
        <f t="shared" si="135"/>
        <v>0</v>
      </c>
      <c r="AX33" s="108">
        <f t="shared" si="136"/>
        <v>50</v>
      </c>
      <c r="AY33" s="108">
        <f t="shared" si="137"/>
        <v>0</v>
      </c>
      <c r="AZ33" s="108">
        <f t="shared" si="138"/>
        <v>0</v>
      </c>
    </row>
    <row r="34" spans="1:52" s="237" customFormat="1" ht="20.25" customHeight="1">
      <c r="A34" s="202" t="s">
        <v>213</v>
      </c>
      <c r="B34" s="235">
        <f>'El Villar'!B10</f>
        <v>2</v>
      </c>
      <c r="C34" s="235">
        <f>'El Villar'!C10</f>
        <v>868</v>
      </c>
      <c r="D34" s="236">
        <f>'El Villar'!D10</f>
        <v>45723</v>
      </c>
      <c r="E34" s="236" t="str">
        <f>'El Villar'!E10</f>
        <v>2803/2025</v>
      </c>
      <c r="F34" s="235">
        <f>'El Villar'!F10</f>
        <v>261</v>
      </c>
      <c r="G34" s="235">
        <f>'El Villar'!G10</f>
        <v>0</v>
      </c>
      <c r="H34" s="235">
        <f>'El Villar'!H10</f>
        <v>261</v>
      </c>
      <c r="I34" s="235">
        <f>'El Villar'!I10</f>
        <v>0</v>
      </c>
      <c r="J34" s="235">
        <f>'El Villar'!J10</f>
        <v>0</v>
      </c>
      <c r="K34" s="235">
        <f>'El Villar'!K10</f>
        <v>261</v>
      </c>
      <c r="L34" s="235">
        <f>'El Villar'!L10</f>
        <v>0</v>
      </c>
      <c r="M34" s="234">
        <f>'El Villar'!M10</f>
        <v>0</v>
      </c>
      <c r="N34" s="235">
        <f>'El Villar'!N10</f>
        <v>261</v>
      </c>
      <c r="O34" s="234">
        <f>'El Villar'!O10</f>
        <v>0</v>
      </c>
      <c r="P34" s="235">
        <f>'El Villar'!P10</f>
        <v>3</v>
      </c>
      <c r="Q34" s="235">
        <f>'El Villar'!Q10</f>
        <v>0</v>
      </c>
      <c r="R34" s="235">
        <f>'El Villar'!R10</f>
        <v>0</v>
      </c>
      <c r="S34" s="235">
        <f>'El Villar'!S10</f>
        <v>6</v>
      </c>
      <c r="T34" s="235">
        <f>'El Villar'!T10</f>
        <v>5</v>
      </c>
      <c r="U34" s="235">
        <f>'El Villar'!U10</f>
        <v>0</v>
      </c>
      <c r="V34" s="235">
        <f>'El Villar'!V10</f>
        <v>18</v>
      </c>
      <c r="W34" s="235">
        <f>'El Villar'!W10</f>
        <v>2</v>
      </c>
      <c r="X34" s="235">
        <f>'El Villar'!X10</f>
        <v>0</v>
      </c>
      <c r="Y34" s="235">
        <f>'El Villar'!Y10</f>
        <v>12</v>
      </c>
      <c r="Z34" s="235">
        <f>'El Villar'!Z10</f>
        <v>0</v>
      </c>
      <c r="AA34" s="235">
        <f>'El Villar'!AA10</f>
        <v>0</v>
      </c>
      <c r="AB34" s="235">
        <f>'El Villar'!AB10</f>
        <v>47</v>
      </c>
      <c r="AC34" s="235">
        <f>'El Villar'!AC10</f>
        <v>0</v>
      </c>
      <c r="AD34" s="235">
        <f>'El Villar'!AD10</f>
        <v>0</v>
      </c>
      <c r="AE34" s="235">
        <f>'El Villar'!AE10</f>
        <v>115</v>
      </c>
      <c r="AF34" s="235">
        <f>'El Villar'!AF10</f>
        <v>1</v>
      </c>
      <c r="AG34" s="235">
        <f>'El Villar'!AG10</f>
        <v>0</v>
      </c>
      <c r="AH34" s="235">
        <f>'El Villar'!AH10</f>
        <v>0</v>
      </c>
      <c r="AI34" s="235">
        <f>'El Villar'!AI10</f>
        <v>2</v>
      </c>
      <c r="AJ34" s="235">
        <f>'El Villar'!AJ10</f>
        <v>0</v>
      </c>
      <c r="AK34" s="235">
        <f>'El Villar'!AK10</f>
        <v>201</v>
      </c>
      <c r="AL34" s="235">
        <f>'El Villar'!AL10</f>
        <v>10</v>
      </c>
      <c r="AM34" s="235">
        <f>'El Villar'!AM10</f>
        <v>211</v>
      </c>
      <c r="AN34" s="234">
        <f>'El Villar'!AN10</f>
        <v>0</v>
      </c>
      <c r="AO34" s="53">
        <f t="shared" si="127"/>
        <v>0</v>
      </c>
      <c r="AP34" s="53">
        <f t="shared" si="128"/>
        <v>0</v>
      </c>
      <c r="AQ34" s="53">
        <f t="shared" si="129"/>
        <v>0</v>
      </c>
      <c r="AR34" s="51">
        <f t="shared" si="130"/>
        <v>95.260663507109001</v>
      </c>
      <c r="AS34" s="51">
        <f t="shared" si="131"/>
        <v>4.7393364928909953</v>
      </c>
      <c r="AT34" s="108" t="e">
        <f t="shared" si="132"/>
        <v>#DIV/0!</v>
      </c>
      <c r="AU34" s="108" t="e">
        <f t="shared" si="133"/>
        <v>#DIV/0!</v>
      </c>
      <c r="AV34" s="108" t="e">
        <f t="shared" si="134"/>
        <v>#DIV/0!</v>
      </c>
      <c r="AW34" s="108" t="e">
        <f t="shared" si="135"/>
        <v>#DIV/0!</v>
      </c>
      <c r="AX34" s="108" t="e">
        <f t="shared" si="136"/>
        <v>#DIV/0!</v>
      </c>
      <c r="AY34" s="108" t="e">
        <f t="shared" si="137"/>
        <v>#DIV/0!</v>
      </c>
      <c r="AZ34" s="108" t="e">
        <f t="shared" si="138"/>
        <v>#DIV/0!</v>
      </c>
    </row>
    <row r="35" spans="1:52" s="40" customFormat="1" ht="20.25" customHeight="1">
      <c r="A35" s="207" t="s">
        <v>103</v>
      </c>
      <c r="B35" s="207">
        <f>SUM(B25:B34)</f>
        <v>69</v>
      </c>
      <c r="C35" s="207">
        <f>SUM(C25:C34)</f>
        <v>15160</v>
      </c>
      <c r="D35" s="124">
        <f>MIN(D25:D34)</f>
        <v>45706</v>
      </c>
      <c r="E35" s="124">
        <f>MAX(E25:E34)</f>
        <v>45747</v>
      </c>
      <c r="F35" s="207">
        <f>SUM(F25:F34)</f>
        <v>3515</v>
      </c>
      <c r="G35" s="207">
        <f t="shared" ref="G35:AJ35" si="139">SUM(G25:G34)</f>
        <v>0</v>
      </c>
      <c r="H35" s="207">
        <f t="shared" si="139"/>
        <v>3515</v>
      </c>
      <c r="I35" s="207">
        <f t="shared" si="139"/>
        <v>199</v>
      </c>
      <c r="J35" s="207">
        <f t="shared" si="139"/>
        <v>0</v>
      </c>
      <c r="K35" s="207">
        <f t="shared" si="139"/>
        <v>6038</v>
      </c>
      <c r="L35" s="207">
        <f t="shared" si="139"/>
        <v>0</v>
      </c>
      <c r="M35" s="178">
        <f t="shared" si="139"/>
        <v>0</v>
      </c>
      <c r="N35" s="207">
        <f t="shared" si="139"/>
        <v>5626</v>
      </c>
      <c r="O35" s="178">
        <f t="shared" si="139"/>
        <v>433</v>
      </c>
      <c r="P35" s="207">
        <f t="shared" si="139"/>
        <v>120</v>
      </c>
      <c r="Q35" s="207">
        <f t="shared" si="139"/>
        <v>587</v>
      </c>
      <c r="R35" s="207">
        <f t="shared" si="139"/>
        <v>10</v>
      </c>
      <c r="S35" s="207">
        <f t="shared" si="139"/>
        <v>578</v>
      </c>
      <c r="T35" s="207">
        <f t="shared" si="139"/>
        <v>2595</v>
      </c>
      <c r="U35" s="207">
        <f t="shared" si="139"/>
        <v>192</v>
      </c>
      <c r="V35" s="207">
        <f t="shared" si="139"/>
        <v>3680</v>
      </c>
      <c r="W35" s="207">
        <f t="shared" si="139"/>
        <v>1913</v>
      </c>
      <c r="X35" s="207">
        <f t="shared" si="139"/>
        <v>171</v>
      </c>
      <c r="Y35" s="207">
        <f t="shared" si="139"/>
        <v>334</v>
      </c>
      <c r="Z35" s="207">
        <f t="shared" si="139"/>
        <v>655</v>
      </c>
      <c r="AA35" s="207">
        <f t="shared" si="139"/>
        <v>45</v>
      </c>
      <c r="AB35" s="207">
        <f t="shared" si="139"/>
        <v>1473</v>
      </c>
      <c r="AC35" s="207">
        <f t="shared" si="139"/>
        <v>851</v>
      </c>
      <c r="AD35" s="207">
        <f t="shared" si="139"/>
        <v>181</v>
      </c>
      <c r="AE35" s="207">
        <f t="shared" si="139"/>
        <v>9296</v>
      </c>
      <c r="AF35" s="207">
        <f t="shared" si="139"/>
        <v>1983</v>
      </c>
      <c r="AG35" s="207">
        <f t="shared" si="139"/>
        <v>66</v>
      </c>
      <c r="AH35" s="207">
        <f t="shared" si="139"/>
        <v>5</v>
      </c>
      <c r="AI35" s="207">
        <f t="shared" si="139"/>
        <v>5</v>
      </c>
      <c r="AJ35" s="207">
        <f t="shared" si="139"/>
        <v>0</v>
      </c>
      <c r="AK35" s="83">
        <f>P35+S35+V35+Y35+AB35+AE35+AH35</f>
        <v>15486</v>
      </c>
      <c r="AL35" s="83">
        <f>Q35+T35+W35+Z35+AC35+AF35+AI35</f>
        <v>8589</v>
      </c>
      <c r="AM35" s="83">
        <f>AK35+AL35</f>
        <v>24075</v>
      </c>
      <c r="AN35" s="178">
        <f>R35+U35+X35+AA35+AD35+AG35+AJ35</f>
        <v>665</v>
      </c>
      <c r="AO35" s="85">
        <f t="shared" si="127"/>
        <v>12.318634423897581</v>
      </c>
      <c r="AP35" s="85">
        <f t="shared" si="128"/>
        <v>18.918918918918919</v>
      </c>
      <c r="AQ35" s="85">
        <f t="shared" si="129"/>
        <v>2.7622014537902388</v>
      </c>
      <c r="AR35" s="85">
        <f t="shared" si="130"/>
        <v>64.323987538940813</v>
      </c>
      <c r="AS35" s="85">
        <f t="shared" si="131"/>
        <v>35.676012461059194</v>
      </c>
      <c r="AT35" s="85">
        <f t="shared" si="132"/>
        <v>1.5037593984962405</v>
      </c>
      <c r="AU35" s="85">
        <f t="shared" si="133"/>
        <v>28.872180451127821</v>
      </c>
      <c r="AV35" s="85">
        <f t="shared" si="134"/>
        <v>25.714285714285712</v>
      </c>
      <c r="AW35" s="85">
        <f t="shared" si="135"/>
        <v>6.7669172932330826</v>
      </c>
      <c r="AX35" s="85">
        <f t="shared" si="136"/>
        <v>27.218045112781951</v>
      </c>
      <c r="AY35" s="85">
        <f t="shared" si="137"/>
        <v>9.9248120300751879</v>
      </c>
      <c r="AZ35" s="85">
        <f t="shared" si="138"/>
        <v>0</v>
      </c>
    </row>
    <row r="36" spans="1:52" s="237" customFormat="1" ht="20.25" customHeight="1">
      <c r="A36" s="202" t="s">
        <v>24</v>
      </c>
      <c r="B36" s="235">
        <f>Monteagudo!B70</f>
        <v>19</v>
      </c>
      <c r="C36" s="235">
        <f>Monteagudo!C70</f>
        <v>2510</v>
      </c>
      <c r="D36" s="236">
        <f>Monteagudo!D70</f>
        <v>45748</v>
      </c>
      <c r="E36" s="236">
        <f>Monteagudo!E70</f>
        <v>45777</v>
      </c>
      <c r="F36" s="235">
        <f>Monteagudo!F70</f>
        <v>680</v>
      </c>
      <c r="G36" s="235">
        <f>Monteagudo!G70</f>
        <v>0</v>
      </c>
      <c r="H36" s="235">
        <f>Monteagudo!H70</f>
        <v>680</v>
      </c>
      <c r="I36" s="235">
        <f>Monteagudo!I70</f>
        <v>5</v>
      </c>
      <c r="J36" s="235">
        <f>Monteagudo!J70</f>
        <v>0</v>
      </c>
      <c r="K36" s="235">
        <f>Monteagudo!K70</f>
        <v>685</v>
      </c>
      <c r="L36" s="235">
        <f>Monteagudo!L70</f>
        <v>0</v>
      </c>
      <c r="M36" s="235">
        <f>Monteagudo!M70</f>
        <v>0</v>
      </c>
      <c r="N36" s="235">
        <f>Monteagudo!N70</f>
        <v>680</v>
      </c>
      <c r="O36" s="234">
        <f>Monteagudo!O70</f>
        <v>79</v>
      </c>
      <c r="P36" s="235">
        <f>Monteagudo!P70</f>
        <v>0</v>
      </c>
      <c r="Q36" s="235">
        <f>Monteagudo!Q70</f>
        <v>1</v>
      </c>
      <c r="R36" s="235">
        <f>Monteagudo!R70</f>
        <v>0</v>
      </c>
      <c r="S36" s="235">
        <f>Monteagudo!S70</f>
        <v>1</v>
      </c>
      <c r="T36" s="235">
        <f>Monteagudo!T70</f>
        <v>22</v>
      </c>
      <c r="U36" s="235">
        <f>Monteagudo!U70</f>
        <v>16</v>
      </c>
      <c r="V36" s="235">
        <f>Monteagudo!V70</f>
        <v>15</v>
      </c>
      <c r="W36" s="235">
        <f>Monteagudo!W70</f>
        <v>188</v>
      </c>
      <c r="X36" s="235">
        <f>Monteagudo!X70</f>
        <v>25</v>
      </c>
      <c r="Y36" s="235">
        <f>Monteagudo!Y70</f>
        <v>4</v>
      </c>
      <c r="Z36" s="235">
        <f>Monteagudo!Z70</f>
        <v>54</v>
      </c>
      <c r="AA36" s="235">
        <f>Monteagudo!AA70</f>
        <v>4</v>
      </c>
      <c r="AB36" s="235">
        <f>Monteagudo!AB70</f>
        <v>7</v>
      </c>
      <c r="AC36" s="235">
        <f>Monteagudo!AC70</f>
        <v>214</v>
      </c>
      <c r="AD36" s="235">
        <f>Monteagudo!AD70</f>
        <v>43</v>
      </c>
      <c r="AE36" s="235">
        <f>Monteagudo!AE70</f>
        <v>66</v>
      </c>
      <c r="AF36" s="235">
        <f>Monteagudo!AF70</f>
        <v>162</v>
      </c>
      <c r="AG36" s="235">
        <f>Monteagudo!AG70</f>
        <v>4</v>
      </c>
      <c r="AH36" s="235">
        <f>Monteagudo!AH70</f>
        <v>0</v>
      </c>
      <c r="AI36" s="235">
        <f>Monteagudo!AI70</f>
        <v>9</v>
      </c>
      <c r="AJ36" s="235">
        <f>Monteagudo!AJ70</f>
        <v>7</v>
      </c>
      <c r="AK36" s="235">
        <f>Monteagudo!AK70</f>
        <v>93</v>
      </c>
      <c r="AL36" s="235">
        <f>Monteagudo!AL70</f>
        <v>650</v>
      </c>
      <c r="AM36" s="235">
        <f>Monteagudo!AM70</f>
        <v>743</v>
      </c>
      <c r="AN36" s="234">
        <f>Monteagudo!AN70</f>
        <v>99</v>
      </c>
      <c r="AO36" s="53">
        <f t="shared" ref="AO36" si="140">O36/H36*100</f>
        <v>11.617647058823529</v>
      </c>
      <c r="AP36" s="53">
        <f t="shared" ref="AP36" si="141">AN36/H36*100</f>
        <v>14.558823529411766</v>
      </c>
      <c r="AQ36" s="53">
        <f t="shared" ref="AQ36" si="142">AN36/AM36*100</f>
        <v>13.324360699865412</v>
      </c>
      <c r="AR36" s="51">
        <f t="shared" ref="AR36" si="143">AK36/AM36*100</f>
        <v>12.516823687752353</v>
      </c>
      <c r="AS36" s="51">
        <f t="shared" ref="AS36" si="144">AL36/AM36*100</f>
        <v>87.48317631224765</v>
      </c>
      <c r="AT36" s="108">
        <f t="shared" ref="AT36" si="145">R36/AN36*100</f>
        <v>0</v>
      </c>
      <c r="AU36" s="108">
        <f t="shared" ref="AU36" si="146">U36/AN36*100</f>
        <v>16.161616161616163</v>
      </c>
      <c r="AV36" s="108">
        <f t="shared" ref="AV36" si="147">X36/AN36*100</f>
        <v>25.252525252525253</v>
      </c>
      <c r="AW36" s="108">
        <f t="shared" ref="AW36" si="148">AA36/AN36*100</f>
        <v>4.0404040404040407</v>
      </c>
      <c r="AX36" s="108">
        <f t="shared" ref="AX36" si="149">AD36/AN36*100</f>
        <v>43.43434343434344</v>
      </c>
      <c r="AY36" s="108">
        <f t="shared" ref="AY36" si="150">AG36/AN36*100</f>
        <v>4.0404040404040407</v>
      </c>
      <c r="AZ36" s="108">
        <f t="shared" ref="AZ36" si="151">AJ36/AN36*100</f>
        <v>7.0707070707070701</v>
      </c>
    </row>
    <row r="37" spans="1:52" s="237" customFormat="1" ht="20.25" customHeight="1">
      <c r="A37" s="202" t="s">
        <v>106</v>
      </c>
      <c r="B37" s="235">
        <f>Muyupampa!C41</f>
        <v>14</v>
      </c>
      <c r="C37" s="235">
        <f>Muyupampa!D41</f>
        <v>1966</v>
      </c>
      <c r="D37" s="236">
        <f>Muyupampa!E41</f>
        <v>45761</v>
      </c>
      <c r="E37" s="236">
        <f>Muyupampa!F41</f>
        <v>45777</v>
      </c>
      <c r="F37" s="235">
        <f>Muyupampa!G41</f>
        <v>922</v>
      </c>
      <c r="G37" s="235">
        <f>Muyupampa!H41</f>
        <v>0</v>
      </c>
      <c r="H37" s="235">
        <f>Muyupampa!I41</f>
        <v>922</v>
      </c>
      <c r="I37" s="235">
        <f>Muyupampa!J41</f>
        <v>20</v>
      </c>
      <c r="J37" s="235">
        <f>Muyupampa!K41</f>
        <v>0</v>
      </c>
      <c r="K37" s="235">
        <f>Muyupampa!L41</f>
        <v>942</v>
      </c>
      <c r="L37" s="235">
        <f>Muyupampa!M41</f>
        <v>0</v>
      </c>
      <c r="M37" s="235">
        <f>Muyupampa!N41</f>
        <v>0</v>
      </c>
      <c r="N37" s="235">
        <f>Muyupampa!O41</f>
        <v>929</v>
      </c>
      <c r="O37" s="234">
        <f>Muyupampa!P41</f>
        <v>23</v>
      </c>
      <c r="P37" s="235">
        <f>Muyupampa!Q41</f>
        <v>1</v>
      </c>
      <c r="Q37" s="235">
        <f>Muyupampa!R41</f>
        <v>4</v>
      </c>
      <c r="R37" s="235">
        <f>Muyupampa!S41</f>
        <v>1</v>
      </c>
      <c r="S37" s="235">
        <f>Muyupampa!T41</f>
        <v>22</v>
      </c>
      <c r="T37" s="235">
        <f>Muyupampa!U41</f>
        <v>77</v>
      </c>
      <c r="U37" s="235">
        <f>Muyupampa!V41</f>
        <v>8</v>
      </c>
      <c r="V37" s="235">
        <f>Muyupampa!W41</f>
        <v>350</v>
      </c>
      <c r="W37" s="235">
        <f>Muyupampa!X41</f>
        <v>307</v>
      </c>
      <c r="X37" s="235">
        <f>Muyupampa!Y41</f>
        <v>5</v>
      </c>
      <c r="Y37" s="235">
        <f>Muyupampa!Z41</f>
        <v>1</v>
      </c>
      <c r="Z37" s="235">
        <f>Muyupampa!AA41</f>
        <v>0</v>
      </c>
      <c r="AA37" s="235">
        <f>Muyupampa!AB41</f>
        <v>0</v>
      </c>
      <c r="AB37" s="235">
        <f>Muyupampa!AC41</f>
        <v>183</v>
      </c>
      <c r="AC37" s="235">
        <f>Muyupampa!AD41</f>
        <v>91</v>
      </c>
      <c r="AD37" s="235">
        <f>Muyupampa!AE41</f>
        <v>9</v>
      </c>
      <c r="AE37" s="235">
        <f>Muyupampa!AF41</f>
        <v>46</v>
      </c>
      <c r="AF37" s="235">
        <f>Muyupampa!AG41</f>
        <v>45</v>
      </c>
      <c r="AG37" s="235">
        <f>Muyupampa!AH41</f>
        <v>0</v>
      </c>
      <c r="AH37" s="235">
        <f>Muyupampa!AI41</f>
        <v>0</v>
      </c>
      <c r="AI37" s="235">
        <f>Muyupampa!AJ41</f>
        <v>14</v>
      </c>
      <c r="AJ37" s="235">
        <f>Muyupampa!AK41</f>
        <v>4</v>
      </c>
      <c r="AK37" s="235">
        <f>Muyupampa!AL41</f>
        <v>603</v>
      </c>
      <c r="AL37" s="235">
        <f>Muyupampa!AM41</f>
        <v>538</v>
      </c>
      <c r="AM37" s="235">
        <f>Muyupampa!AN41</f>
        <v>1141</v>
      </c>
      <c r="AN37" s="234">
        <f>Muyupampa!AO41</f>
        <v>27</v>
      </c>
      <c r="AO37" s="53">
        <f t="shared" ref="AO37:AO44" si="152">O37/H37*100</f>
        <v>2.4945770065075923</v>
      </c>
      <c r="AP37" s="53">
        <f t="shared" ref="AP37:AP44" si="153">AN37/H37*100</f>
        <v>2.9284164859002169</v>
      </c>
      <c r="AQ37" s="53">
        <f t="shared" ref="AQ37:AQ44" si="154">AN37/AM37*100</f>
        <v>2.366345311130587</v>
      </c>
      <c r="AR37" s="51">
        <f t="shared" ref="AR37:AR44" si="155">AK37/AM37*100</f>
        <v>52.848378615249779</v>
      </c>
      <c r="AS37" s="51">
        <f t="shared" ref="AS37:AS44" si="156">AL37/AM37*100</f>
        <v>47.151621384750221</v>
      </c>
      <c r="AT37" s="108">
        <f t="shared" ref="AT37:AT44" si="157">R37/AN37*100</f>
        <v>3.7037037037037033</v>
      </c>
      <c r="AU37" s="108">
        <f t="shared" ref="AU37:AU44" si="158">U37/AN37*100</f>
        <v>29.629629629629626</v>
      </c>
      <c r="AV37" s="108">
        <f t="shared" ref="AV37:AV44" si="159">X37/AN37*100</f>
        <v>18.518518518518519</v>
      </c>
      <c r="AW37" s="108">
        <f t="shared" ref="AW37:AW44" si="160">AA37/AN37*100</f>
        <v>0</v>
      </c>
      <c r="AX37" s="108">
        <f t="shared" ref="AX37:AX44" si="161">AD37/AN37*100</f>
        <v>33.333333333333329</v>
      </c>
      <c r="AY37" s="108">
        <f t="shared" ref="AY37:AY44" si="162">AG37/AN37*100</f>
        <v>0</v>
      </c>
      <c r="AZ37" s="108">
        <f t="shared" ref="AZ37:AZ44" si="163">AJ37/AN37*100</f>
        <v>14.814814814814813</v>
      </c>
    </row>
    <row r="38" spans="1:52" s="237" customFormat="1" ht="20.25" customHeight="1">
      <c r="A38" s="202" t="s">
        <v>105</v>
      </c>
      <c r="B38" s="235">
        <f>Machareti!B34</f>
        <v>6</v>
      </c>
      <c r="C38" s="235">
        <f>Machareti!C34</f>
        <v>1756</v>
      </c>
      <c r="D38" s="236">
        <f>Machareti!D34</f>
        <v>45749</v>
      </c>
      <c r="E38" s="236">
        <f>Machareti!E34</f>
        <v>45777</v>
      </c>
      <c r="F38" s="235">
        <f>Machareti!F34</f>
        <v>372</v>
      </c>
      <c r="G38" s="235">
        <f>Machareti!G34</f>
        <v>0</v>
      </c>
      <c r="H38" s="235">
        <f>Machareti!H34</f>
        <v>372</v>
      </c>
      <c r="I38" s="235">
        <f>Machareti!I34</f>
        <v>0</v>
      </c>
      <c r="J38" s="235">
        <f>Machareti!J34</f>
        <v>0</v>
      </c>
      <c r="K38" s="235">
        <f>Machareti!K34</f>
        <v>372</v>
      </c>
      <c r="L38" s="235">
        <f>Machareti!L34</f>
        <v>0</v>
      </c>
      <c r="M38" s="235">
        <f>Machareti!M34</f>
        <v>0</v>
      </c>
      <c r="N38" s="235">
        <f>Machareti!N34</f>
        <v>372</v>
      </c>
      <c r="O38" s="234">
        <f>Machareti!O34</f>
        <v>112</v>
      </c>
      <c r="P38" s="235">
        <f>Machareti!P34</f>
        <v>0</v>
      </c>
      <c r="Q38" s="235">
        <f>Machareti!Q34</f>
        <v>0</v>
      </c>
      <c r="R38" s="235">
        <f>Machareti!R34</f>
        <v>0</v>
      </c>
      <c r="S38" s="235">
        <f>Machareti!S34</f>
        <v>10</v>
      </c>
      <c r="T38" s="235">
        <f>Machareti!T34</f>
        <v>588</v>
      </c>
      <c r="U38" s="235">
        <f>Machareti!U34</f>
        <v>73</v>
      </c>
      <c r="V38" s="235">
        <f>Machareti!V34</f>
        <v>1</v>
      </c>
      <c r="W38" s="235">
        <f>Machareti!W34</f>
        <v>130</v>
      </c>
      <c r="X38" s="235">
        <f>Machareti!X34</f>
        <v>24</v>
      </c>
      <c r="Y38" s="235">
        <f>Machareti!Y34</f>
        <v>0</v>
      </c>
      <c r="Z38" s="235">
        <f>Machareti!Z34</f>
        <v>65</v>
      </c>
      <c r="AA38" s="235">
        <f>Machareti!AA34</f>
        <v>26</v>
      </c>
      <c r="AB38" s="235">
        <f>Machareti!AB34</f>
        <v>78</v>
      </c>
      <c r="AC38" s="235">
        <f>Machareti!AC34</f>
        <v>133</v>
      </c>
      <c r="AD38" s="235">
        <f>Machareti!AD34</f>
        <v>58</v>
      </c>
      <c r="AE38" s="235">
        <f>Machareti!AE34</f>
        <v>946</v>
      </c>
      <c r="AF38" s="235">
        <f>Machareti!AF34</f>
        <v>201</v>
      </c>
      <c r="AG38" s="235">
        <f>Machareti!AG34</f>
        <v>48</v>
      </c>
      <c r="AH38" s="235">
        <f>Machareti!AH34</f>
        <v>0</v>
      </c>
      <c r="AI38" s="235">
        <f>Machareti!AI34</f>
        <v>0</v>
      </c>
      <c r="AJ38" s="235">
        <f>Machareti!AJ34</f>
        <v>0</v>
      </c>
      <c r="AK38" s="235">
        <f>Machareti!AK34</f>
        <v>1035</v>
      </c>
      <c r="AL38" s="235">
        <f>Machareti!AL34</f>
        <v>1117</v>
      </c>
      <c r="AM38" s="235">
        <f>Machareti!AM34</f>
        <v>2152</v>
      </c>
      <c r="AN38" s="234">
        <f>Machareti!AN34</f>
        <v>229</v>
      </c>
      <c r="AO38" s="53">
        <f t="shared" si="152"/>
        <v>30.107526881720432</v>
      </c>
      <c r="AP38" s="53">
        <f t="shared" si="153"/>
        <v>61.55913978494624</v>
      </c>
      <c r="AQ38" s="53">
        <f t="shared" si="154"/>
        <v>10.641263940520446</v>
      </c>
      <c r="AR38" s="51">
        <f t="shared" si="155"/>
        <v>48.094795539033456</v>
      </c>
      <c r="AS38" s="51">
        <f t="shared" si="156"/>
        <v>51.905204460966544</v>
      </c>
      <c r="AT38" s="108">
        <f t="shared" si="157"/>
        <v>0</v>
      </c>
      <c r="AU38" s="108">
        <f t="shared" si="158"/>
        <v>31.877729257641924</v>
      </c>
      <c r="AV38" s="108">
        <f t="shared" si="159"/>
        <v>10.480349344978166</v>
      </c>
      <c r="AW38" s="108">
        <f t="shared" si="160"/>
        <v>11.353711790393014</v>
      </c>
      <c r="AX38" s="108">
        <f t="shared" si="161"/>
        <v>25.327510917030565</v>
      </c>
      <c r="AY38" s="108">
        <f t="shared" si="162"/>
        <v>20.960698689956331</v>
      </c>
      <c r="AZ38" s="108">
        <f t="shared" si="163"/>
        <v>0</v>
      </c>
    </row>
    <row r="39" spans="1:52" s="237" customFormat="1" ht="20.25" customHeight="1">
      <c r="A39" s="202" t="s">
        <v>25</v>
      </c>
      <c r="B39" s="235">
        <f>Huacareta!B23</f>
        <v>3</v>
      </c>
      <c r="C39" s="235">
        <f>Huacareta!C23</f>
        <v>552</v>
      </c>
      <c r="D39" s="236">
        <f>Huacareta!D23</f>
        <v>45748</v>
      </c>
      <c r="E39" s="236">
        <f>Huacareta!E23</f>
        <v>45777</v>
      </c>
      <c r="F39" s="235">
        <f>Huacareta!F23</f>
        <v>586</v>
      </c>
      <c r="G39" s="235">
        <f>Huacareta!G23</f>
        <v>0</v>
      </c>
      <c r="H39" s="235">
        <f>Huacareta!H23</f>
        <v>586</v>
      </c>
      <c r="I39" s="235">
        <f>Huacareta!I23</f>
        <v>38</v>
      </c>
      <c r="J39" s="235">
        <f>Huacareta!J23</f>
        <v>0</v>
      </c>
      <c r="K39" s="235">
        <f>Huacareta!K23</f>
        <v>624</v>
      </c>
      <c r="L39" s="235">
        <f>Huacareta!L23</f>
        <v>0</v>
      </c>
      <c r="M39" s="235">
        <f>Huacareta!M23</f>
        <v>0</v>
      </c>
      <c r="N39" s="235">
        <f>Huacareta!N23</f>
        <v>586</v>
      </c>
      <c r="O39" s="234">
        <f>Huacareta!O23</f>
        <v>8</v>
      </c>
      <c r="P39" s="235">
        <f>Huacareta!P23</f>
        <v>0</v>
      </c>
      <c r="Q39" s="235">
        <f>Huacareta!Q23</f>
        <v>0</v>
      </c>
      <c r="R39" s="235">
        <f>Huacareta!R23</f>
        <v>0</v>
      </c>
      <c r="S39" s="235">
        <f>Huacareta!S23</f>
        <v>0</v>
      </c>
      <c r="T39" s="235">
        <f>Huacareta!T23</f>
        <v>0</v>
      </c>
      <c r="U39" s="235">
        <f>Huacareta!U23</f>
        <v>0</v>
      </c>
      <c r="V39" s="235">
        <f>Huacareta!V23</f>
        <v>80</v>
      </c>
      <c r="W39" s="235">
        <f>Huacareta!W23</f>
        <v>106</v>
      </c>
      <c r="X39" s="235">
        <f>Huacareta!X23</f>
        <v>5</v>
      </c>
      <c r="Y39" s="235">
        <f>Huacareta!Y23</f>
        <v>10</v>
      </c>
      <c r="Z39" s="235">
        <f>Huacareta!Z23</f>
        <v>10</v>
      </c>
      <c r="AA39" s="235">
        <f>Huacareta!AA23</f>
        <v>0</v>
      </c>
      <c r="AB39" s="235">
        <f>Huacareta!AB23</f>
        <v>96</v>
      </c>
      <c r="AC39" s="235">
        <f>Huacareta!AC23</f>
        <v>112</v>
      </c>
      <c r="AD39" s="235">
        <f>Huacareta!AD23</f>
        <v>1</v>
      </c>
      <c r="AE39" s="235">
        <f>Huacareta!AE23</f>
        <v>297</v>
      </c>
      <c r="AF39" s="235">
        <f>Huacareta!AF23</f>
        <v>368</v>
      </c>
      <c r="AG39" s="235">
        <f>Huacareta!AG23</f>
        <v>3</v>
      </c>
      <c r="AH39" s="235">
        <f>Huacareta!AH23</f>
        <v>0</v>
      </c>
      <c r="AI39" s="235">
        <f>Huacareta!AI23</f>
        <v>0</v>
      </c>
      <c r="AJ39" s="235">
        <f>Huacareta!AJ23</f>
        <v>0</v>
      </c>
      <c r="AK39" s="235">
        <f>Huacareta!AK23</f>
        <v>483</v>
      </c>
      <c r="AL39" s="235">
        <f>Huacareta!AL23</f>
        <v>596</v>
      </c>
      <c r="AM39" s="235">
        <f>Huacareta!AM23</f>
        <v>1079</v>
      </c>
      <c r="AN39" s="234">
        <f>Huacareta!AN23</f>
        <v>9</v>
      </c>
      <c r="AO39" s="53">
        <f t="shared" si="152"/>
        <v>1.3651877133105803</v>
      </c>
      <c r="AP39" s="53">
        <f t="shared" si="153"/>
        <v>1.5358361774744027</v>
      </c>
      <c r="AQ39" s="53">
        <f t="shared" si="154"/>
        <v>0.83410565338276188</v>
      </c>
      <c r="AR39" s="51">
        <f t="shared" si="155"/>
        <v>44.76367006487488</v>
      </c>
      <c r="AS39" s="51">
        <f t="shared" si="156"/>
        <v>55.23632993512512</v>
      </c>
      <c r="AT39" s="108">
        <f t="shared" si="157"/>
        <v>0</v>
      </c>
      <c r="AU39" s="108">
        <f t="shared" si="158"/>
        <v>0</v>
      </c>
      <c r="AV39" s="108">
        <f t="shared" si="159"/>
        <v>55.555555555555557</v>
      </c>
      <c r="AW39" s="108">
        <f t="shared" si="160"/>
        <v>0</v>
      </c>
      <c r="AX39" s="108">
        <f t="shared" si="161"/>
        <v>11.111111111111111</v>
      </c>
      <c r="AY39" s="108">
        <f t="shared" si="162"/>
        <v>33.333333333333329</v>
      </c>
      <c r="AZ39" s="108">
        <f t="shared" si="163"/>
        <v>0</v>
      </c>
    </row>
    <row r="40" spans="1:52" s="237" customFormat="1" ht="20.25" customHeight="1">
      <c r="A40" s="202" t="s">
        <v>140</v>
      </c>
      <c r="B40" s="235">
        <f>Huacaya!B18</f>
        <v>4</v>
      </c>
      <c r="C40" s="235">
        <f>Huacaya!C18</f>
        <v>609</v>
      </c>
      <c r="D40" s="236">
        <f>Huacaya!D18</f>
        <v>45754</v>
      </c>
      <c r="E40" s="236">
        <f>Huacaya!E18</f>
        <v>45771</v>
      </c>
      <c r="F40" s="235">
        <f>Huacaya!F18</f>
        <v>274</v>
      </c>
      <c r="G40" s="235">
        <f>Huacaya!G18</f>
        <v>0</v>
      </c>
      <c r="H40" s="235">
        <f>Huacaya!H18</f>
        <v>274</v>
      </c>
      <c r="I40" s="235">
        <f>Huacaya!I18</f>
        <v>10</v>
      </c>
      <c r="J40" s="235">
        <f>Huacaya!J18</f>
        <v>0</v>
      </c>
      <c r="K40" s="235">
        <f>Huacaya!K18</f>
        <v>284</v>
      </c>
      <c r="L40" s="235">
        <f>Huacaya!L18</f>
        <v>0</v>
      </c>
      <c r="M40" s="235">
        <f>Huacaya!M18</f>
        <v>0</v>
      </c>
      <c r="N40" s="235">
        <f>Huacaya!N18</f>
        <v>278</v>
      </c>
      <c r="O40" s="234">
        <f>Huacaya!O18</f>
        <v>17</v>
      </c>
      <c r="P40" s="235">
        <f>Huacaya!P18</f>
        <v>0</v>
      </c>
      <c r="Q40" s="235">
        <f>Huacaya!Q18</f>
        <v>17</v>
      </c>
      <c r="R40" s="235">
        <f>Huacaya!R18</f>
        <v>0</v>
      </c>
      <c r="S40" s="235">
        <f>Huacaya!S18</f>
        <v>25</v>
      </c>
      <c r="T40" s="235">
        <f>Huacaya!T18</f>
        <v>200</v>
      </c>
      <c r="U40" s="235">
        <f>Huacaya!U18</f>
        <v>7</v>
      </c>
      <c r="V40" s="235">
        <f>Huacaya!V18</f>
        <v>63</v>
      </c>
      <c r="W40" s="235">
        <f>Huacaya!W18</f>
        <v>119</v>
      </c>
      <c r="X40" s="235">
        <f>Huacaya!X18</f>
        <v>13</v>
      </c>
      <c r="Y40" s="235">
        <f>Huacaya!Y18</f>
        <v>44</v>
      </c>
      <c r="Z40" s="235">
        <f>Huacaya!Z18</f>
        <v>6</v>
      </c>
      <c r="AA40" s="235">
        <f>Huacaya!AA18</f>
        <v>0</v>
      </c>
      <c r="AB40" s="235">
        <f>Huacaya!AB18</f>
        <v>35</v>
      </c>
      <c r="AC40" s="235">
        <f>Huacaya!AC18</f>
        <v>28</v>
      </c>
      <c r="AD40" s="235">
        <f>Huacaya!AD18</f>
        <v>2</v>
      </c>
      <c r="AE40" s="235">
        <f>Huacaya!AE18</f>
        <v>363</v>
      </c>
      <c r="AF40" s="235">
        <f>Huacaya!AF18</f>
        <v>22</v>
      </c>
      <c r="AG40" s="235">
        <f>Huacaya!AG18</f>
        <v>0</v>
      </c>
      <c r="AH40" s="235">
        <f>Huacaya!AH18</f>
        <v>0</v>
      </c>
      <c r="AI40" s="235">
        <f>Huacaya!AI18</f>
        <v>10</v>
      </c>
      <c r="AJ40" s="235">
        <f>Huacaya!AJ18</f>
        <v>1</v>
      </c>
      <c r="AK40" s="235">
        <f>Huacaya!AK18</f>
        <v>530</v>
      </c>
      <c r="AL40" s="235">
        <f>Huacaya!AL18</f>
        <v>402</v>
      </c>
      <c r="AM40" s="235">
        <f>Huacaya!AM18</f>
        <v>932</v>
      </c>
      <c r="AN40" s="234">
        <f>Huacaya!AN18</f>
        <v>23</v>
      </c>
      <c r="AO40" s="53">
        <f t="shared" si="152"/>
        <v>6.2043795620437958</v>
      </c>
      <c r="AP40" s="53">
        <f t="shared" si="153"/>
        <v>8.3941605839416056</v>
      </c>
      <c r="AQ40" s="53">
        <f t="shared" si="154"/>
        <v>2.4678111587982832</v>
      </c>
      <c r="AR40" s="51">
        <f t="shared" si="155"/>
        <v>56.866952789699575</v>
      </c>
      <c r="AS40" s="51">
        <f t="shared" si="156"/>
        <v>43.133047210300433</v>
      </c>
      <c r="AT40" s="108">
        <f t="shared" si="157"/>
        <v>0</v>
      </c>
      <c r="AU40" s="108">
        <f t="shared" si="158"/>
        <v>30.434782608695656</v>
      </c>
      <c r="AV40" s="108">
        <f t="shared" si="159"/>
        <v>56.521739130434781</v>
      </c>
      <c r="AW40" s="108">
        <f t="shared" si="160"/>
        <v>0</v>
      </c>
      <c r="AX40" s="108">
        <f t="shared" si="161"/>
        <v>8.695652173913043</v>
      </c>
      <c r="AY40" s="108">
        <f t="shared" si="162"/>
        <v>0</v>
      </c>
      <c r="AZ40" s="108">
        <f t="shared" si="163"/>
        <v>4.3478260869565215</v>
      </c>
    </row>
    <row r="41" spans="1:52" s="237" customFormat="1" ht="20.25" customHeight="1">
      <c r="A41" s="202" t="s">
        <v>50</v>
      </c>
      <c r="B41" s="235">
        <f>Sucre!B38</f>
        <v>3</v>
      </c>
      <c r="C41" s="235">
        <f>Sucre!C38</f>
        <v>1069</v>
      </c>
      <c r="D41" s="236">
        <f>Sucre!D38</f>
        <v>45755</v>
      </c>
      <c r="E41" s="236">
        <f>Sucre!E38</f>
        <v>45772</v>
      </c>
      <c r="F41" s="235">
        <f>Sucre!F38</f>
        <v>391</v>
      </c>
      <c r="G41" s="235">
        <f>Sucre!G38</f>
        <v>0</v>
      </c>
      <c r="H41" s="235">
        <f>Sucre!H38</f>
        <v>391</v>
      </c>
      <c r="I41" s="235">
        <f>Sucre!I38</f>
        <v>77</v>
      </c>
      <c r="J41" s="235">
        <f>Sucre!J38</f>
        <v>0</v>
      </c>
      <c r="K41" s="235">
        <f>Sucre!K38</f>
        <v>468</v>
      </c>
      <c r="L41" s="235">
        <f>Sucre!L38</f>
        <v>0</v>
      </c>
      <c r="M41" s="235">
        <f>Sucre!M38</f>
        <v>0</v>
      </c>
      <c r="N41" s="235">
        <f>Sucre!N38</f>
        <v>391</v>
      </c>
      <c r="O41" s="234">
        <f>Sucre!O38</f>
        <v>12</v>
      </c>
      <c r="P41" s="235">
        <f>Sucre!P38</f>
        <v>20</v>
      </c>
      <c r="Q41" s="235">
        <f>Sucre!Q38</f>
        <v>70</v>
      </c>
      <c r="R41" s="235">
        <f>Sucre!R38</f>
        <v>1</v>
      </c>
      <c r="S41" s="235">
        <f>Sucre!S38</f>
        <v>60</v>
      </c>
      <c r="T41" s="235">
        <f>Sucre!T38</f>
        <v>176</v>
      </c>
      <c r="U41" s="235">
        <f>Sucre!U38</f>
        <v>2</v>
      </c>
      <c r="V41" s="235">
        <f>Sucre!V38</f>
        <v>403</v>
      </c>
      <c r="W41" s="235">
        <f>Sucre!W38</f>
        <v>91</v>
      </c>
      <c r="X41" s="235">
        <f>Sucre!X38</f>
        <v>2</v>
      </c>
      <c r="Y41" s="235">
        <f>Sucre!Y38</f>
        <v>10</v>
      </c>
      <c r="Z41" s="235">
        <f>Sucre!Z38</f>
        <v>9</v>
      </c>
      <c r="AA41" s="235">
        <f>Sucre!AA38</f>
        <v>1</v>
      </c>
      <c r="AB41" s="235">
        <f>Sucre!AB38</f>
        <v>121</v>
      </c>
      <c r="AC41" s="235">
        <f>Sucre!AC38</f>
        <v>12</v>
      </c>
      <c r="AD41" s="235">
        <f>Sucre!AD38</f>
        <v>5</v>
      </c>
      <c r="AE41" s="235">
        <f>Sucre!AE38</f>
        <v>653</v>
      </c>
      <c r="AF41" s="235">
        <f>Sucre!AF38</f>
        <v>1</v>
      </c>
      <c r="AG41" s="235">
        <f>Sucre!AG38</f>
        <v>1</v>
      </c>
      <c r="AH41" s="235">
        <f>Sucre!AH38</f>
        <v>0</v>
      </c>
      <c r="AI41" s="235">
        <f>Sucre!AI38</f>
        <v>0</v>
      </c>
      <c r="AJ41" s="235">
        <f>Sucre!AJ38</f>
        <v>0</v>
      </c>
      <c r="AK41" s="235">
        <f>Sucre!AK38</f>
        <v>1267</v>
      </c>
      <c r="AL41" s="235">
        <f>Sucre!AL38</f>
        <v>359</v>
      </c>
      <c r="AM41" s="235">
        <f>Sucre!AM38</f>
        <v>1626</v>
      </c>
      <c r="AN41" s="234">
        <f>Sucre!AN38</f>
        <v>12</v>
      </c>
      <c r="AO41" s="53">
        <f t="shared" si="152"/>
        <v>3.0690537084398977</v>
      </c>
      <c r="AP41" s="53">
        <f t="shared" si="153"/>
        <v>3.0690537084398977</v>
      </c>
      <c r="AQ41" s="53">
        <f t="shared" si="154"/>
        <v>0.73800738007380073</v>
      </c>
      <c r="AR41" s="51">
        <f t="shared" si="155"/>
        <v>77.921279212792129</v>
      </c>
      <c r="AS41" s="51">
        <f t="shared" si="156"/>
        <v>22.078720787207871</v>
      </c>
      <c r="AT41" s="108">
        <f t="shared" si="157"/>
        <v>8.3333333333333321</v>
      </c>
      <c r="AU41" s="108">
        <f t="shared" si="158"/>
        <v>16.666666666666664</v>
      </c>
      <c r="AV41" s="108">
        <f t="shared" si="159"/>
        <v>16.666666666666664</v>
      </c>
      <c r="AW41" s="108">
        <f t="shared" si="160"/>
        <v>8.3333333333333321</v>
      </c>
      <c r="AX41" s="108">
        <f t="shared" si="161"/>
        <v>41.666666666666671</v>
      </c>
      <c r="AY41" s="108">
        <f t="shared" si="162"/>
        <v>8.3333333333333321</v>
      </c>
      <c r="AZ41" s="108">
        <f t="shared" si="163"/>
        <v>0</v>
      </c>
    </row>
    <row r="42" spans="1:52" s="237" customFormat="1" ht="20.25" customHeight="1">
      <c r="A42" s="202" t="s">
        <v>23</v>
      </c>
      <c r="B42" s="235">
        <f>'Villa Serrano'!B13</f>
        <v>3</v>
      </c>
      <c r="C42" s="235">
        <f>'Villa Serrano'!C13</f>
        <v>1195</v>
      </c>
      <c r="D42" s="236">
        <f>'Villa Serrano'!D13</f>
        <v>45744</v>
      </c>
      <c r="E42" s="236">
        <f>'Villa Serrano'!E13</f>
        <v>45777</v>
      </c>
      <c r="F42" s="235">
        <f>'Villa Serrano'!F13</f>
        <v>481</v>
      </c>
      <c r="G42" s="235">
        <f>'Villa Serrano'!G13</f>
        <v>0</v>
      </c>
      <c r="H42" s="235">
        <f>'Villa Serrano'!H13</f>
        <v>481</v>
      </c>
      <c r="I42" s="235">
        <f>'Villa Serrano'!I13</f>
        <v>0</v>
      </c>
      <c r="J42" s="235">
        <f>'Villa Serrano'!J13</f>
        <v>0</v>
      </c>
      <c r="K42" s="235">
        <f>'Villa Serrano'!K13</f>
        <v>481</v>
      </c>
      <c r="L42" s="235">
        <f>'Villa Serrano'!L13</f>
        <v>0</v>
      </c>
      <c r="M42" s="235">
        <f>'Villa Serrano'!M13</f>
        <v>0</v>
      </c>
      <c r="N42" s="235">
        <f>'Villa Serrano'!N13</f>
        <v>481</v>
      </c>
      <c r="O42" s="234">
        <f>'Villa Serrano'!O13</f>
        <v>14</v>
      </c>
      <c r="P42" s="235">
        <f>'Villa Serrano'!P13</f>
        <v>0</v>
      </c>
      <c r="Q42" s="235">
        <f>'Villa Serrano'!Q13</f>
        <v>25</v>
      </c>
      <c r="R42" s="235">
        <f>'Villa Serrano'!R13</f>
        <v>0</v>
      </c>
      <c r="S42" s="235">
        <f>'Villa Serrano'!S13</f>
        <v>4</v>
      </c>
      <c r="T42" s="235">
        <f>'Villa Serrano'!T13</f>
        <v>116</v>
      </c>
      <c r="U42" s="235">
        <f>'Villa Serrano'!U13</f>
        <v>4</v>
      </c>
      <c r="V42" s="235">
        <f>'Villa Serrano'!V13</f>
        <v>23</v>
      </c>
      <c r="W42" s="235">
        <f>'Villa Serrano'!W13</f>
        <v>51</v>
      </c>
      <c r="X42" s="235">
        <f>'Villa Serrano'!X13</f>
        <v>1</v>
      </c>
      <c r="Y42" s="235">
        <f>'Villa Serrano'!Y13</f>
        <v>0</v>
      </c>
      <c r="Z42" s="235">
        <f>'Villa Serrano'!Z13</f>
        <v>9</v>
      </c>
      <c r="AA42" s="235">
        <f>'Villa Serrano'!AA13</f>
        <v>0</v>
      </c>
      <c r="AB42" s="235">
        <f>'Villa Serrano'!AB13</f>
        <v>53</v>
      </c>
      <c r="AC42" s="235">
        <f>'Villa Serrano'!AC13</f>
        <v>69</v>
      </c>
      <c r="AD42" s="235">
        <f>'Villa Serrano'!AD13</f>
        <v>12</v>
      </c>
      <c r="AE42" s="235">
        <f>'Villa Serrano'!AE13</f>
        <v>151</v>
      </c>
      <c r="AF42" s="235">
        <f>'Villa Serrano'!AF13</f>
        <v>256</v>
      </c>
      <c r="AG42" s="235">
        <f>'Villa Serrano'!AG13</f>
        <v>7</v>
      </c>
      <c r="AH42" s="235">
        <f>'Villa Serrano'!AH13</f>
        <v>0</v>
      </c>
      <c r="AI42" s="235">
        <f>'Villa Serrano'!AI13</f>
        <v>0</v>
      </c>
      <c r="AJ42" s="235">
        <f>'Villa Serrano'!AJ13</f>
        <v>0</v>
      </c>
      <c r="AK42" s="235">
        <f>'Villa Serrano'!AK13</f>
        <v>231</v>
      </c>
      <c r="AL42" s="235">
        <f>'Villa Serrano'!AL13</f>
        <v>526</v>
      </c>
      <c r="AM42" s="235">
        <f>'Villa Serrano'!AM13</f>
        <v>757</v>
      </c>
      <c r="AN42" s="234">
        <f>'Villa Serrano'!AN13</f>
        <v>24</v>
      </c>
      <c r="AO42" s="53">
        <f t="shared" si="152"/>
        <v>2.9106029106029108</v>
      </c>
      <c r="AP42" s="53">
        <f t="shared" si="153"/>
        <v>4.9896049896049899</v>
      </c>
      <c r="AQ42" s="53">
        <f t="shared" si="154"/>
        <v>3.1704095112285335</v>
      </c>
      <c r="AR42" s="51">
        <f t="shared" si="155"/>
        <v>30.515191545574638</v>
      </c>
      <c r="AS42" s="51">
        <f t="shared" si="156"/>
        <v>69.484808454425362</v>
      </c>
      <c r="AT42" s="108">
        <f t="shared" si="157"/>
        <v>0</v>
      </c>
      <c r="AU42" s="108">
        <f t="shared" si="158"/>
        <v>16.666666666666664</v>
      </c>
      <c r="AV42" s="108">
        <f t="shared" si="159"/>
        <v>4.1666666666666661</v>
      </c>
      <c r="AW42" s="108">
        <f t="shared" si="160"/>
        <v>0</v>
      </c>
      <c r="AX42" s="108">
        <f t="shared" si="161"/>
        <v>50</v>
      </c>
      <c r="AY42" s="108">
        <f t="shared" si="162"/>
        <v>29.166666666666668</v>
      </c>
      <c r="AZ42" s="108">
        <f t="shared" si="163"/>
        <v>0</v>
      </c>
    </row>
    <row r="43" spans="1:52" s="237" customFormat="1" ht="20.25" customHeight="1">
      <c r="A43" s="202" t="s">
        <v>49</v>
      </c>
      <c r="B43" s="235">
        <f>Padilla!B22</f>
        <v>3</v>
      </c>
      <c r="C43" s="235">
        <f>Padilla!C22</f>
        <v>667</v>
      </c>
      <c r="D43" s="236">
        <f>Padilla!D22</f>
        <v>45706</v>
      </c>
      <c r="E43" s="236">
        <f>Padilla!E22</f>
        <v>45763</v>
      </c>
      <c r="F43" s="235">
        <f>Padilla!F22</f>
        <v>222</v>
      </c>
      <c r="G43" s="235">
        <f>Padilla!G22</f>
        <v>0</v>
      </c>
      <c r="H43" s="235">
        <f>Padilla!H22</f>
        <v>222</v>
      </c>
      <c r="I43" s="235">
        <f>Padilla!I22</f>
        <v>33</v>
      </c>
      <c r="J43" s="235">
        <f>Padilla!J22</f>
        <v>0</v>
      </c>
      <c r="K43" s="235">
        <f>Padilla!K22</f>
        <v>255</v>
      </c>
      <c r="L43" s="235">
        <f>Padilla!L22</f>
        <v>0</v>
      </c>
      <c r="M43" s="235">
        <f>Padilla!M22</f>
        <v>0</v>
      </c>
      <c r="N43" s="235">
        <f>Padilla!N22</f>
        <v>222</v>
      </c>
      <c r="O43" s="234">
        <f>Padilla!O22</f>
        <v>49</v>
      </c>
      <c r="P43" s="235">
        <f>Padilla!P22</f>
        <v>0</v>
      </c>
      <c r="Q43" s="235">
        <f>Padilla!Q22</f>
        <v>21</v>
      </c>
      <c r="R43" s="235">
        <f>Padilla!R22</f>
        <v>1</v>
      </c>
      <c r="S43" s="235">
        <f>Padilla!S22</f>
        <v>1</v>
      </c>
      <c r="T43" s="235">
        <f>Padilla!T22</f>
        <v>67</v>
      </c>
      <c r="U43" s="235">
        <f>Padilla!U22</f>
        <v>19</v>
      </c>
      <c r="V43" s="235">
        <f>Padilla!V22</f>
        <v>369</v>
      </c>
      <c r="W43" s="235">
        <f>Padilla!W22</f>
        <v>287</v>
      </c>
      <c r="X43" s="235">
        <f>Padilla!X22</f>
        <v>43</v>
      </c>
      <c r="Y43" s="235">
        <f>Padilla!Y22</f>
        <v>0</v>
      </c>
      <c r="Z43" s="235">
        <f>Padilla!Z22</f>
        <v>133</v>
      </c>
      <c r="AA43" s="235">
        <f>Padilla!AA22</f>
        <v>4</v>
      </c>
      <c r="AB43" s="235">
        <f>Padilla!AB22</f>
        <v>32</v>
      </c>
      <c r="AC43" s="235">
        <f>Padilla!AC22</f>
        <v>29</v>
      </c>
      <c r="AD43" s="235">
        <f>Padilla!AD22</f>
        <v>23</v>
      </c>
      <c r="AE43" s="235">
        <f>Padilla!AE22</f>
        <v>327</v>
      </c>
      <c r="AF43" s="235">
        <f>Padilla!AF22</f>
        <v>4</v>
      </c>
      <c r="AG43" s="235">
        <f>Padilla!AG22</f>
        <v>2</v>
      </c>
      <c r="AH43" s="235">
        <f>Padilla!AH22</f>
        <v>0</v>
      </c>
      <c r="AI43" s="235">
        <f>Padilla!AI22</f>
        <v>0</v>
      </c>
      <c r="AJ43" s="235">
        <f>Padilla!AJ22</f>
        <v>0</v>
      </c>
      <c r="AK43" s="235">
        <f>Padilla!AK22</f>
        <v>729</v>
      </c>
      <c r="AL43" s="235">
        <f>Padilla!AL22</f>
        <v>541</v>
      </c>
      <c r="AM43" s="235">
        <f>Padilla!AM22</f>
        <v>1270</v>
      </c>
      <c r="AN43" s="234">
        <f>Padilla!AN22</f>
        <v>92</v>
      </c>
      <c r="AO43" s="53">
        <f t="shared" si="152"/>
        <v>22.072072072072071</v>
      </c>
      <c r="AP43" s="53">
        <f t="shared" si="153"/>
        <v>41.441441441441441</v>
      </c>
      <c r="AQ43" s="53">
        <f t="shared" si="154"/>
        <v>7.2440944881889759</v>
      </c>
      <c r="AR43" s="51">
        <f t="shared" si="155"/>
        <v>57.4015748031496</v>
      </c>
      <c r="AS43" s="51">
        <f t="shared" si="156"/>
        <v>42.598425196850393</v>
      </c>
      <c r="AT43" s="108">
        <f t="shared" si="157"/>
        <v>1.0869565217391304</v>
      </c>
      <c r="AU43" s="108">
        <f t="shared" si="158"/>
        <v>20.652173913043477</v>
      </c>
      <c r="AV43" s="108">
        <f t="shared" si="159"/>
        <v>46.739130434782609</v>
      </c>
      <c r="AW43" s="108">
        <f t="shared" si="160"/>
        <v>4.3478260869565215</v>
      </c>
      <c r="AX43" s="108">
        <f t="shared" si="161"/>
        <v>25</v>
      </c>
      <c r="AY43" s="108">
        <f t="shared" si="162"/>
        <v>2.1739130434782608</v>
      </c>
      <c r="AZ43" s="108">
        <f t="shared" si="163"/>
        <v>0</v>
      </c>
    </row>
    <row r="44" spans="1:52" s="237" customFormat="1" ht="20.25" customHeight="1">
      <c r="A44" s="202" t="s">
        <v>156</v>
      </c>
      <c r="B44" s="235">
        <f>Yamparaez!B21</f>
        <v>5</v>
      </c>
      <c r="C44" s="235">
        <f>Yamparaez!C21</f>
        <v>732</v>
      </c>
      <c r="D44" s="236">
        <f>Yamparaez!D21</f>
        <v>45748</v>
      </c>
      <c r="E44" s="236">
        <f>Yamparaez!E21</f>
        <v>45771</v>
      </c>
      <c r="F44" s="235">
        <f>Yamparaez!F21</f>
        <v>361</v>
      </c>
      <c r="G44" s="235">
        <f>Yamparaez!G21</f>
        <v>0</v>
      </c>
      <c r="H44" s="235">
        <f>Yamparaez!H21</f>
        <v>361</v>
      </c>
      <c r="I44" s="235">
        <f>Yamparaez!I21</f>
        <v>34</v>
      </c>
      <c r="J44" s="235">
        <f>Yamparaez!J21</f>
        <v>0</v>
      </c>
      <c r="K44" s="235">
        <f>Yamparaez!K21</f>
        <v>395</v>
      </c>
      <c r="L44" s="235">
        <f>Yamparaez!L21</f>
        <v>0</v>
      </c>
      <c r="M44" s="235">
        <f>Yamparaez!M21</f>
        <v>0</v>
      </c>
      <c r="N44" s="235">
        <f>Yamparaez!N21</f>
        <v>361</v>
      </c>
      <c r="O44" s="234">
        <f>Yamparaez!O21</f>
        <v>0</v>
      </c>
      <c r="P44" s="235">
        <f>Yamparaez!P21</f>
        <v>12</v>
      </c>
      <c r="Q44" s="235">
        <f>Yamparaez!Q21</f>
        <v>33</v>
      </c>
      <c r="R44" s="235">
        <f>Yamparaez!R21</f>
        <v>0</v>
      </c>
      <c r="S44" s="235">
        <f>Yamparaez!S21</f>
        <v>34</v>
      </c>
      <c r="T44" s="235">
        <f>Yamparaez!T21</f>
        <v>57</v>
      </c>
      <c r="U44" s="235">
        <f>Yamparaez!U21</f>
        <v>0</v>
      </c>
      <c r="V44" s="235">
        <f>Yamparaez!V21</f>
        <v>79</v>
      </c>
      <c r="W44" s="235">
        <f>Yamparaez!W21</f>
        <v>150</v>
      </c>
      <c r="X44" s="235">
        <f>Yamparaez!X21</f>
        <v>0</v>
      </c>
      <c r="Y44" s="235">
        <f>Yamparaez!Y21</f>
        <v>110</v>
      </c>
      <c r="Z44" s="235">
        <f>Yamparaez!Z21</f>
        <v>28</v>
      </c>
      <c r="AA44" s="235">
        <f>Yamparaez!AA21</f>
        <v>0</v>
      </c>
      <c r="AB44" s="235">
        <f>Yamparaez!AB21</f>
        <v>89</v>
      </c>
      <c r="AC44" s="235">
        <f>Yamparaez!AC21</f>
        <v>26</v>
      </c>
      <c r="AD44" s="235">
        <f>Yamparaez!AD21</f>
        <v>0</v>
      </c>
      <c r="AE44" s="235">
        <f>Yamparaez!AE21</f>
        <v>62</v>
      </c>
      <c r="AF44" s="235">
        <f>Yamparaez!AF21</f>
        <v>55</v>
      </c>
      <c r="AG44" s="235">
        <f>Yamparaez!AG21</f>
        <v>0</v>
      </c>
      <c r="AH44" s="235">
        <f>Yamparaez!AH21</f>
        <v>14</v>
      </c>
      <c r="AI44" s="235">
        <f>Yamparaez!AI21</f>
        <v>14</v>
      </c>
      <c r="AJ44" s="235">
        <f>Yamparaez!AJ21</f>
        <v>0</v>
      </c>
      <c r="AK44" s="235">
        <f>Yamparaez!AK21</f>
        <v>400</v>
      </c>
      <c r="AL44" s="235">
        <f>Yamparaez!AL21</f>
        <v>363</v>
      </c>
      <c r="AM44" s="235">
        <f>Yamparaez!AM21</f>
        <v>763</v>
      </c>
      <c r="AN44" s="234">
        <f>Yamparaez!AN21</f>
        <v>0</v>
      </c>
      <c r="AO44" s="53">
        <f t="shared" si="152"/>
        <v>0</v>
      </c>
      <c r="AP44" s="53">
        <f t="shared" si="153"/>
        <v>0</v>
      </c>
      <c r="AQ44" s="53">
        <f t="shared" si="154"/>
        <v>0</v>
      </c>
      <c r="AR44" s="51">
        <f t="shared" si="155"/>
        <v>52.424639580602886</v>
      </c>
      <c r="AS44" s="51">
        <f t="shared" si="156"/>
        <v>47.575360419397114</v>
      </c>
      <c r="AT44" s="108" t="e">
        <f t="shared" si="157"/>
        <v>#DIV/0!</v>
      </c>
      <c r="AU44" s="108" t="e">
        <f t="shared" si="158"/>
        <v>#DIV/0!</v>
      </c>
      <c r="AV44" s="108" t="e">
        <f t="shared" si="159"/>
        <v>#DIV/0!</v>
      </c>
      <c r="AW44" s="108" t="e">
        <f t="shared" si="160"/>
        <v>#DIV/0!</v>
      </c>
      <c r="AX44" s="108" t="e">
        <f t="shared" si="161"/>
        <v>#DIV/0!</v>
      </c>
      <c r="AY44" s="108" t="e">
        <f t="shared" si="162"/>
        <v>#DIV/0!</v>
      </c>
      <c r="AZ44" s="108" t="e">
        <f t="shared" si="163"/>
        <v>#DIV/0!</v>
      </c>
    </row>
    <row r="45" spans="1:52" s="237" customFormat="1" ht="20.25" customHeight="1">
      <c r="A45" s="202" t="s">
        <v>277</v>
      </c>
      <c r="B45" s="235">
        <f>Camargo!B7</f>
        <v>1</v>
      </c>
      <c r="C45" s="235">
        <f>Camargo!C7</f>
        <v>381</v>
      </c>
      <c r="D45" s="236">
        <f>Camargo!D7</f>
        <v>45757</v>
      </c>
      <c r="E45" s="236">
        <f>Camargo!E7</f>
        <v>45776</v>
      </c>
      <c r="F45" s="235">
        <f>Camargo!F7</f>
        <v>86</v>
      </c>
      <c r="G45" s="235">
        <f>Camargo!G7</f>
        <v>0</v>
      </c>
      <c r="H45" s="235">
        <f>Camargo!H7</f>
        <v>86</v>
      </c>
      <c r="I45" s="235">
        <f>Camargo!I7</f>
        <v>0</v>
      </c>
      <c r="J45" s="235">
        <f>Camargo!J7</f>
        <v>0</v>
      </c>
      <c r="K45" s="235">
        <f>Camargo!K7</f>
        <v>86</v>
      </c>
      <c r="L45" s="235">
        <f>Camargo!L7</f>
        <v>0</v>
      </c>
      <c r="M45" s="235">
        <f>Camargo!M7</f>
        <v>0</v>
      </c>
      <c r="N45" s="235">
        <f>Camargo!N7</f>
        <v>86</v>
      </c>
      <c r="O45" s="235">
        <f>Camargo!O7</f>
        <v>0</v>
      </c>
      <c r="P45" s="235">
        <f>Camargo!P7</f>
        <v>0</v>
      </c>
      <c r="Q45" s="235">
        <f>Camargo!Q7</f>
        <v>54</v>
      </c>
      <c r="R45" s="235">
        <f>Camargo!R7</f>
        <v>0</v>
      </c>
      <c r="S45" s="235">
        <f>Camargo!S7</f>
        <v>31</v>
      </c>
      <c r="T45" s="235">
        <f>Camargo!T7</f>
        <v>38</v>
      </c>
      <c r="U45" s="235">
        <f>Camargo!U7</f>
        <v>0</v>
      </c>
      <c r="V45" s="235">
        <f>Camargo!V7</f>
        <v>0</v>
      </c>
      <c r="W45" s="235">
        <f>Camargo!W7</f>
        <v>0</v>
      </c>
      <c r="X45" s="235">
        <f>Camargo!X7</f>
        <v>0</v>
      </c>
      <c r="Y45" s="235">
        <f>Camargo!Y7</f>
        <v>9</v>
      </c>
      <c r="Z45" s="235">
        <f>Camargo!Z7</f>
        <v>108</v>
      </c>
      <c r="AA45" s="235">
        <f>Camargo!AA7</f>
        <v>0</v>
      </c>
      <c r="AB45" s="235">
        <f>Camargo!AB7</f>
        <v>68</v>
      </c>
      <c r="AC45" s="235">
        <f>Camargo!AC7</f>
        <v>41</v>
      </c>
      <c r="AD45" s="235">
        <f>Camargo!AD7</f>
        <v>0</v>
      </c>
      <c r="AE45" s="235">
        <f>Camargo!AE7</f>
        <v>1334</v>
      </c>
      <c r="AF45" s="235">
        <f>Camargo!AF7</f>
        <v>271</v>
      </c>
      <c r="AG45" s="235">
        <f>Camargo!AG7</f>
        <v>0</v>
      </c>
      <c r="AH45" s="235">
        <f>Camargo!AH7</f>
        <v>0</v>
      </c>
      <c r="AI45" s="235">
        <f>Camargo!AI7</f>
        <v>0</v>
      </c>
      <c r="AJ45" s="235">
        <f>Camargo!AJ7</f>
        <v>0</v>
      </c>
      <c r="AK45" s="235">
        <f>Camargo!AK7</f>
        <v>1442</v>
      </c>
      <c r="AL45" s="235">
        <f>Camargo!AL7</f>
        <v>512</v>
      </c>
      <c r="AM45" s="235">
        <f>Camargo!AM7</f>
        <v>1954</v>
      </c>
      <c r="AN45" s="235">
        <f>Camargo!AN7</f>
        <v>0</v>
      </c>
      <c r="AO45" s="53">
        <f t="shared" ref="AO45" si="164">O45/H45*100</f>
        <v>0</v>
      </c>
      <c r="AP45" s="53">
        <f t="shared" ref="AP45" si="165">AN45/H45*100</f>
        <v>0</v>
      </c>
      <c r="AQ45" s="53">
        <f t="shared" ref="AQ45" si="166">AN45/AM45*100</f>
        <v>0</v>
      </c>
      <c r="AR45" s="51">
        <f t="shared" ref="AR45" si="167">AK45/AM45*100</f>
        <v>73.797338792221083</v>
      </c>
      <c r="AS45" s="51">
        <f t="shared" ref="AS45" si="168">AL45/AM45*100</f>
        <v>26.202661207778917</v>
      </c>
      <c r="AT45" s="108" t="e">
        <f t="shared" ref="AT45" si="169">R45/AN45*100</f>
        <v>#DIV/0!</v>
      </c>
      <c r="AU45" s="108" t="e">
        <f t="shared" ref="AU45" si="170">U45/AN45*100</f>
        <v>#DIV/0!</v>
      </c>
      <c r="AV45" s="108" t="e">
        <f t="shared" ref="AV45" si="171">X45/AN45*100</f>
        <v>#DIV/0!</v>
      </c>
      <c r="AW45" s="108" t="e">
        <f t="shared" ref="AW45" si="172">AA45/AN45*100</f>
        <v>#DIV/0!</v>
      </c>
      <c r="AX45" s="108" t="e">
        <f t="shared" ref="AX45" si="173">AD45/AN45*100</f>
        <v>#DIV/0!</v>
      </c>
      <c r="AY45" s="108" t="e">
        <f t="shared" ref="AY45" si="174">AG45/AN45*100</f>
        <v>#DIV/0!</v>
      </c>
      <c r="AZ45" s="108" t="e">
        <f t="shared" ref="AZ45" si="175">AJ45/AN45*100</f>
        <v>#DIV/0!</v>
      </c>
    </row>
    <row r="46" spans="1:52" s="40" customFormat="1" ht="20.25" customHeight="1">
      <c r="A46" s="207" t="s">
        <v>254</v>
      </c>
      <c r="B46" s="207">
        <f>SUM(B36:B44)</f>
        <v>60</v>
      </c>
      <c r="C46" s="207">
        <f>SUM(C36:C44)</f>
        <v>11056</v>
      </c>
      <c r="D46" s="124">
        <f>MIN(D36:D44)</f>
        <v>45706</v>
      </c>
      <c r="E46" s="124">
        <f>MAX(E36:E44)</f>
        <v>45777</v>
      </c>
      <c r="F46" s="207">
        <f t="shared" ref="F46:AJ46" si="176">SUM(F36:F44)</f>
        <v>4289</v>
      </c>
      <c r="G46" s="207">
        <f t="shared" si="176"/>
        <v>0</v>
      </c>
      <c r="H46" s="207">
        <f t="shared" si="176"/>
        <v>4289</v>
      </c>
      <c r="I46" s="207">
        <f t="shared" si="176"/>
        <v>217</v>
      </c>
      <c r="J46" s="207">
        <f t="shared" si="176"/>
        <v>0</v>
      </c>
      <c r="K46" s="207">
        <f t="shared" si="176"/>
        <v>4506</v>
      </c>
      <c r="L46" s="207">
        <f t="shared" si="176"/>
        <v>0</v>
      </c>
      <c r="M46" s="207">
        <f t="shared" si="176"/>
        <v>0</v>
      </c>
      <c r="N46" s="207">
        <f t="shared" si="176"/>
        <v>4300</v>
      </c>
      <c r="O46" s="178">
        <f t="shared" si="176"/>
        <v>314</v>
      </c>
      <c r="P46" s="207">
        <f t="shared" si="176"/>
        <v>33</v>
      </c>
      <c r="Q46" s="207">
        <f t="shared" si="176"/>
        <v>171</v>
      </c>
      <c r="R46" s="207">
        <f t="shared" si="176"/>
        <v>3</v>
      </c>
      <c r="S46" s="207">
        <f t="shared" si="176"/>
        <v>157</v>
      </c>
      <c r="T46" s="207">
        <f t="shared" si="176"/>
        <v>1303</v>
      </c>
      <c r="U46" s="207">
        <f t="shared" si="176"/>
        <v>129</v>
      </c>
      <c r="V46" s="207">
        <f t="shared" si="176"/>
        <v>1383</v>
      </c>
      <c r="W46" s="207">
        <f t="shared" si="176"/>
        <v>1429</v>
      </c>
      <c r="X46" s="207">
        <f t="shared" si="176"/>
        <v>118</v>
      </c>
      <c r="Y46" s="207">
        <f t="shared" si="176"/>
        <v>179</v>
      </c>
      <c r="Z46" s="207">
        <f t="shared" si="176"/>
        <v>314</v>
      </c>
      <c r="AA46" s="207">
        <f t="shared" si="176"/>
        <v>35</v>
      </c>
      <c r="AB46" s="207">
        <f t="shared" si="176"/>
        <v>694</v>
      </c>
      <c r="AC46" s="207">
        <f t="shared" si="176"/>
        <v>714</v>
      </c>
      <c r="AD46" s="207">
        <f t="shared" si="176"/>
        <v>153</v>
      </c>
      <c r="AE46" s="207">
        <f t="shared" si="176"/>
        <v>2911</v>
      </c>
      <c r="AF46" s="207">
        <f t="shared" si="176"/>
        <v>1114</v>
      </c>
      <c r="AG46" s="207">
        <f t="shared" si="176"/>
        <v>65</v>
      </c>
      <c r="AH46" s="207">
        <f t="shared" si="176"/>
        <v>14</v>
      </c>
      <c r="AI46" s="207">
        <f t="shared" si="176"/>
        <v>47</v>
      </c>
      <c r="AJ46" s="207">
        <f t="shared" si="176"/>
        <v>12</v>
      </c>
      <c r="AK46" s="83">
        <f>P46+S46+V46+Y46+AB46+AE46+AH46</f>
        <v>5371</v>
      </c>
      <c r="AL46" s="83">
        <f>Q46+T46+W46+Z46+AC46+AF46+AI46</f>
        <v>5092</v>
      </c>
      <c r="AM46" s="83">
        <f>AK46+AL46</f>
        <v>10463</v>
      </c>
      <c r="AN46" s="178">
        <f>R46+U46+X46+AA46+AD46+AG46+AJ46</f>
        <v>515</v>
      </c>
      <c r="AO46" s="85">
        <f t="shared" ref="AO46:AO47" si="177">O46/H46*100</f>
        <v>7.3210538587083231</v>
      </c>
      <c r="AP46" s="85">
        <f t="shared" ref="AP46:AP47" si="178">AN46/H46*100</f>
        <v>12.007460946607601</v>
      </c>
      <c r="AQ46" s="85">
        <f t="shared" ref="AQ46:AQ47" si="179">AN46/AM46*100</f>
        <v>4.9221064704195738</v>
      </c>
      <c r="AR46" s="85">
        <f t="shared" ref="AR46:AR47" si="180">AK46/AM46*100</f>
        <v>51.333269616744715</v>
      </c>
      <c r="AS46" s="85">
        <f t="shared" ref="AS46:AS47" si="181">AL46/AM46*100</f>
        <v>48.666730383255278</v>
      </c>
      <c r="AT46" s="85">
        <f t="shared" ref="AT46:AT47" si="182">R46/AN46*100</f>
        <v>0.58252427184466016</v>
      </c>
      <c r="AU46" s="85">
        <f t="shared" ref="AU46:AU47" si="183">U46/AN46*100</f>
        <v>25.04854368932039</v>
      </c>
      <c r="AV46" s="85">
        <f t="shared" ref="AV46:AV47" si="184">X46/AN46*100</f>
        <v>22.912621359223301</v>
      </c>
      <c r="AW46" s="85">
        <f t="shared" ref="AW46:AW47" si="185">AA46/AN46*100</f>
        <v>6.7961165048543686</v>
      </c>
      <c r="AX46" s="85">
        <f t="shared" ref="AX46:AX47" si="186">AD46/AN46*100</f>
        <v>29.708737864077673</v>
      </c>
      <c r="AY46" s="85">
        <f t="shared" ref="AY46:AY47" si="187">AG46/AN46*100</f>
        <v>12.621359223300971</v>
      </c>
      <c r="AZ46" s="85">
        <f t="shared" ref="AZ46:AZ47" si="188">AJ46/AN46*100</f>
        <v>2.3300970873786406</v>
      </c>
    </row>
    <row r="47" spans="1:52" s="237" customFormat="1" ht="20.25" customHeight="1">
      <c r="A47" s="202" t="s">
        <v>24</v>
      </c>
      <c r="B47" s="235">
        <f>Monteagudo!B74</f>
        <v>2</v>
      </c>
      <c r="C47" s="235">
        <f>Monteagudo!C74</f>
        <v>440</v>
      </c>
      <c r="D47" s="236">
        <f>Monteagudo!D74</f>
        <v>45779</v>
      </c>
      <c r="E47" s="236">
        <f>Monteagudo!E74</f>
        <v>45786</v>
      </c>
      <c r="F47" s="235">
        <f>Monteagudo!F74</f>
        <v>120</v>
      </c>
      <c r="G47" s="235">
        <f>Monteagudo!G74</f>
        <v>0</v>
      </c>
      <c r="H47" s="235">
        <f>Monteagudo!H74</f>
        <v>120</v>
      </c>
      <c r="I47" s="235">
        <f>Monteagudo!I74</f>
        <v>0</v>
      </c>
      <c r="J47" s="235">
        <f>Monteagudo!J74</f>
        <v>0</v>
      </c>
      <c r="K47" s="235">
        <f>Monteagudo!K74</f>
        <v>120</v>
      </c>
      <c r="L47" s="235">
        <f>Monteagudo!L74</f>
        <v>0</v>
      </c>
      <c r="M47" s="235">
        <f>Monteagudo!M74</f>
        <v>0</v>
      </c>
      <c r="N47" s="235">
        <f>Monteagudo!N74</f>
        <v>120</v>
      </c>
      <c r="O47" s="235">
        <f>Monteagudo!O74</f>
        <v>8</v>
      </c>
      <c r="P47" s="235">
        <f>Monteagudo!P74</f>
        <v>0</v>
      </c>
      <c r="Q47" s="235">
        <f>Monteagudo!Q74</f>
        <v>0</v>
      </c>
      <c r="R47" s="235">
        <f>Monteagudo!R74</f>
        <v>0</v>
      </c>
      <c r="S47" s="235">
        <f>Monteagudo!S74</f>
        <v>0</v>
      </c>
      <c r="T47" s="235">
        <f>Monteagudo!T74</f>
        <v>10</v>
      </c>
      <c r="U47" s="235">
        <f>Monteagudo!U74</f>
        <v>0</v>
      </c>
      <c r="V47" s="235">
        <f>Monteagudo!V74</f>
        <v>0</v>
      </c>
      <c r="W47" s="235">
        <f>Monteagudo!W74</f>
        <v>0</v>
      </c>
      <c r="X47" s="235">
        <f>Monteagudo!X74</f>
        <v>0</v>
      </c>
      <c r="Y47" s="235">
        <f>Monteagudo!Y74</f>
        <v>0</v>
      </c>
      <c r="Z47" s="235">
        <f>Monteagudo!Z74</f>
        <v>7</v>
      </c>
      <c r="AA47" s="235">
        <f>Monteagudo!AA74</f>
        <v>0</v>
      </c>
      <c r="AB47" s="235">
        <f>Monteagudo!AB74</f>
        <v>0</v>
      </c>
      <c r="AC47" s="235">
        <f>Monteagudo!AC74</f>
        <v>16</v>
      </c>
      <c r="AD47" s="235">
        <f>Monteagudo!AD74</f>
        <v>8</v>
      </c>
      <c r="AE47" s="235">
        <f>Monteagudo!AE74</f>
        <v>0</v>
      </c>
      <c r="AF47" s="235">
        <f>Monteagudo!AF74</f>
        <v>108</v>
      </c>
      <c r="AG47" s="235">
        <f>Monteagudo!AG74</f>
        <v>0</v>
      </c>
      <c r="AH47" s="235">
        <f>Monteagudo!AH74</f>
        <v>0</v>
      </c>
      <c r="AI47" s="235">
        <f>Monteagudo!AI74</f>
        <v>0</v>
      </c>
      <c r="AJ47" s="235">
        <f>Monteagudo!AJ74</f>
        <v>0</v>
      </c>
      <c r="AK47" s="235">
        <f>Monteagudo!AK74</f>
        <v>0</v>
      </c>
      <c r="AL47" s="235">
        <f>Monteagudo!AL74</f>
        <v>141</v>
      </c>
      <c r="AM47" s="235">
        <f>Monteagudo!AM74</f>
        <v>141</v>
      </c>
      <c r="AN47" s="235">
        <f>Monteagudo!AN74</f>
        <v>8</v>
      </c>
      <c r="AO47" s="53">
        <f t="shared" si="177"/>
        <v>6.666666666666667</v>
      </c>
      <c r="AP47" s="53">
        <f t="shared" si="178"/>
        <v>6.666666666666667</v>
      </c>
      <c r="AQ47" s="53">
        <f t="shared" si="179"/>
        <v>5.6737588652482271</v>
      </c>
      <c r="AR47" s="51">
        <f t="shared" si="180"/>
        <v>0</v>
      </c>
      <c r="AS47" s="51">
        <f t="shared" si="181"/>
        <v>100</v>
      </c>
      <c r="AT47" s="108">
        <f t="shared" si="182"/>
        <v>0</v>
      </c>
      <c r="AU47" s="108">
        <f t="shared" si="183"/>
        <v>0</v>
      </c>
      <c r="AV47" s="108">
        <f t="shared" si="184"/>
        <v>0</v>
      </c>
      <c r="AW47" s="108">
        <f t="shared" si="185"/>
        <v>0</v>
      </c>
      <c r="AX47" s="108">
        <f t="shared" si="186"/>
        <v>100</v>
      </c>
      <c r="AY47" s="108">
        <f t="shared" si="187"/>
        <v>0</v>
      </c>
      <c r="AZ47" s="108">
        <f t="shared" si="188"/>
        <v>0</v>
      </c>
    </row>
    <row r="48" spans="1:52" s="237" customFormat="1" ht="20.25" customHeight="1">
      <c r="A48" s="202" t="s">
        <v>105</v>
      </c>
      <c r="B48" s="235">
        <f>Machareti!B37</f>
        <v>2</v>
      </c>
      <c r="C48" s="270">
        <f>Machareti!C37</f>
        <v>2988</v>
      </c>
      <c r="D48" s="236">
        <f>Machareti!D37</f>
        <v>45797</v>
      </c>
      <c r="E48" s="236">
        <f>Machareti!E37</f>
        <v>45805</v>
      </c>
      <c r="F48" s="270">
        <f>Machareti!F37</f>
        <v>113</v>
      </c>
      <c r="G48" s="270">
        <f>Machareti!G37</f>
        <v>0</v>
      </c>
      <c r="H48" s="270">
        <f>Machareti!H37</f>
        <v>113</v>
      </c>
      <c r="I48" s="270">
        <f>Machareti!I37</f>
        <v>0</v>
      </c>
      <c r="J48" s="270">
        <f>Machareti!J37</f>
        <v>0</v>
      </c>
      <c r="K48" s="270">
        <f>Machareti!K37</f>
        <v>113</v>
      </c>
      <c r="L48" s="270">
        <f>Machareti!L37</f>
        <v>0</v>
      </c>
      <c r="M48" s="270">
        <f>Machareti!M37</f>
        <v>0</v>
      </c>
      <c r="N48" s="270">
        <f>Machareti!N37</f>
        <v>113</v>
      </c>
      <c r="O48" s="270">
        <f>Machareti!O37</f>
        <v>25</v>
      </c>
      <c r="P48" s="270">
        <f>Machareti!P37</f>
        <v>0</v>
      </c>
      <c r="Q48" s="270">
        <f>Machareti!Q37</f>
        <v>0</v>
      </c>
      <c r="R48" s="270">
        <f>Machareti!R37</f>
        <v>0</v>
      </c>
      <c r="S48" s="270">
        <f>Machareti!S37</f>
        <v>0</v>
      </c>
      <c r="T48" s="270">
        <f>Machareti!T37</f>
        <v>227</v>
      </c>
      <c r="U48" s="270">
        <f>Machareti!U37</f>
        <v>13</v>
      </c>
      <c r="V48" s="270">
        <f>Machareti!V37</f>
        <v>0</v>
      </c>
      <c r="W48" s="270">
        <f>Machareti!W37</f>
        <v>50</v>
      </c>
      <c r="X48" s="270">
        <f>Machareti!X37</f>
        <v>7</v>
      </c>
      <c r="Y48" s="270">
        <f>Machareti!Y37</f>
        <v>1</v>
      </c>
      <c r="Z48" s="270">
        <f>Machareti!Z37</f>
        <v>17</v>
      </c>
      <c r="AA48" s="270">
        <f>Machareti!AA37</f>
        <v>7</v>
      </c>
      <c r="AB48" s="270">
        <f>Machareti!AB37</f>
        <v>4</v>
      </c>
      <c r="AC48" s="270">
        <f>Machareti!AC37</f>
        <v>9</v>
      </c>
      <c r="AD48" s="270">
        <f>Machareti!AD37</f>
        <v>4</v>
      </c>
      <c r="AE48" s="270">
        <f>Machareti!AE37</f>
        <v>37</v>
      </c>
      <c r="AF48" s="270">
        <f>Machareti!AF37</f>
        <v>17</v>
      </c>
      <c r="AG48" s="270">
        <f>Machareti!AG37</f>
        <v>6</v>
      </c>
      <c r="AH48" s="270">
        <f>Machareti!AH37</f>
        <v>0</v>
      </c>
      <c r="AI48" s="270">
        <f>Machareti!AI37</f>
        <v>0</v>
      </c>
      <c r="AJ48" s="270">
        <f>Machareti!AJ37</f>
        <v>0</v>
      </c>
      <c r="AK48" s="270">
        <f>Machareti!AK37</f>
        <v>42</v>
      </c>
      <c r="AL48" s="270">
        <f>Machareti!AL37</f>
        <v>320</v>
      </c>
      <c r="AM48" s="270">
        <f>Machareti!AM37</f>
        <v>362</v>
      </c>
      <c r="AN48" s="270">
        <f>Machareti!AN37</f>
        <v>37</v>
      </c>
      <c r="AO48" s="53">
        <f t="shared" ref="AO48" si="189">O48/H48*100</f>
        <v>22.123893805309734</v>
      </c>
      <c r="AP48" s="53">
        <f t="shared" ref="AP48" si="190">AN48/H48*100</f>
        <v>32.743362831858406</v>
      </c>
      <c r="AQ48" s="53">
        <f t="shared" ref="AQ48" si="191">AN48/AM48*100</f>
        <v>10.220994475138122</v>
      </c>
      <c r="AR48" s="51">
        <f t="shared" ref="AR48" si="192">AK48/AM48*100</f>
        <v>11.602209944751381</v>
      </c>
      <c r="AS48" s="51">
        <f t="shared" ref="AS48" si="193">AL48/AM48*100</f>
        <v>88.39779005524862</v>
      </c>
      <c r="AT48" s="108">
        <f t="shared" ref="AT48" si="194">R48/AN48*100</f>
        <v>0</v>
      </c>
      <c r="AU48" s="108">
        <f t="shared" ref="AU48" si="195">U48/AN48*100</f>
        <v>35.135135135135137</v>
      </c>
      <c r="AV48" s="108">
        <f t="shared" ref="AV48" si="196">X48/AN48*100</f>
        <v>18.918918918918919</v>
      </c>
      <c r="AW48" s="108">
        <f t="shared" ref="AW48" si="197">AA48/AN48*100</f>
        <v>18.918918918918919</v>
      </c>
      <c r="AX48" s="108">
        <f t="shared" ref="AX48" si="198">AD48/AN48*100</f>
        <v>10.810810810810811</v>
      </c>
      <c r="AY48" s="108">
        <f t="shared" ref="AY48" si="199">AG48/AN48*100</f>
        <v>16.216216216216218</v>
      </c>
      <c r="AZ48" s="108">
        <f t="shared" ref="AZ48" si="200">AJ48/AN48*100</f>
        <v>0</v>
      </c>
    </row>
    <row r="49" spans="1:52" s="237" customFormat="1" ht="20.25" customHeight="1">
      <c r="A49" s="202" t="s">
        <v>25</v>
      </c>
      <c r="B49" s="235">
        <f>Huacareta!B27</f>
        <v>2</v>
      </c>
      <c r="C49" s="235">
        <f>Huacareta!C27</f>
        <v>1245</v>
      </c>
      <c r="D49" s="236">
        <f>Huacareta!D27</f>
        <v>45782</v>
      </c>
      <c r="E49" s="236">
        <f>Huacareta!E27</f>
        <v>45808</v>
      </c>
      <c r="F49" s="235">
        <f>Huacareta!F27</f>
        <v>545</v>
      </c>
      <c r="G49" s="235">
        <f>Huacareta!G27</f>
        <v>0</v>
      </c>
      <c r="H49" s="235">
        <f>Huacareta!H27</f>
        <v>545</v>
      </c>
      <c r="I49" s="235">
        <f>Huacareta!I27</f>
        <v>22</v>
      </c>
      <c r="J49" s="235">
        <f>Huacareta!J27</f>
        <v>0</v>
      </c>
      <c r="K49" s="235">
        <f>Huacareta!K27</f>
        <v>567</v>
      </c>
      <c r="L49" s="235">
        <f>Huacareta!L27</f>
        <v>0</v>
      </c>
      <c r="M49" s="235">
        <f>Huacareta!M27</f>
        <v>0</v>
      </c>
      <c r="N49" s="235">
        <f>Huacareta!N27</f>
        <v>567</v>
      </c>
      <c r="O49" s="235">
        <f>Huacareta!O27</f>
        <v>0</v>
      </c>
      <c r="P49" s="235">
        <f>Huacareta!P27</f>
        <v>0</v>
      </c>
      <c r="Q49" s="235">
        <f>Huacareta!Q27</f>
        <v>0</v>
      </c>
      <c r="R49" s="235">
        <f>Huacareta!R27</f>
        <v>0</v>
      </c>
      <c r="S49" s="235">
        <f>Huacareta!S27</f>
        <v>0</v>
      </c>
      <c r="T49" s="235">
        <f>Huacareta!T27</f>
        <v>1</v>
      </c>
      <c r="U49" s="235">
        <f>Huacareta!U27</f>
        <v>0</v>
      </c>
      <c r="V49" s="235">
        <f>Huacareta!V27</f>
        <v>134</v>
      </c>
      <c r="W49" s="235">
        <f>Huacareta!W27</f>
        <v>83</v>
      </c>
      <c r="X49" s="235">
        <f>Huacareta!X27</f>
        <v>0</v>
      </c>
      <c r="Y49" s="235">
        <f>Huacareta!Y27</f>
        <v>1</v>
      </c>
      <c r="Z49" s="235">
        <f>Huacareta!Z27</f>
        <v>28</v>
      </c>
      <c r="AA49" s="235">
        <f>Huacareta!AA27</f>
        <v>0</v>
      </c>
      <c r="AB49" s="235">
        <f>Huacareta!AB27</f>
        <v>158</v>
      </c>
      <c r="AC49" s="235">
        <f>Huacareta!AC27</f>
        <v>59</v>
      </c>
      <c r="AD49" s="235">
        <f>Huacareta!AD27</f>
        <v>0</v>
      </c>
      <c r="AE49" s="235">
        <f>Huacareta!AE27</f>
        <v>317</v>
      </c>
      <c r="AF49" s="235">
        <f>Huacareta!AF27</f>
        <v>218</v>
      </c>
      <c r="AG49" s="235">
        <f>Huacareta!AG27</f>
        <v>0</v>
      </c>
      <c r="AH49" s="235">
        <f>Huacareta!AH27</f>
        <v>0</v>
      </c>
      <c r="AI49" s="235">
        <f>Huacareta!AI27</f>
        <v>0</v>
      </c>
      <c r="AJ49" s="235">
        <f>Huacareta!AJ27</f>
        <v>0</v>
      </c>
      <c r="AK49" s="235">
        <f>Huacareta!AK27</f>
        <v>610</v>
      </c>
      <c r="AL49" s="235">
        <f>Huacareta!AL27</f>
        <v>389</v>
      </c>
      <c r="AM49" s="235">
        <f>Huacareta!AM27</f>
        <v>999</v>
      </c>
      <c r="AN49" s="235">
        <f>Huacareta!AN27</f>
        <v>0</v>
      </c>
      <c r="AO49" s="53">
        <f t="shared" ref="AO49" si="201">O49/H49*100</f>
        <v>0</v>
      </c>
      <c r="AP49" s="53">
        <f t="shared" ref="AP49:AP51" si="202">AN49/H49*100</f>
        <v>0</v>
      </c>
      <c r="AQ49" s="53">
        <f t="shared" ref="AQ49:AQ51" si="203">AN49/AM49*100</f>
        <v>0</v>
      </c>
      <c r="AR49" s="51">
        <f t="shared" ref="AR49:AR51" si="204">AK49/AM49*100</f>
        <v>61.061061061061061</v>
      </c>
      <c r="AS49" s="51">
        <f t="shared" ref="AS49:AS51" si="205">AL49/AM49*100</f>
        <v>38.938938938938939</v>
      </c>
      <c r="AT49" s="108" t="e">
        <f t="shared" ref="AT49:AT51" si="206">R49/AN49*100</f>
        <v>#DIV/0!</v>
      </c>
      <c r="AU49" s="108" t="e">
        <f t="shared" ref="AU49:AU51" si="207">U49/AN49*100</f>
        <v>#DIV/0!</v>
      </c>
      <c r="AV49" s="108" t="e">
        <f t="shared" ref="AV49:AV51" si="208">X49/AN49*100</f>
        <v>#DIV/0!</v>
      </c>
      <c r="AW49" s="108" t="e">
        <f t="shared" ref="AW49:AW51" si="209">AA49/AN49*100</f>
        <v>#DIV/0!</v>
      </c>
      <c r="AX49" s="108" t="e">
        <f t="shared" ref="AX49:AX51" si="210">AD49/AN49*100</f>
        <v>#DIV/0!</v>
      </c>
      <c r="AY49" s="108" t="e">
        <f t="shared" ref="AY49:AY51" si="211">AG49/AN49*100</f>
        <v>#DIV/0!</v>
      </c>
      <c r="AZ49" s="108" t="e">
        <f t="shared" ref="AZ49:AZ51" si="212">AJ49/AN49*100</f>
        <v>#DIV/0!</v>
      </c>
    </row>
    <row r="50" spans="1:52" s="40" customFormat="1" ht="20.25" customHeight="1">
      <c r="A50" s="207" t="s">
        <v>275</v>
      </c>
      <c r="B50" s="207">
        <f>SUM(B47:B49)</f>
        <v>6</v>
      </c>
      <c r="C50" s="207">
        <f>SUM(C47:C49)</f>
        <v>4673</v>
      </c>
      <c r="D50" s="124">
        <f>MIN(D47:D49)</f>
        <v>45779</v>
      </c>
      <c r="E50" s="124">
        <f>MAX(E47:E49)</f>
        <v>45808</v>
      </c>
      <c r="F50" s="207">
        <f>SUM(F47:F49)</f>
        <v>778</v>
      </c>
      <c r="G50" s="207">
        <f t="shared" ref="G50:AJ50" si="213">SUM(G47:G49)</f>
        <v>0</v>
      </c>
      <c r="H50" s="207">
        <f t="shared" si="213"/>
        <v>778</v>
      </c>
      <c r="I50" s="207">
        <f t="shared" si="213"/>
        <v>22</v>
      </c>
      <c r="J50" s="207">
        <f t="shared" si="213"/>
        <v>0</v>
      </c>
      <c r="K50" s="207">
        <f t="shared" si="213"/>
        <v>800</v>
      </c>
      <c r="L50" s="207">
        <f t="shared" si="213"/>
        <v>0</v>
      </c>
      <c r="M50" s="207">
        <f t="shared" si="213"/>
        <v>0</v>
      </c>
      <c r="N50" s="207">
        <f t="shared" si="213"/>
        <v>800</v>
      </c>
      <c r="O50" s="207">
        <f t="shared" si="213"/>
        <v>33</v>
      </c>
      <c r="P50" s="207">
        <f t="shared" si="213"/>
        <v>0</v>
      </c>
      <c r="Q50" s="207">
        <f t="shared" si="213"/>
        <v>0</v>
      </c>
      <c r="R50" s="207">
        <f t="shared" si="213"/>
        <v>0</v>
      </c>
      <c r="S50" s="207">
        <f t="shared" si="213"/>
        <v>0</v>
      </c>
      <c r="T50" s="207">
        <f t="shared" si="213"/>
        <v>238</v>
      </c>
      <c r="U50" s="207">
        <f t="shared" si="213"/>
        <v>13</v>
      </c>
      <c r="V50" s="207">
        <f t="shared" si="213"/>
        <v>134</v>
      </c>
      <c r="W50" s="207">
        <f t="shared" si="213"/>
        <v>133</v>
      </c>
      <c r="X50" s="207">
        <f t="shared" si="213"/>
        <v>7</v>
      </c>
      <c r="Y50" s="207">
        <f t="shared" si="213"/>
        <v>2</v>
      </c>
      <c r="Z50" s="207">
        <f t="shared" si="213"/>
        <v>52</v>
      </c>
      <c r="AA50" s="207">
        <f t="shared" si="213"/>
        <v>7</v>
      </c>
      <c r="AB50" s="207">
        <f t="shared" si="213"/>
        <v>162</v>
      </c>
      <c r="AC50" s="207">
        <f t="shared" si="213"/>
        <v>84</v>
      </c>
      <c r="AD50" s="207">
        <f t="shared" si="213"/>
        <v>12</v>
      </c>
      <c r="AE50" s="207">
        <f t="shared" si="213"/>
        <v>354</v>
      </c>
      <c r="AF50" s="207">
        <f t="shared" si="213"/>
        <v>343</v>
      </c>
      <c r="AG50" s="207">
        <f t="shared" si="213"/>
        <v>6</v>
      </c>
      <c r="AH50" s="207">
        <f t="shared" si="213"/>
        <v>0</v>
      </c>
      <c r="AI50" s="207">
        <f t="shared" si="213"/>
        <v>0</v>
      </c>
      <c r="AJ50" s="207">
        <f t="shared" si="213"/>
        <v>0</v>
      </c>
      <c r="AK50" s="83">
        <f>P50+S50+V50+Y50+AB50+AE50+AH50</f>
        <v>652</v>
      </c>
      <c r="AL50" s="83">
        <f>Q50+T50+W50+Z50+AC50+AF50+AI50</f>
        <v>850</v>
      </c>
      <c r="AM50" s="83">
        <f>AK50+AL50</f>
        <v>1502</v>
      </c>
      <c r="AN50" s="178">
        <f>R50+U50+X50+AA50+AD50+AG50+AJ50</f>
        <v>45</v>
      </c>
      <c r="AO50" s="85">
        <f>O50/H50*100</f>
        <v>4.2416452442159382</v>
      </c>
      <c r="AP50" s="85">
        <f t="shared" si="202"/>
        <v>5.7840616966580978</v>
      </c>
      <c r="AQ50" s="85">
        <f t="shared" si="203"/>
        <v>2.9960053262316912</v>
      </c>
      <c r="AR50" s="85">
        <f t="shared" si="204"/>
        <v>43.408788282290281</v>
      </c>
      <c r="AS50" s="85">
        <f t="shared" si="205"/>
        <v>56.591211717709719</v>
      </c>
      <c r="AT50" s="85">
        <f t="shared" si="206"/>
        <v>0</v>
      </c>
      <c r="AU50" s="85">
        <f t="shared" si="207"/>
        <v>28.888888888888886</v>
      </c>
      <c r="AV50" s="85">
        <f t="shared" si="208"/>
        <v>15.555555555555555</v>
      </c>
      <c r="AW50" s="85">
        <f t="shared" si="209"/>
        <v>15.555555555555555</v>
      </c>
      <c r="AX50" s="85">
        <f t="shared" si="210"/>
        <v>26.666666666666668</v>
      </c>
      <c r="AY50" s="85">
        <f t="shared" si="211"/>
        <v>13.333333333333334</v>
      </c>
      <c r="AZ50" s="85">
        <f t="shared" si="212"/>
        <v>0</v>
      </c>
    </row>
    <row r="51" spans="1:52" s="237" customFormat="1" ht="20.25" customHeight="1">
      <c r="A51" s="202" t="s">
        <v>24</v>
      </c>
      <c r="B51" s="235">
        <f>Monteagudo!B91</f>
        <v>14</v>
      </c>
      <c r="C51" s="235">
        <f>Monteagudo!C91</f>
        <v>2181</v>
      </c>
      <c r="D51" s="282">
        <f>Monteagudo!D91</f>
        <v>45811</v>
      </c>
      <c r="E51" s="282">
        <f>Monteagudo!E91</f>
        <v>45835</v>
      </c>
      <c r="F51" s="235">
        <f>Monteagudo!F91</f>
        <v>725</v>
      </c>
      <c r="G51" s="235">
        <f>Monteagudo!G91</f>
        <v>0</v>
      </c>
      <c r="H51" s="235">
        <f>Monteagudo!H91</f>
        <v>725</v>
      </c>
      <c r="I51" s="235">
        <f>Monteagudo!I91</f>
        <v>0</v>
      </c>
      <c r="J51" s="235">
        <f>Monteagudo!J91</f>
        <v>0</v>
      </c>
      <c r="K51" s="235">
        <f>Monteagudo!K91</f>
        <v>725</v>
      </c>
      <c r="L51" s="235">
        <f>Monteagudo!L91</f>
        <v>0</v>
      </c>
      <c r="M51" s="235">
        <f>Monteagudo!M91</f>
        <v>0</v>
      </c>
      <c r="N51" s="235">
        <f>Monteagudo!N91</f>
        <v>0</v>
      </c>
      <c r="O51" s="235">
        <f>Monteagudo!O91</f>
        <v>17</v>
      </c>
      <c r="P51" s="235">
        <f>Monteagudo!P91</f>
        <v>0</v>
      </c>
      <c r="Q51" s="235">
        <f>Monteagudo!Q91</f>
        <v>0</v>
      </c>
      <c r="R51" s="235">
        <f>Monteagudo!R91</f>
        <v>0</v>
      </c>
      <c r="S51" s="235">
        <f>Monteagudo!S91</f>
        <v>0</v>
      </c>
      <c r="T51" s="235">
        <f>Monteagudo!T91</f>
        <v>24</v>
      </c>
      <c r="U51" s="235">
        <f>Monteagudo!U91</f>
        <v>2</v>
      </c>
      <c r="V51" s="235">
        <f>Monteagudo!V91</f>
        <v>3</v>
      </c>
      <c r="W51" s="235">
        <f>Monteagudo!W91</f>
        <v>95</v>
      </c>
      <c r="X51" s="235">
        <f>Monteagudo!X91</f>
        <v>3</v>
      </c>
      <c r="Y51" s="235">
        <f>Monteagudo!Y91</f>
        <v>0</v>
      </c>
      <c r="Z51" s="235">
        <f>Monteagudo!Z91</f>
        <v>41</v>
      </c>
      <c r="AA51" s="235">
        <f>Monteagudo!AA91</f>
        <v>0</v>
      </c>
      <c r="AB51" s="235">
        <f>Monteagudo!AB91</f>
        <v>12</v>
      </c>
      <c r="AC51" s="235">
        <f>Monteagudo!AC91</f>
        <v>158</v>
      </c>
      <c r="AD51" s="235">
        <f>Monteagudo!AD91</f>
        <v>13</v>
      </c>
      <c r="AE51" s="235">
        <f>Monteagudo!AE91</f>
        <v>12</v>
      </c>
      <c r="AF51" s="235">
        <f>Monteagudo!AF91</f>
        <v>343</v>
      </c>
      <c r="AG51" s="235">
        <f>Monteagudo!AG91</f>
        <v>0</v>
      </c>
      <c r="AH51" s="235">
        <f>Monteagudo!AH91</f>
        <v>0</v>
      </c>
      <c r="AI51" s="235">
        <f>Monteagudo!AI91</f>
        <v>4</v>
      </c>
      <c r="AJ51" s="235">
        <f>Monteagudo!AJ91</f>
        <v>0</v>
      </c>
      <c r="AK51" s="249">
        <f>P51+S51+V51+Y51+AB51+AE51+AH51</f>
        <v>27</v>
      </c>
      <c r="AL51" s="249">
        <f>Q51+T51+W51+Z51+AC51+AF51+AI51</f>
        <v>665</v>
      </c>
      <c r="AM51" s="249">
        <f>AK51+AL51</f>
        <v>692</v>
      </c>
      <c r="AN51" s="284">
        <f>R51+U51+X51+AA51+AD51+AG51+AJ51</f>
        <v>18</v>
      </c>
      <c r="AO51" s="88">
        <f t="shared" ref="AO51" si="214">O51/H51*100</f>
        <v>2.3448275862068968</v>
      </c>
      <c r="AP51" s="88">
        <f t="shared" si="202"/>
        <v>2.4827586206896552</v>
      </c>
      <c r="AQ51" s="88">
        <f t="shared" si="203"/>
        <v>2.601156069364162</v>
      </c>
      <c r="AR51" s="285">
        <f t="shared" si="204"/>
        <v>3.901734104046243</v>
      </c>
      <c r="AS51" s="285">
        <f t="shared" si="205"/>
        <v>96.098265895953759</v>
      </c>
      <c r="AT51" s="280">
        <f t="shared" si="206"/>
        <v>0</v>
      </c>
      <c r="AU51" s="280">
        <f t="shared" si="207"/>
        <v>11.111111111111111</v>
      </c>
      <c r="AV51" s="280">
        <f t="shared" si="208"/>
        <v>16.666666666666664</v>
      </c>
      <c r="AW51" s="280">
        <f t="shared" si="209"/>
        <v>0</v>
      </c>
      <c r="AX51" s="280">
        <f t="shared" si="210"/>
        <v>72.222222222222214</v>
      </c>
      <c r="AY51" s="280">
        <f t="shared" si="211"/>
        <v>0</v>
      </c>
      <c r="AZ51" s="280">
        <f t="shared" si="212"/>
        <v>0</v>
      </c>
    </row>
    <row r="52" spans="1:52" s="237" customFormat="1" ht="20.25" customHeight="1">
      <c r="A52" s="202" t="s">
        <v>105</v>
      </c>
      <c r="B52" s="235">
        <f>Machareti!B41</f>
        <v>2</v>
      </c>
      <c r="C52" s="235">
        <f>Machareti!C41</f>
        <v>548</v>
      </c>
      <c r="D52" s="282">
        <f>Machareti!D41</f>
        <v>45811</v>
      </c>
      <c r="E52" s="282">
        <f>Machareti!E41</f>
        <v>45834</v>
      </c>
      <c r="F52" s="235">
        <f>Machareti!F41</f>
        <v>173</v>
      </c>
      <c r="G52" s="235">
        <f>Machareti!G41</f>
        <v>0</v>
      </c>
      <c r="H52" s="235">
        <f>Machareti!H41</f>
        <v>173</v>
      </c>
      <c r="I52" s="235">
        <f>Machareti!I41</f>
        <v>18</v>
      </c>
      <c r="J52" s="235">
        <f>Machareti!J41</f>
        <v>0</v>
      </c>
      <c r="K52" s="235">
        <f>Machareti!K41</f>
        <v>191</v>
      </c>
      <c r="L52" s="235">
        <f>Machareti!L41</f>
        <v>18</v>
      </c>
      <c r="M52" s="235">
        <f>Machareti!M41</f>
        <v>0</v>
      </c>
      <c r="N52" s="235">
        <f>Machareti!N41</f>
        <v>0</v>
      </c>
      <c r="O52" s="235">
        <f>Machareti!O41</f>
        <v>18</v>
      </c>
      <c r="P52" s="235">
        <f>Machareti!P41</f>
        <v>0</v>
      </c>
      <c r="Q52" s="235">
        <f>Machareti!Q41</f>
        <v>0</v>
      </c>
      <c r="R52" s="235">
        <f>Machareti!R41</f>
        <v>0</v>
      </c>
      <c r="S52" s="235">
        <f>Machareti!S41</f>
        <v>0</v>
      </c>
      <c r="T52" s="235">
        <f>Machareti!T41</f>
        <v>253</v>
      </c>
      <c r="U52" s="235">
        <f>Machareti!U41</f>
        <v>9</v>
      </c>
      <c r="V52" s="235">
        <f>Machareti!V41</f>
        <v>0</v>
      </c>
      <c r="W52" s="235">
        <f>Machareti!W41</f>
        <v>29</v>
      </c>
      <c r="X52" s="235">
        <f>Machareti!X41</f>
        <v>7</v>
      </c>
      <c r="Y52" s="235">
        <f>Machareti!Y41</f>
        <v>0</v>
      </c>
      <c r="Z52" s="235">
        <f>Machareti!Z41</f>
        <v>10</v>
      </c>
      <c r="AA52" s="235">
        <f>Machareti!AA41</f>
        <v>1</v>
      </c>
      <c r="AB52" s="235">
        <f>Machareti!AB41</f>
        <v>4</v>
      </c>
      <c r="AC52" s="235">
        <f>Machareti!AC41</f>
        <v>5</v>
      </c>
      <c r="AD52" s="235">
        <f>Machareti!AD41</f>
        <v>3</v>
      </c>
      <c r="AE52" s="235">
        <f>Machareti!AE41</f>
        <v>5</v>
      </c>
      <c r="AF52" s="235">
        <f>Machareti!AF41</f>
        <v>1</v>
      </c>
      <c r="AG52" s="235">
        <f>Machareti!AG41</f>
        <v>1</v>
      </c>
      <c r="AH52" s="235">
        <f>Machareti!AH41</f>
        <v>0</v>
      </c>
      <c r="AI52" s="235">
        <f>Machareti!AI41</f>
        <v>0</v>
      </c>
      <c r="AJ52" s="235">
        <f>Machareti!AJ41</f>
        <v>0</v>
      </c>
      <c r="AK52" s="249">
        <f t="shared" ref="AK52:AK56" si="215">P52+S52+V52+Y52+AB52+AE52+AH52</f>
        <v>9</v>
      </c>
      <c r="AL52" s="249">
        <f t="shared" ref="AL52:AL56" si="216">Q52+T52+W52+Z52+AC52+AF52+AI52</f>
        <v>298</v>
      </c>
      <c r="AM52" s="249">
        <f t="shared" ref="AM52:AM56" si="217">AK52+AL52</f>
        <v>307</v>
      </c>
      <c r="AN52" s="284">
        <f t="shared" ref="AN52:AN56" si="218">R52+U52+X52+AA52+AD52+AG52+AJ52</f>
        <v>21</v>
      </c>
      <c r="AO52" s="88">
        <f t="shared" ref="AO52:AO56" si="219">O52/H52*100</f>
        <v>10.404624277456648</v>
      </c>
      <c r="AP52" s="88">
        <f t="shared" ref="AP52:AP56" si="220">AN52/H52*100</f>
        <v>12.138728323699421</v>
      </c>
      <c r="AQ52" s="88">
        <f t="shared" ref="AQ52:AQ56" si="221">AN52/AM52*100</f>
        <v>6.8403908794788277</v>
      </c>
      <c r="AR52" s="285">
        <f t="shared" ref="AR52:AR56" si="222">AK52/AM52*100</f>
        <v>2.9315960912052117</v>
      </c>
      <c r="AS52" s="285">
        <f t="shared" ref="AS52:AS56" si="223">AL52/AM52*100</f>
        <v>97.068403908794792</v>
      </c>
      <c r="AT52" s="280">
        <f t="shared" ref="AT52:AT56" si="224">R52/AN52*100</f>
        <v>0</v>
      </c>
      <c r="AU52" s="280">
        <f t="shared" ref="AU52:AU56" si="225">U52/AN52*100</f>
        <v>42.857142857142854</v>
      </c>
      <c r="AV52" s="280">
        <f t="shared" ref="AV52:AV56" si="226">X52/AN52*100</f>
        <v>33.333333333333329</v>
      </c>
      <c r="AW52" s="280">
        <f t="shared" ref="AW52:AW56" si="227">AA52/AN52*100</f>
        <v>4.7619047619047619</v>
      </c>
      <c r="AX52" s="280">
        <f t="shared" ref="AX52:AX56" si="228">AD52/AN52*100</f>
        <v>14.285714285714285</v>
      </c>
      <c r="AY52" s="280">
        <f t="shared" ref="AY52:AY56" si="229">AG52/AN52*100</f>
        <v>4.7619047619047619</v>
      </c>
      <c r="AZ52" s="280">
        <f t="shared" ref="AZ52:AZ56" si="230">AJ52/AN52*100</f>
        <v>0</v>
      </c>
    </row>
    <row r="53" spans="1:52" s="40" customFormat="1" ht="20.25" customHeight="1">
      <c r="A53" s="207" t="s">
        <v>287</v>
      </c>
      <c r="B53" s="207">
        <f>SUM(B51:B52)</f>
        <v>16</v>
      </c>
      <c r="C53" s="207">
        <f>SUM(C51:C52)</f>
        <v>2729</v>
      </c>
      <c r="D53" s="283">
        <f>MIN(D51:D52)</f>
        <v>45811</v>
      </c>
      <c r="E53" s="283">
        <f>MAX(E51:E52)</f>
        <v>45835</v>
      </c>
      <c r="F53" s="207">
        <f>SUM(F51:F52)</f>
        <v>898</v>
      </c>
      <c r="G53" s="207">
        <f t="shared" ref="G53:AJ53" si="231">SUM(G51:G52)</f>
        <v>0</v>
      </c>
      <c r="H53" s="207">
        <f t="shared" si="231"/>
        <v>898</v>
      </c>
      <c r="I53" s="207">
        <f t="shared" si="231"/>
        <v>18</v>
      </c>
      <c r="J53" s="207">
        <f t="shared" si="231"/>
        <v>0</v>
      </c>
      <c r="K53" s="207">
        <f t="shared" si="231"/>
        <v>916</v>
      </c>
      <c r="L53" s="207">
        <f t="shared" si="231"/>
        <v>18</v>
      </c>
      <c r="M53" s="207">
        <f t="shared" si="231"/>
        <v>0</v>
      </c>
      <c r="N53" s="207">
        <f t="shared" si="231"/>
        <v>0</v>
      </c>
      <c r="O53" s="207">
        <f t="shared" si="231"/>
        <v>35</v>
      </c>
      <c r="P53" s="207">
        <f t="shared" si="231"/>
        <v>0</v>
      </c>
      <c r="Q53" s="207">
        <f t="shared" si="231"/>
        <v>0</v>
      </c>
      <c r="R53" s="207">
        <f t="shared" si="231"/>
        <v>0</v>
      </c>
      <c r="S53" s="207">
        <f t="shared" si="231"/>
        <v>0</v>
      </c>
      <c r="T53" s="207">
        <f t="shared" si="231"/>
        <v>277</v>
      </c>
      <c r="U53" s="207">
        <f t="shared" si="231"/>
        <v>11</v>
      </c>
      <c r="V53" s="207">
        <f t="shared" si="231"/>
        <v>3</v>
      </c>
      <c r="W53" s="207">
        <f t="shared" si="231"/>
        <v>124</v>
      </c>
      <c r="X53" s="207">
        <f t="shared" si="231"/>
        <v>10</v>
      </c>
      <c r="Y53" s="207">
        <f t="shared" si="231"/>
        <v>0</v>
      </c>
      <c r="Z53" s="207">
        <f t="shared" si="231"/>
        <v>51</v>
      </c>
      <c r="AA53" s="207">
        <f t="shared" si="231"/>
        <v>1</v>
      </c>
      <c r="AB53" s="207">
        <f t="shared" si="231"/>
        <v>16</v>
      </c>
      <c r="AC53" s="207">
        <f t="shared" si="231"/>
        <v>163</v>
      </c>
      <c r="AD53" s="207">
        <f t="shared" si="231"/>
        <v>16</v>
      </c>
      <c r="AE53" s="207">
        <f t="shared" si="231"/>
        <v>17</v>
      </c>
      <c r="AF53" s="207">
        <f t="shared" si="231"/>
        <v>344</v>
      </c>
      <c r="AG53" s="207">
        <f t="shared" si="231"/>
        <v>1</v>
      </c>
      <c r="AH53" s="207">
        <f t="shared" si="231"/>
        <v>0</v>
      </c>
      <c r="AI53" s="207">
        <f t="shared" si="231"/>
        <v>4</v>
      </c>
      <c r="AJ53" s="207">
        <f t="shared" si="231"/>
        <v>0</v>
      </c>
      <c r="AK53" s="83">
        <f t="shared" si="215"/>
        <v>36</v>
      </c>
      <c r="AL53" s="83">
        <f t="shared" si="216"/>
        <v>963</v>
      </c>
      <c r="AM53" s="83">
        <f t="shared" si="217"/>
        <v>999</v>
      </c>
      <c r="AN53" s="178">
        <f t="shared" si="218"/>
        <v>39</v>
      </c>
      <c r="AO53" s="85">
        <f t="shared" si="219"/>
        <v>3.8975501113585747</v>
      </c>
      <c r="AP53" s="85">
        <f t="shared" si="220"/>
        <v>4.3429844097995547</v>
      </c>
      <c r="AQ53" s="85">
        <f t="shared" si="221"/>
        <v>3.9039039039039038</v>
      </c>
      <c r="AR53" s="85">
        <f t="shared" si="222"/>
        <v>3.6036036036036037</v>
      </c>
      <c r="AS53" s="85">
        <f t="shared" si="223"/>
        <v>96.396396396396398</v>
      </c>
      <c r="AT53" s="85">
        <f t="shared" si="224"/>
        <v>0</v>
      </c>
      <c r="AU53" s="85">
        <f t="shared" si="225"/>
        <v>28.205128205128204</v>
      </c>
      <c r="AV53" s="85">
        <f t="shared" si="226"/>
        <v>25.641025641025639</v>
      </c>
      <c r="AW53" s="85">
        <f t="shared" si="227"/>
        <v>2.5641025641025639</v>
      </c>
      <c r="AX53" s="85">
        <f t="shared" si="228"/>
        <v>41.025641025641022</v>
      </c>
      <c r="AY53" s="85">
        <f t="shared" si="229"/>
        <v>2.5641025641025639</v>
      </c>
      <c r="AZ53" s="85">
        <f t="shared" si="230"/>
        <v>0</v>
      </c>
    </row>
    <row r="54" spans="1:52" s="237" customFormat="1" ht="20.25" customHeight="1">
      <c r="A54" s="202" t="s">
        <v>24</v>
      </c>
      <c r="B54" s="235">
        <f>Monteagudo!B106</f>
        <v>12</v>
      </c>
      <c r="C54" s="235">
        <f>Monteagudo!C106</f>
        <v>3114</v>
      </c>
      <c r="D54" s="282">
        <f>Monteagudo!D106</f>
        <v>45839</v>
      </c>
      <c r="E54" s="282">
        <f>Monteagudo!E106</f>
        <v>45862</v>
      </c>
      <c r="F54" s="235">
        <f>Monteagudo!F106</f>
        <v>985</v>
      </c>
      <c r="G54" s="235">
        <f>Monteagudo!G106</f>
        <v>0</v>
      </c>
      <c r="H54" s="235">
        <f>Monteagudo!H106</f>
        <v>985</v>
      </c>
      <c r="I54" s="235">
        <f>Monteagudo!I106</f>
        <v>0</v>
      </c>
      <c r="J54" s="235">
        <f>Monteagudo!J106</f>
        <v>0</v>
      </c>
      <c r="K54" s="235">
        <f>Monteagudo!K106</f>
        <v>985</v>
      </c>
      <c r="L54" s="235">
        <f>Monteagudo!L106</f>
        <v>0</v>
      </c>
      <c r="M54" s="235">
        <f>Monteagudo!M106</f>
        <v>0</v>
      </c>
      <c r="N54" s="235">
        <f>Monteagudo!N106</f>
        <v>0</v>
      </c>
      <c r="O54" s="235">
        <f>Monteagudo!O106</f>
        <v>16</v>
      </c>
      <c r="P54" s="235">
        <f>Monteagudo!P106</f>
        <v>0</v>
      </c>
      <c r="Q54" s="235">
        <f>Monteagudo!Q106</f>
        <v>0</v>
      </c>
      <c r="R54" s="235">
        <f>Monteagudo!R106</f>
        <v>0</v>
      </c>
      <c r="S54" s="235">
        <f>Monteagudo!S106</f>
        <v>0</v>
      </c>
      <c r="T54" s="235">
        <f>Monteagudo!T106</f>
        <v>32</v>
      </c>
      <c r="U54" s="235">
        <f>Monteagudo!U106</f>
        <v>5</v>
      </c>
      <c r="V54" s="235">
        <f>Monteagudo!V106</f>
        <v>12</v>
      </c>
      <c r="W54" s="235">
        <f>Monteagudo!W106</f>
        <v>122</v>
      </c>
      <c r="X54" s="235">
        <f>Monteagudo!X106</f>
        <v>6</v>
      </c>
      <c r="Y54" s="235">
        <f>Monteagudo!Y106</f>
        <v>11</v>
      </c>
      <c r="Z54" s="235">
        <f>Monteagudo!Z106</f>
        <v>63</v>
      </c>
      <c r="AA54" s="235">
        <f>Monteagudo!AA106</f>
        <v>0</v>
      </c>
      <c r="AB54" s="235">
        <f>Monteagudo!AB106</f>
        <v>9</v>
      </c>
      <c r="AC54" s="235">
        <f>Monteagudo!AC106</f>
        <v>212</v>
      </c>
      <c r="AD54" s="235">
        <f>Monteagudo!AD106</f>
        <v>6</v>
      </c>
      <c r="AE54" s="235">
        <f>Monteagudo!AE106</f>
        <v>30</v>
      </c>
      <c r="AF54" s="235">
        <f>Monteagudo!AF106</f>
        <v>284</v>
      </c>
      <c r="AG54" s="235">
        <f>Monteagudo!AG106</f>
        <v>0</v>
      </c>
      <c r="AH54" s="235">
        <f>Monteagudo!AH106</f>
        <v>0</v>
      </c>
      <c r="AI54" s="235">
        <f>Monteagudo!AI106</f>
        <v>1</v>
      </c>
      <c r="AJ54" s="235">
        <f>Monteagudo!AJ106</f>
        <v>0</v>
      </c>
      <c r="AK54" s="249">
        <f t="shared" si="215"/>
        <v>62</v>
      </c>
      <c r="AL54" s="249">
        <f t="shared" si="216"/>
        <v>714</v>
      </c>
      <c r="AM54" s="249">
        <f t="shared" si="217"/>
        <v>776</v>
      </c>
      <c r="AN54" s="284">
        <f t="shared" si="218"/>
        <v>17</v>
      </c>
      <c r="AO54" s="88">
        <f t="shared" si="219"/>
        <v>1.6243654822335025</v>
      </c>
      <c r="AP54" s="88">
        <f t="shared" si="220"/>
        <v>1.7258883248730965</v>
      </c>
      <c r="AQ54" s="88">
        <f t="shared" si="221"/>
        <v>2.1907216494845358</v>
      </c>
      <c r="AR54" s="285">
        <f t="shared" si="222"/>
        <v>7.9896907216494837</v>
      </c>
      <c r="AS54" s="285">
        <f t="shared" si="223"/>
        <v>92.010309278350505</v>
      </c>
      <c r="AT54" s="280">
        <f t="shared" si="224"/>
        <v>0</v>
      </c>
      <c r="AU54" s="280">
        <f t="shared" si="225"/>
        <v>29.411764705882355</v>
      </c>
      <c r="AV54" s="280">
        <f t="shared" si="226"/>
        <v>35.294117647058826</v>
      </c>
      <c r="AW54" s="280">
        <f t="shared" si="227"/>
        <v>0</v>
      </c>
      <c r="AX54" s="280">
        <f t="shared" si="228"/>
        <v>35.294117647058826</v>
      </c>
      <c r="AY54" s="280">
        <f t="shared" si="229"/>
        <v>0</v>
      </c>
      <c r="AZ54" s="280">
        <f t="shared" si="230"/>
        <v>0</v>
      </c>
    </row>
    <row r="55" spans="1:52" s="237" customFormat="1" ht="20.25" customHeight="1">
      <c r="A55" s="202" t="s">
        <v>105</v>
      </c>
      <c r="B55" s="235">
        <f>Machareti!B45</f>
        <v>2</v>
      </c>
      <c r="C55" s="235">
        <f>Machareti!C45</f>
        <v>662</v>
      </c>
      <c r="D55" s="282">
        <f>Machareti!D45</f>
        <v>45842</v>
      </c>
      <c r="E55" s="282">
        <f>Machareti!E45</f>
        <v>45869</v>
      </c>
      <c r="F55" s="235">
        <f>Machareti!F45</f>
        <v>230</v>
      </c>
      <c r="G55" s="235">
        <f>Machareti!G45</f>
        <v>0</v>
      </c>
      <c r="H55" s="235">
        <f>Machareti!H45</f>
        <v>230</v>
      </c>
      <c r="I55" s="235">
        <f>Machareti!I45</f>
        <v>0</v>
      </c>
      <c r="J55" s="235">
        <f>Machareti!J45</f>
        <v>0</v>
      </c>
      <c r="K55" s="235">
        <f>Machareti!K45</f>
        <v>230</v>
      </c>
      <c r="L55" s="235">
        <f>Machareti!L45</f>
        <v>0</v>
      </c>
      <c r="M55" s="235">
        <f>Machareti!M45</f>
        <v>0</v>
      </c>
      <c r="N55" s="235">
        <f>Machareti!N45</f>
        <v>0</v>
      </c>
      <c r="O55" s="235">
        <f>Machareti!O45</f>
        <v>21</v>
      </c>
      <c r="P55" s="235">
        <f>Machareti!P45</f>
        <v>0</v>
      </c>
      <c r="Q55" s="235">
        <f>Machareti!Q45</f>
        <v>0</v>
      </c>
      <c r="R55" s="235">
        <f>Machareti!R45</f>
        <v>0</v>
      </c>
      <c r="S55" s="235">
        <f>Machareti!S45</f>
        <v>1</v>
      </c>
      <c r="T55" s="235">
        <f>Machareti!T45</f>
        <v>364</v>
      </c>
      <c r="U55" s="235">
        <f>Machareti!U45</f>
        <v>15</v>
      </c>
      <c r="V55" s="235">
        <f>Machareti!V45</f>
        <v>0</v>
      </c>
      <c r="W55" s="235">
        <f>Machareti!W45</f>
        <v>74</v>
      </c>
      <c r="X55" s="235">
        <f>Machareti!X45</f>
        <v>2</v>
      </c>
      <c r="Y55" s="235">
        <f>Machareti!Y45</f>
        <v>3</v>
      </c>
      <c r="Z55" s="235">
        <f>Machareti!Z45</f>
        <v>6</v>
      </c>
      <c r="AA55" s="235">
        <f>Machareti!AA45</f>
        <v>1</v>
      </c>
      <c r="AB55" s="235">
        <f>Machareti!AB45</f>
        <v>27</v>
      </c>
      <c r="AC55" s="235">
        <f>Machareti!AC45</f>
        <v>12</v>
      </c>
      <c r="AD55" s="235">
        <f>Machareti!AD45</f>
        <v>4</v>
      </c>
      <c r="AE55" s="235">
        <f>Machareti!AE45</f>
        <v>19</v>
      </c>
      <c r="AF55" s="235">
        <f>Machareti!AF45</f>
        <v>1</v>
      </c>
      <c r="AG55" s="235">
        <f>Machareti!AG45</f>
        <v>1</v>
      </c>
      <c r="AH55" s="235">
        <f>Machareti!AH45</f>
        <v>0</v>
      </c>
      <c r="AI55" s="235">
        <f>Machareti!AI45</f>
        <v>0</v>
      </c>
      <c r="AJ55" s="235">
        <f>Machareti!AJ45</f>
        <v>0</v>
      </c>
      <c r="AK55" s="249">
        <f t="shared" si="215"/>
        <v>50</v>
      </c>
      <c r="AL55" s="249">
        <f t="shared" si="216"/>
        <v>457</v>
      </c>
      <c r="AM55" s="249">
        <f t="shared" si="217"/>
        <v>507</v>
      </c>
      <c r="AN55" s="284">
        <f t="shared" si="218"/>
        <v>23</v>
      </c>
      <c r="AO55" s="88">
        <f t="shared" si="219"/>
        <v>9.1304347826086953</v>
      </c>
      <c r="AP55" s="88">
        <f t="shared" si="220"/>
        <v>10</v>
      </c>
      <c r="AQ55" s="88">
        <f t="shared" si="221"/>
        <v>4.5364891518737673</v>
      </c>
      <c r="AR55" s="285">
        <f t="shared" si="222"/>
        <v>9.8619329388560164</v>
      </c>
      <c r="AS55" s="285">
        <f t="shared" si="223"/>
        <v>90.138067061143985</v>
      </c>
      <c r="AT55" s="280">
        <f t="shared" si="224"/>
        <v>0</v>
      </c>
      <c r="AU55" s="280">
        <f t="shared" si="225"/>
        <v>65.217391304347828</v>
      </c>
      <c r="AV55" s="280">
        <f t="shared" si="226"/>
        <v>8.695652173913043</v>
      </c>
      <c r="AW55" s="280">
        <f t="shared" si="227"/>
        <v>4.3478260869565215</v>
      </c>
      <c r="AX55" s="280">
        <f t="shared" si="228"/>
        <v>17.391304347826086</v>
      </c>
      <c r="AY55" s="280">
        <f t="shared" si="229"/>
        <v>4.3478260869565215</v>
      </c>
      <c r="AZ55" s="280">
        <f t="shared" si="230"/>
        <v>0</v>
      </c>
    </row>
    <row r="56" spans="1:52" s="40" customFormat="1" ht="20.25" customHeight="1">
      <c r="A56" s="207" t="s">
        <v>288</v>
      </c>
      <c r="B56" s="207">
        <f>SUM(B54:B55)</f>
        <v>14</v>
      </c>
      <c r="C56" s="207">
        <f>SUM(C54:C55)</f>
        <v>3776</v>
      </c>
      <c r="D56" s="124">
        <f>MIN(D54:D55)</f>
        <v>45839</v>
      </c>
      <c r="E56" s="124">
        <f>MAX(E54:E55)</f>
        <v>45869</v>
      </c>
      <c r="F56" s="207">
        <f>SUM(F54:F55)</f>
        <v>1215</v>
      </c>
      <c r="G56" s="207">
        <f t="shared" ref="G56:AJ56" si="232">SUM(G54:G55)</f>
        <v>0</v>
      </c>
      <c r="H56" s="207">
        <f t="shared" si="232"/>
        <v>1215</v>
      </c>
      <c r="I56" s="207">
        <f t="shared" si="232"/>
        <v>0</v>
      </c>
      <c r="J56" s="207">
        <f t="shared" si="232"/>
        <v>0</v>
      </c>
      <c r="K56" s="207">
        <f t="shared" si="232"/>
        <v>1215</v>
      </c>
      <c r="L56" s="207">
        <f t="shared" si="232"/>
        <v>0</v>
      </c>
      <c r="M56" s="207">
        <f t="shared" si="232"/>
        <v>0</v>
      </c>
      <c r="N56" s="207">
        <f t="shared" si="232"/>
        <v>0</v>
      </c>
      <c r="O56" s="207">
        <f t="shared" si="232"/>
        <v>37</v>
      </c>
      <c r="P56" s="207">
        <f t="shared" si="232"/>
        <v>0</v>
      </c>
      <c r="Q56" s="207">
        <f t="shared" si="232"/>
        <v>0</v>
      </c>
      <c r="R56" s="207">
        <f t="shared" si="232"/>
        <v>0</v>
      </c>
      <c r="S56" s="207">
        <f t="shared" si="232"/>
        <v>1</v>
      </c>
      <c r="T56" s="207">
        <f t="shared" si="232"/>
        <v>396</v>
      </c>
      <c r="U56" s="207">
        <f t="shared" si="232"/>
        <v>20</v>
      </c>
      <c r="V56" s="207">
        <f t="shared" si="232"/>
        <v>12</v>
      </c>
      <c r="W56" s="207">
        <f t="shared" si="232"/>
        <v>196</v>
      </c>
      <c r="X56" s="207">
        <f t="shared" si="232"/>
        <v>8</v>
      </c>
      <c r="Y56" s="207">
        <f t="shared" si="232"/>
        <v>14</v>
      </c>
      <c r="Z56" s="207">
        <f t="shared" si="232"/>
        <v>69</v>
      </c>
      <c r="AA56" s="207">
        <f t="shared" si="232"/>
        <v>1</v>
      </c>
      <c r="AB56" s="207">
        <f t="shared" si="232"/>
        <v>36</v>
      </c>
      <c r="AC56" s="207">
        <f t="shared" si="232"/>
        <v>224</v>
      </c>
      <c r="AD56" s="207">
        <f t="shared" si="232"/>
        <v>10</v>
      </c>
      <c r="AE56" s="207">
        <f t="shared" si="232"/>
        <v>49</v>
      </c>
      <c r="AF56" s="207">
        <f t="shared" si="232"/>
        <v>285</v>
      </c>
      <c r="AG56" s="207">
        <f t="shared" si="232"/>
        <v>1</v>
      </c>
      <c r="AH56" s="207">
        <f t="shared" si="232"/>
        <v>0</v>
      </c>
      <c r="AI56" s="207">
        <f t="shared" si="232"/>
        <v>1</v>
      </c>
      <c r="AJ56" s="207">
        <f t="shared" si="232"/>
        <v>0</v>
      </c>
      <c r="AK56" s="83">
        <f t="shared" si="215"/>
        <v>112</v>
      </c>
      <c r="AL56" s="83">
        <f t="shared" si="216"/>
        <v>1171</v>
      </c>
      <c r="AM56" s="83">
        <f t="shared" si="217"/>
        <v>1283</v>
      </c>
      <c r="AN56" s="178">
        <f t="shared" si="218"/>
        <v>40</v>
      </c>
      <c r="AO56" s="85">
        <f t="shared" si="219"/>
        <v>3.0452674897119345</v>
      </c>
      <c r="AP56" s="85">
        <f t="shared" si="220"/>
        <v>3.2921810699588478</v>
      </c>
      <c r="AQ56" s="85">
        <f t="shared" si="221"/>
        <v>3.1176929072486361</v>
      </c>
      <c r="AR56" s="85">
        <f t="shared" si="222"/>
        <v>8.7295401402961819</v>
      </c>
      <c r="AS56" s="85">
        <f t="shared" si="223"/>
        <v>91.27045985970382</v>
      </c>
      <c r="AT56" s="85">
        <f t="shared" si="224"/>
        <v>0</v>
      </c>
      <c r="AU56" s="85">
        <f t="shared" si="225"/>
        <v>50</v>
      </c>
      <c r="AV56" s="85">
        <f t="shared" si="226"/>
        <v>20</v>
      </c>
      <c r="AW56" s="85">
        <f t="shared" si="227"/>
        <v>2.5</v>
      </c>
      <c r="AX56" s="85">
        <f t="shared" si="228"/>
        <v>25</v>
      </c>
      <c r="AY56" s="85">
        <f t="shared" si="229"/>
        <v>2.5</v>
      </c>
      <c r="AZ56" s="85">
        <f t="shared" si="230"/>
        <v>0</v>
      </c>
    </row>
    <row r="57" spans="1:52" s="237" customFormat="1" ht="20.25" customHeight="1">
      <c r="A57" s="202" t="s">
        <v>24</v>
      </c>
      <c r="B57" s="235">
        <f>Monteagudo!B121</f>
        <v>11</v>
      </c>
      <c r="C57" s="235">
        <f>Monteagudo!C121</f>
        <v>3793</v>
      </c>
      <c r="D57" s="235">
        <f>Monteagudo!D121</f>
        <v>45870</v>
      </c>
      <c r="E57" s="235">
        <f>Monteagudo!E121</f>
        <v>45898</v>
      </c>
      <c r="F57" s="235">
        <f>Monteagudo!F121</f>
        <v>1020</v>
      </c>
      <c r="G57" s="235">
        <f>Monteagudo!G121</f>
        <v>0</v>
      </c>
      <c r="H57" s="235">
        <f>Monteagudo!H121</f>
        <v>1020</v>
      </c>
      <c r="I57" s="235">
        <f>Monteagudo!I121</f>
        <v>0</v>
      </c>
      <c r="J57" s="235">
        <f>Monteagudo!J121</f>
        <v>0</v>
      </c>
      <c r="K57" s="235">
        <f>Monteagudo!K121</f>
        <v>1020</v>
      </c>
      <c r="L57" s="235">
        <f>Monteagudo!L121</f>
        <v>0</v>
      </c>
      <c r="M57" s="235">
        <f>Monteagudo!M121</f>
        <v>0</v>
      </c>
      <c r="N57" s="235">
        <f>Monteagudo!N121</f>
        <v>1020</v>
      </c>
      <c r="O57" s="235">
        <f>Monteagudo!O121</f>
        <v>10</v>
      </c>
      <c r="P57" s="235">
        <f>Monteagudo!P121</f>
        <v>0</v>
      </c>
      <c r="Q57" s="235">
        <f>Monteagudo!Q121</f>
        <v>0</v>
      </c>
      <c r="R57" s="235">
        <f>Monteagudo!R121</f>
        <v>0</v>
      </c>
      <c r="S57" s="235">
        <f>Monteagudo!S121</f>
        <v>1</v>
      </c>
      <c r="T57" s="235">
        <f>Monteagudo!T121</f>
        <v>46</v>
      </c>
      <c r="U57" s="235">
        <f>Monteagudo!U121</f>
        <v>4</v>
      </c>
      <c r="V57" s="235">
        <f>Monteagudo!V121</f>
        <v>11</v>
      </c>
      <c r="W57" s="235">
        <f>Monteagudo!W121</f>
        <v>111</v>
      </c>
      <c r="X57" s="235">
        <f>Monteagudo!X121</f>
        <v>2</v>
      </c>
      <c r="Y57" s="235">
        <f>Monteagudo!Y121</f>
        <v>0</v>
      </c>
      <c r="Z57" s="235">
        <f>Monteagudo!Z121</f>
        <v>71</v>
      </c>
      <c r="AA57" s="235">
        <f>Monteagudo!AA121</f>
        <v>0</v>
      </c>
      <c r="AB57" s="235">
        <f>Monteagudo!AB121</f>
        <v>4</v>
      </c>
      <c r="AC57" s="235">
        <f>Monteagudo!AC121</f>
        <v>172</v>
      </c>
      <c r="AD57" s="235">
        <f>Monteagudo!AD121</f>
        <v>3</v>
      </c>
      <c r="AE57" s="235">
        <f>Monteagudo!AE121</f>
        <v>39</v>
      </c>
      <c r="AF57" s="235">
        <f>Monteagudo!AF121</f>
        <v>315</v>
      </c>
      <c r="AG57" s="235">
        <f>Monteagudo!AG121</f>
        <v>1</v>
      </c>
      <c r="AH57" s="235">
        <f>Monteagudo!AH121</f>
        <v>0</v>
      </c>
      <c r="AI57" s="235">
        <f>Monteagudo!AI121</f>
        <v>0</v>
      </c>
      <c r="AJ57" s="235">
        <f>Monteagudo!AJ121</f>
        <v>0</v>
      </c>
      <c r="AK57" s="249">
        <f t="shared" ref="AK57" si="233">P57+S57+V57+Y57+AB57+AE57+AH57</f>
        <v>55</v>
      </c>
      <c r="AL57" s="249">
        <f t="shared" ref="AL57" si="234">Q57+T57+W57+Z57+AC57+AF57+AI57</f>
        <v>715</v>
      </c>
      <c r="AM57" s="249">
        <f t="shared" ref="AM57" si="235">AK57+AL57</f>
        <v>770</v>
      </c>
      <c r="AN57" s="284">
        <f t="shared" ref="AN57" si="236">R57+U57+X57+AA57+AD57+AG57+AJ57</f>
        <v>10</v>
      </c>
      <c r="AO57" s="88">
        <f t="shared" ref="AO57" si="237">O57/H57*100</f>
        <v>0.98039215686274506</v>
      </c>
      <c r="AP57" s="88">
        <f t="shared" ref="AP57" si="238">AN57/H57*100</f>
        <v>0.98039215686274506</v>
      </c>
      <c r="AQ57" s="88">
        <f t="shared" ref="AQ57" si="239">AN57/AM57*100</f>
        <v>1.2987012987012987</v>
      </c>
      <c r="AR57" s="285">
        <f t="shared" ref="AR57" si="240">AK57/AM57*100</f>
        <v>7.1428571428571423</v>
      </c>
      <c r="AS57" s="285">
        <f t="shared" ref="AS57" si="241">AL57/AM57*100</f>
        <v>92.857142857142861</v>
      </c>
      <c r="AT57" s="280">
        <f t="shared" ref="AT57" si="242">R57/AN57*100</f>
        <v>0</v>
      </c>
      <c r="AU57" s="280">
        <f t="shared" ref="AU57" si="243">U57/AN57*100</f>
        <v>40</v>
      </c>
      <c r="AV57" s="280">
        <f t="shared" ref="AV57" si="244">X57/AN57*100</f>
        <v>20</v>
      </c>
      <c r="AW57" s="280">
        <f t="shared" ref="AW57" si="245">AA57/AN57*100</f>
        <v>0</v>
      </c>
      <c r="AX57" s="280">
        <f t="shared" ref="AX57" si="246">AD57/AN57*100</f>
        <v>30</v>
      </c>
      <c r="AY57" s="280">
        <f t="shared" ref="AY57" si="247">AG57/AN57*100</f>
        <v>10</v>
      </c>
      <c r="AZ57" s="280">
        <f t="shared" ref="AZ57" si="248">AJ57/AN57*100</f>
        <v>0</v>
      </c>
    </row>
    <row r="58" spans="1:52" s="237" customFormat="1" ht="20.25" customHeight="1">
      <c r="A58" s="202" t="s">
        <v>105</v>
      </c>
      <c r="B58" s="235">
        <f>Machareti!B48</f>
        <v>1</v>
      </c>
      <c r="C58" s="235">
        <f>Machareti!C48</f>
        <v>401</v>
      </c>
      <c r="D58" s="235">
        <f>Machareti!D48</f>
        <v>45873</v>
      </c>
      <c r="E58" s="235">
        <f>Machareti!E48</f>
        <v>45888</v>
      </c>
      <c r="F58" s="235">
        <f>Machareti!F48</f>
        <v>114</v>
      </c>
      <c r="G58" s="235">
        <f>Machareti!G48</f>
        <v>0</v>
      </c>
      <c r="H58" s="235">
        <f>Machareti!H48</f>
        <v>114</v>
      </c>
      <c r="I58" s="235">
        <f>Machareti!I48</f>
        <v>0</v>
      </c>
      <c r="J58" s="235">
        <f>Machareti!J48</f>
        <v>0</v>
      </c>
      <c r="K58" s="235">
        <f>Machareti!K48</f>
        <v>114</v>
      </c>
      <c r="L58" s="235">
        <f>Machareti!L48</f>
        <v>0</v>
      </c>
      <c r="M58" s="235">
        <f>Machareti!M48</f>
        <v>0</v>
      </c>
      <c r="N58" s="235">
        <f>Machareti!N48</f>
        <v>114</v>
      </c>
      <c r="O58" s="235">
        <f>Machareti!O48</f>
        <v>6</v>
      </c>
      <c r="P58" s="235">
        <f>Machareti!P48</f>
        <v>0</v>
      </c>
      <c r="Q58" s="235">
        <f>Machareti!Q48</f>
        <v>0</v>
      </c>
      <c r="R58" s="235">
        <f>Machareti!R48</f>
        <v>0</v>
      </c>
      <c r="S58" s="235">
        <f>Machareti!S48</f>
        <v>1</v>
      </c>
      <c r="T58" s="235">
        <f>Machareti!T48</f>
        <v>231</v>
      </c>
      <c r="U58" s="235">
        <f>Machareti!U48</f>
        <v>7</v>
      </c>
      <c r="V58" s="235">
        <f>Machareti!V48</f>
        <v>0</v>
      </c>
      <c r="W58" s="235">
        <f>Machareti!W48</f>
        <v>13</v>
      </c>
      <c r="X58" s="235">
        <f>Machareti!X48</f>
        <v>0</v>
      </c>
      <c r="Y58" s="235">
        <f>Machareti!Y48</f>
        <v>0</v>
      </c>
      <c r="Z58" s="235">
        <f>Machareti!Z48</f>
        <v>1</v>
      </c>
      <c r="AA58" s="235">
        <f>Machareti!AA48</f>
        <v>0</v>
      </c>
      <c r="AB58" s="235">
        <f>Machareti!AB48</f>
        <v>9</v>
      </c>
      <c r="AC58" s="235">
        <f>Machareti!AC48</f>
        <v>9</v>
      </c>
      <c r="AD58" s="235">
        <f>Machareti!AD48</f>
        <v>0</v>
      </c>
      <c r="AE58" s="235">
        <f>Machareti!AE48</f>
        <v>0</v>
      </c>
      <c r="AF58" s="235">
        <f>Machareti!AF48</f>
        <v>5</v>
      </c>
      <c r="AG58" s="235">
        <f>Machareti!AG48</f>
        <v>0</v>
      </c>
      <c r="AH58" s="235">
        <f>Machareti!AH48</f>
        <v>0</v>
      </c>
      <c r="AI58" s="235">
        <f>Machareti!AI48</f>
        <v>0</v>
      </c>
      <c r="AJ58" s="235">
        <f>Machareti!AJ48</f>
        <v>0</v>
      </c>
      <c r="AK58" s="249">
        <f t="shared" ref="AK58:AK59" si="249">P58+S58+V58+Y58+AB58+AE58+AH58</f>
        <v>10</v>
      </c>
      <c r="AL58" s="249">
        <f t="shared" ref="AL58:AL59" si="250">Q58+T58+W58+Z58+AC58+AF58+AI58</f>
        <v>259</v>
      </c>
      <c r="AM58" s="249">
        <f t="shared" ref="AM58:AM59" si="251">AK58+AL58</f>
        <v>269</v>
      </c>
      <c r="AN58" s="284">
        <f t="shared" ref="AN58:AN59" si="252">R58+U58+X58+AA58+AD58+AG58+AJ58</f>
        <v>7</v>
      </c>
      <c r="AO58" s="88">
        <f t="shared" ref="AO58:AO59" si="253">O58/H58*100</f>
        <v>5.2631578947368416</v>
      </c>
      <c r="AP58" s="88">
        <f t="shared" ref="AP58:AP59" si="254">AN58/H58*100</f>
        <v>6.140350877192982</v>
      </c>
      <c r="AQ58" s="88">
        <f t="shared" ref="AQ58:AQ59" si="255">AN58/AM58*100</f>
        <v>2.6022304832713754</v>
      </c>
      <c r="AR58" s="285">
        <f t="shared" ref="AR58:AR59" si="256">AK58/AM58*100</f>
        <v>3.7174721189591078</v>
      </c>
      <c r="AS58" s="285">
        <f t="shared" ref="AS58:AS59" si="257">AL58/AM58*100</f>
        <v>96.282527881040892</v>
      </c>
      <c r="AT58" s="280">
        <f t="shared" ref="AT58:AT59" si="258">R58/AN58*100</f>
        <v>0</v>
      </c>
      <c r="AU58" s="280">
        <f t="shared" ref="AU58:AU59" si="259">U58/AN58*100</f>
        <v>100</v>
      </c>
      <c r="AV58" s="280">
        <f t="shared" ref="AV58:AV59" si="260">X58/AN58*100</f>
        <v>0</v>
      </c>
      <c r="AW58" s="280">
        <f t="shared" ref="AW58:AW59" si="261">AA58/AN58*100</f>
        <v>0</v>
      </c>
      <c r="AX58" s="280">
        <f t="shared" ref="AX58:AX59" si="262">AD58/AN58*100</f>
        <v>0</v>
      </c>
      <c r="AY58" s="280">
        <f t="shared" ref="AY58:AY59" si="263">AG58/AN58*100</f>
        <v>0</v>
      </c>
      <c r="AZ58" s="280">
        <f t="shared" ref="AZ58:AZ59" si="264">AJ58/AN58*100</f>
        <v>0</v>
      </c>
    </row>
    <row r="59" spans="1:52" s="40" customFormat="1" ht="20.25" customHeight="1">
      <c r="A59" s="207" t="s">
        <v>289</v>
      </c>
      <c r="B59" s="207">
        <f>SUM(B57:B58)</f>
        <v>12</v>
      </c>
      <c r="C59" s="207">
        <f>SUM(C57:C58)</f>
        <v>4194</v>
      </c>
      <c r="D59" s="124">
        <f>MIN(D57:D58)</f>
        <v>45870</v>
      </c>
      <c r="E59" s="124">
        <f>MAX(E57:E58)</f>
        <v>45898</v>
      </c>
      <c r="F59" s="207">
        <f>SUM(F57:F58)</f>
        <v>1134</v>
      </c>
      <c r="G59" s="207">
        <f t="shared" ref="G59:AJ59" si="265">SUM(G57:G58)</f>
        <v>0</v>
      </c>
      <c r="H59" s="207">
        <f t="shared" si="265"/>
        <v>1134</v>
      </c>
      <c r="I59" s="207">
        <f t="shared" si="265"/>
        <v>0</v>
      </c>
      <c r="J59" s="207">
        <f t="shared" si="265"/>
        <v>0</v>
      </c>
      <c r="K59" s="207">
        <f t="shared" si="265"/>
        <v>1134</v>
      </c>
      <c r="L59" s="207">
        <f t="shared" si="265"/>
        <v>0</v>
      </c>
      <c r="M59" s="207">
        <f t="shared" si="265"/>
        <v>0</v>
      </c>
      <c r="N59" s="207">
        <f t="shared" si="265"/>
        <v>1134</v>
      </c>
      <c r="O59" s="207">
        <f t="shared" si="265"/>
        <v>16</v>
      </c>
      <c r="P59" s="207">
        <f t="shared" si="265"/>
        <v>0</v>
      </c>
      <c r="Q59" s="207">
        <f t="shared" si="265"/>
        <v>0</v>
      </c>
      <c r="R59" s="207">
        <f t="shared" si="265"/>
        <v>0</v>
      </c>
      <c r="S59" s="207">
        <f t="shared" si="265"/>
        <v>2</v>
      </c>
      <c r="T59" s="207">
        <f t="shared" si="265"/>
        <v>277</v>
      </c>
      <c r="U59" s="207">
        <f t="shared" si="265"/>
        <v>11</v>
      </c>
      <c r="V59" s="207">
        <f t="shared" si="265"/>
        <v>11</v>
      </c>
      <c r="W59" s="207">
        <f t="shared" si="265"/>
        <v>124</v>
      </c>
      <c r="X59" s="207">
        <f t="shared" si="265"/>
        <v>2</v>
      </c>
      <c r="Y59" s="207">
        <f t="shared" si="265"/>
        <v>0</v>
      </c>
      <c r="Z59" s="207">
        <f t="shared" si="265"/>
        <v>72</v>
      </c>
      <c r="AA59" s="207">
        <f t="shared" si="265"/>
        <v>0</v>
      </c>
      <c r="AB59" s="207">
        <f t="shared" si="265"/>
        <v>13</v>
      </c>
      <c r="AC59" s="207">
        <f t="shared" si="265"/>
        <v>181</v>
      </c>
      <c r="AD59" s="207">
        <f t="shared" si="265"/>
        <v>3</v>
      </c>
      <c r="AE59" s="207">
        <f t="shared" si="265"/>
        <v>39</v>
      </c>
      <c r="AF59" s="207">
        <f t="shared" si="265"/>
        <v>320</v>
      </c>
      <c r="AG59" s="207">
        <f t="shared" si="265"/>
        <v>1</v>
      </c>
      <c r="AH59" s="207">
        <f t="shared" si="265"/>
        <v>0</v>
      </c>
      <c r="AI59" s="207">
        <f t="shared" si="265"/>
        <v>0</v>
      </c>
      <c r="AJ59" s="207">
        <f t="shared" si="265"/>
        <v>0</v>
      </c>
      <c r="AK59" s="83">
        <f t="shared" si="249"/>
        <v>65</v>
      </c>
      <c r="AL59" s="83">
        <f t="shared" si="250"/>
        <v>974</v>
      </c>
      <c r="AM59" s="83">
        <f t="shared" si="251"/>
        <v>1039</v>
      </c>
      <c r="AN59" s="178">
        <f t="shared" si="252"/>
        <v>17</v>
      </c>
      <c r="AO59" s="85">
        <f t="shared" si="253"/>
        <v>1.4109347442680775</v>
      </c>
      <c r="AP59" s="85">
        <f t="shared" si="254"/>
        <v>1.4991181657848323</v>
      </c>
      <c r="AQ59" s="85">
        <f t="shared" si="255"/>
        <v>1.6361886429258903</v>
      </c>
      <c r="AR59" s="85">
        <f t="shared" si="256"/>
        <v>6.2560153994225223</v>
      </c>
      <c r="AS59" s="85">
        <f t="shared" si="257"/>
        <v>93.743984600577477</v>
      </c>
      <c r="AT59" s="85">
        <f t="shared" si="258"/>
        <v>0</v>
      </c>
      <c r="AU59" s="85">
        <f t="shared" si="259"/>
        <v>64.705882352941174</v>
      </c>
      <c r="AV59" s="85">
        <f t="shared" si="260"/>
        <v>11.76470588235294</v>
      </c>
      <c r="AW59" s="85">
        <f t="shared" si="261"/>
        <v>0</v>
      </c>
      <c r="AX59" s="85">
        <f t="shared" si="262"/>
        <v>17.647058823529413</v>
      </c>
      <c r="AY59" s="85">
        <f t="shared" si="263"/>
        <v>5.8823529411764701</v>
      </c>
      <c r="AZ59" s="85">
        <f t="shared" si="264"/>
        <v>0</v>
      </c>
    </row>
    <row r="60" spans="1:52" s="237" customFormat="1" ht="20.25" customHeight="1">
      <c r="A60" s="240" t="s">
        <v>105</v>
      </c>
      <c r="B60" s="235">
        <f>Machareti!B51</f>
        <v>1</v>
      </c>
      <c r="C60" s="235">
        <f>Machareti!C51</f>
        <v>322</v>
      </c>
      <c r="D60" s="236">
        <f>Machareti!D51</f>
        <v>45916</v>
      </c>
      <c r="E60" s="236">
        <f>Machareti!E51</f>
        <v>45918</v>
      </c>
      <c r="F60" s="235">
        <f>Machareti!F51</f>
        <v>115</v>
      </c>
      <c r="G60" s="235">
        <f>Machareti!G51</f>
        <v>0</v>
      </c>
      <c r="H60" s="235">
        <f>Machareti!H51</f>
        <v>115</v>
      </c>
      <c r="I60" s="235">
        <f>Machareti!I51</f>
        <v>0</v>
      </c>
      <c r="J60" s="235">
        <f>Machareti!J51</f>
        <v>0</v>
      </c>
      <c r="K60" s="235">
        <f>Machareti!K51</f>
        <v>115</v>
      </c>
      <c r="L60" s="235">
        <f>Machareti!L51</f>
        <v>0</v>
      </c>
      <c r="M60" s="235">
        <f>Machareti!M51</f>
        <v>0</v>
      </c>
      <c r="N60" s="235">
        <f>Machareti!N51</f>
        <v>115</v>
      </c>
      <c r="O60" s="235">
        <f>Machareti!O51</f>
        <v>0</v>
      </c>
      <c r="P60" s="235">
        <f>Machareti!P51</f>
        <v>0</v>
      </c>
      <c r="Q60" s="235">
        <f>Machareti!Q51</f>
        <v>5</v>
      </c>
      <c r="R60" s="235">
        <f>Machareti!R51</f>
        <v>0</v>
      </c>
      <c r="S60" s="235">
        <f>Machareti!S51</f>
        <v>51</v>
      </c>
      <c r="T60" s="235">
        <f>Machareti!T51</f>
        <v>101</v>
      </c>
      <c r="U60" s="235">
        <f>Machareti!U51</f>
        <v>0</v>
      </c>
      <c r="V60" s="235">
        <f>Machareti!V51</f>
        <v>8</v>
      </c>
      <c r="W60" s="235">
        <f>Machareti!W51</f>
        <v>0</v>
      </c>
      <c r="X60" s="235">
        <f>Machareti!X51</f>
        <v>0</v>
      </c>
      <c r="Y60" s="235">
        <f>Machareti!Y51</f>
        <v>0</v>
      </c>
      <c r="Z60" s="235">
        <f>Machareti!Z51</f>
        <v>0</v>
      </c>
      <c r="AA60" s="235">
        <f>Machareti!AA51</f>
        <v>0</v>
      </c>
      <c r="AB60" s="235">
        <f>Machareti!AB51</f>
        <v>0</v>
      </c>
      <c r="AC60" s="235">
        <f>Machareti!AC51</f>
        <v>0</v>
      </c>
      <c r="AD60" s="235">
        <f>Machareti!AD51</f>
        <v>0</v>
      </c>
      <c r="AE60" s="235">
        <f>Machareti!AE51</f>
        <v>42</v>
      </c>
      <c r="AF60" s="235">
        <f>Machareti!AF51</f>
        <v>0</v>
      </c>
      <c r="AG60" s="235">
        <f>Machareti!AG51</f>
        <v>0</v>
      </c>
      <c r="AH60" s="235">
        <f>Machareti!AH51</f>
        <v>0</v>
      </c>
      <c r="AI60" s="235">
        <f>Machareti!AI51</f>
        <v>0</v>
      </c>
      <c r="AJ60" s="235">
        <f>Machareti!AJ51</f>
        <v>0</v>
      </c>
      <c r="AK60" s="249">
        <f t="shared" ref="AK60:AK61" si="266">P60+S60+V60+Y60+AB60+AE60+AH60</f>
        <v>101</v>
      </c>
      <c r="AL60" s="249">
        <f t="shared" ref="AL60:AL61" si="267">Q60+T60+W60+Z60+AC60+AF60+AI60</f>
        <v>106</v>
      </c>
      <c r="AM60" s="249">
        <f t="shared" ref="AM60:AM61" si="268">AK60+AL60</f>
        <v>207</v>
      </c>
      <c r="AN60" s="284">
        <f t="shared" ref="AN60:AN61" si="269">R60+U60+X60+AA60+AD60+AG60+AJ60</f>
        <v>0</v>
      </c>
      <c r="AO60" s="88">
        <f t="shared" ref="AO60:AO61" si="270">O60/H60*100</f>
        <v>0</v>
      </c>
      <c r="AP60" s="88">
        <f t="shared" ref="AP60:AP61" si="271">AN60/H60*100</f>
        <v>0</v>
      </c>
      <c r="AQ60" s="88">
        <f t="shared" ref="AQ60:AQ61" si="272">AN60/AM60*100</f>
        <v>0</v>
      </c>
      <c r="AR60" s="285">
        <f t="shared" ref="AR60:AR61" si="273">AK60/AM60*100</f>
        <v>48.792270531400966</v>
      </c>
      <c r="AS60" s="285">
        <f t="shared" ref="AS60:AS61" si="274">AL60/AM60*100</f>
        <v>51.207729468599041</v>
      </c>
      <c r="AT60" s="280" t="e">
        <f t="shared" ref="AT60:AT61" si="275">R60/AN60*100</f>
        <v>#DIV/0!</v>
      </c>
      <c r="AU60" s="280" t="e">
        <f t="shared" ref="AU60:AU61" si="276">U60/AN60*100</f>
        <v>#DIV/0!</v>
      </c>
      <c r="AV60" s="280" t="e">
        <f t="shared" ref="AV60:AV61" si="277">X60/AN60*100</f>
        <v>#DIV/0!</v>
      </c>
      <c r="AW60" s="280" t="e">
        <f t="shared" ref="AW60:AW61" si="278">AA60/AN60*100</f>
        <v>#DIV/0!</v>
      </c>
      <c r="AX60" s="280" t="e">
        <f t="shared" ref="AX60:AX61" si="279">AD60/AN60*100</f>
        <v>#DIV/0!</v>
      </c>
      <c r="AY60" s="280" t="e">
        <f t="shared" ref="AY60:AY61" si="280">AG60/AN60*100</f>
        <v>#DIV/0!</v>
      </c>
      <c r="AZ60" s="280" t="e">
        <f t="shared" ref="AZ60:AZ61" si="281">AJ60/AN60*100</f>
        <v>#DIV/0!</v>
      </c>
    </row>
    <row r="61" spans="1:52" s="40" customFormat="1" ht="20.25" customHeight="1">
      <c r="A61" s="207" t="s">
        <v>290</v>
      </c>
      <c r="B61" s="207">
        <f>B60</f>
        <v>1</v>
      </c>
      <c r="C61" s="207">
        <f t="shared" ref="C61:AJ61" si="282">C60</f>
        <v>322</v>
      </c>
      <c r="D61" s="124">
        <f t="shared" si="282"/>
        <v>45916</v>
      </c>
      <c r="E61" s="124">
        <f t="shared" si="282"/>
        <v>45918</v>
      </c>
      <c r="F61" s="207">
        <f t="shared" si="282"/>
        <v>115</v>
      </c>
      <c r="G61" s="207">
        <f t="shared" si="282"/>
        <v>0</v>
      </c>
      <c r="H61" s="207">
        <f t="shared" si="282"/>
        <v>115</v>
      </c>
      <c r="I61" s="207">
        <f t="shared" si="282"/>
        <v>0</v>
      </c>
      <c r="J61" s="207">
        <f t="shared" si="282"/>
        <v>0</v>
      </c>
      <c r="K61" s="207">
        <f t="shared" si="282"/>
        <v>115</v>
      </c>
      <c r="L61" s="207">
        <f t="shared" si="282"/>
        <v>0</v>
      </c>
      <c r="M61" s="207">
        <f t="shared" si="282"/>
        <v>0</v>
      </c>
      <c r="N61" s="207">
        <f t="shared" si="282"/>
        <v>115</v>
      </c>
      <c r="O61" s="207">
        <f t="shared" si="282"/>
        <v>0</v>
      </c>
      <c r="P61" s="207">
        <f t="shared" si="282"/>
        <v>0</v>
      </c>
      <c r="Q61" s="207">
        <f t="shared" si="282"/>
        <v>5</v>
      </c>
      <c r="R61" s="207">
        <f t="shared" si="282"/>
        <v>0</v>
      </c>
      <c r="S61" s="207">
        <f t="shared" si="282"/>
        <v>51</v>
      </c>
      <c r="T61" s="207">
        <f t="shared" si="282"/>
        <v>101</v>
      </c>
      <c r="U61" s="207">
        <f t="shared" si="282"/>
        <v>0</v>
      </c>
      <c r="V61" s="207">
        <f t="shared" si="282"/>
        <v>8</v>
      </c>
      <c r="W61" s="207">
        <f t="shared" si="282"/>
        <v>0</v>
      </c>
      <c r="X61" s="207">
        <f t="shared" si="282"/>
        <v>0</v>
      </c>
      <c r="Y61" s="207">
        <f t="shared" si="282"/>
        <v>0</v>
      </c>
      <c r="Z61" s="207">
        <f t="shared" si="282"/>
        <v>0</v>
      </c>
      <c r="AA61" s="207">
        <f t="shared" si="282"/>
        <v>0</v>
      </c>
      <c r="AB61" s="207">
        <f t="shared" si="282"/>
        <v>0</v>
      </c>
      <c r="AC61" s="207">
        <f t="shared" si="282"/>
        <v>0</v>
      </c>
      <c r="AD61" s="207">
        <f t="shared" si="282"/>
        <v>0</v>
      </c>
      <c r="AE61" s="207">
        <f t="shared" si="282"/>
        <v>42</v>
      </c>
      <c r="AF61" s="207">
        <f t="shared" si="282"/>
        <v>0</v>
      </c>
      <c r="AG61" s="207">
        <f t="shared" si="282"/>
        <v>0</v>
      </c>
      <c r="AH61" s="207">
        <f t="shared" si="282"/>
        <v>0</v>
      </c>
      <c r="AI61" s="207">
        <f t="shared" si="282"/>
        <v>0</v>
      </c>
      <c r="AJ61" s="207">
        <f t="shared" si="282"/>
        <v>0</v>
      </c>
      <c r="AK61" s="83">
        <f t="shared" si="266"/>
        <v>101</v>
      </c>
      <c r="AL61" s="83">
        <f t="shared" si="267"/>
        <v>106</v>
      </c>
      <c r="AM61" s="83">
        <f t="shared" si="268"/>
        <v>207</v>
      </c>
      <c r="AN61" s="178">
        <f t="shared" si="269"/>
        <v>0</v>
      </c>
      <c r="AO61" s="85">
        <f t="shared" si="270"/>
        <v>0</v>
      </c>
      <c r="AP61" s="85">
        <f t="shared" si="271"/>
        <v>0</v>
      </c>
      <c r="AQ61" s="85">
        <f t="shared" si="272"/>
        <v>0</v>
      </c>
      <c r="AR61" s="85">
        <f t="shared" si="273"/>
        <v>48.792270531400966</v>
      </c>
      <c r="AS61" s="85">
        <f t="shared" si="274"/>
        <v>51.207729468599041</v>
      </c>
      <c r="AT61" s="85" t="e">
        <f t="shared" si="275"/>
        <v>#DIV/0!</v>
      </c>
      <c r="AU61" s="85" t="e">
        <f t="shared" si="276"/>
        <v>#DIV/0!</v>
      </c>
      <c r="AV61" s="85" t="e">
        <f t="shared" si="277"/>
        <v>#DIV/0!</v>
      </c>
      <c r="AW61" s="85" t="e">
        <f t="shared" si="278"/>
        <v>#DIV/0!</v>
      </c>
      <c r="AX61" s="85" t="e">
        <f t="shared" si="279"/>
        <v>#DIV/0!</v>
      </c>
      <c r="AY61" s="85" t="e">
        <f t="shared" si="280"/>
        <v>#DIV/0!</v>
      </c>
      <c r="AZ61" s="85" t="e">
        <f t="shared" si="281"/>
        <v>#DIV/0!</v>
      </c>
    </row>
    <row r="62" spans="1:52" s="237" customFormat="1" ht="20.25" customHeight="1">
      <c r="A62" s="202" t="s">
        <v>24</v>
      </c>
      <c r="B62" s="235">
        <f>Monteagudo!B132</f>
        <v>7</v>
      </c>
      <c r="C62" s="235">
        <f>Monteagudo!C132</f>
        <v>1625</v>
      </c>
      <c r="D62" s="236">
        <f>Monteagudo!D132</f>
        <v>45936</v>
      </c>
      <c r="E62" s="236">
        <f>Monteagudo!E132</f>
        <v>45961</v>
      </c>
      <c r="F62" s="235">
        <f>Monteagudo!F132</f>
        <v>442</v>
      </c>
      <c r="G62" s="235">
        <f>Monteagudo!G132</f>
        <v>0</v>
      </c>
      <c r="H62" s="235">
        <f>Monteagudo!H132</f>
        <v>442</v>
      </c>
      <c r="I62" s="235">
        <f>Monteagudo!I132</f>
        <v>0</v>
      </c>
      <c r="J62" s="235">
        <f>Monteagudo!J132</f>
        <v>0</v>
      </c>
      <c r="K62" s="235">
        <f>Monteagudo!K132</f>
        <v>410</v>
      </c>
      <c r="L62" s="235">
        <f>Monteagudo!L132</f>
        <v>0</v>
      </c>
      <c r="M62" s="235">
        <f>Monteagudo!M132</f>
        <v>0</v>
      </c>
      <c r="N62" s="235">
        <f>Monteagudo!N132</f>
        <v>442</v>
      </c>
      <c r="O62" s="235">
        <f>Monteagudo!O132</f>
        <v>13</v>
      </c>
      <c r="P62" s="235">
        <f>Monteagudo!P132</f>
        <v>0</v>
      </c>
      <c r="Q62" s="235">
        <f>Monteagudo!Q132</f>
        <v>0</v>
      </c>
      <c r="R62" s="235">
        <f>Monteagudo!R132</f>
        <v>0</v>
      </c>
      <c r="S62" s="235">
        <f>Monteagudo!S132</f>
        <v>0</v>
      </c>
      <c r="T62" s="235">
        <f>Monteagudo!T132</f>
        <v>23</v>
      </c>
      <c r="U62" s="235">
        <f>Monteagudo!U132</f>
        <v>6</v>
      </c>
      <c r="V62" s="235">
        <f>Monteagudo!V132</f>
        <v>0</v>
      </c>
      <c r="W62" s="235">
        <f>Monteagudo!W132</f>
        <v>73</v>
      </c>
      <c r="X62" s="235">
        <f>Monteagudo!X132</f>
        <v>0</v>
      </c>
      <c r="Y62" s="235">
        <f>Monteagudo!Y132</f>
        <v>0</v>
      </c>
      <c r="Z62" s="235">
        <f>Monteagudo!Z132</f>
        <v>34</v>
      </c>
      <c r="AA62" s="235">
        <f>Monteagudo!AA132</f>
        <v>1</v>
      </c>
      <c r="AB62" s="235">
        <f>Monteagudo!AB132</f>
        <v>2</v>
      </c>
      <c r="AC62" s="235">
        <f>Monteagudo!AC132</f>
        <v>124</v>
      </c>
      <c r="AD62" s="235">
        <f>Monteagudo!AD132</f>
        <v>6</v>
      </c>
      <c r="AE62" s="235">
        <f>Monteagudo!AE132</f>
        <v>20</v>
      </c>
      <c r="AF62" s="235">
        <f>Monteagudo!AF132</f>
        <v>89</v>
      </c>
      <c r="AG62" s="235">
        <f>Monteagudo!AG132</f>
        <v>1</v>
      </c>
      <c r="AH62" s="235">
        <f>Monteagudo!AH132</f>
        <v>0</v>
      </c>
      <c r="AI62" s="235">
        <f>Monteagudo!AI132</f>
        <v>0</v>
      </c>
      <c r="AJ62" s="235">
        <f>Monteagudo!AJ132</f>
        <v>0</v>
      </c>
      <c r="AK62" s="249">
        <f t="shared" ref="AK62" si="283">P62+S62+V62+Y62+AB62+AE62+AH62</f>
        <v>22</v>
      </c>
      <c r="AL62" s="249">
        <f t="shared" ref="AL62" si="284">Q62+T62+W62+Z62+AC62+AF62+AI62</f>
        <v>343</v>
      </c>
      <c r="AM62" s="249">
        <f t="shared" ref="AM62" si="285">AK62+AL62</f>
        <v>365</v>
      </c>
      <c r="AN62" s="284">
        <f t="shared" ref="AN62" si="286">R62+U62+X62+AA62+AD62+AG62+AJ62</f>
        <v>14</v>
      </c>
      <c r="AO62" s="88">
        <f t="shared" ref="AO62" si="287">O62/H62*100</f>
        <v>2.9411764705882351</v>
      </c>
      <c r="AP62" s="88">
        <f t="shared" ref="AP62" si="288">AN62/H62*100</f>
        <v>3.1674208144796379</v>
      </c>
      <c r="AQ62" s="88">
        <f t="shared" ref="AQ62" si="289">AN62/AM62*100</f>
        <v>3.8356164383561646</v>
      </c>
      <c r="AR62" s="285">
        <f t="shared" ref="AR62" si="290">AK62/AM62*100</f>
        <v>6.0273972602739727</v>
      </c>
      <c r="AS62" s="285">
        <f t="shared" ref="AS62" si="291">AL62/AM62*100</f>
        <v>93.972602739726028</v>
      </c>
      <c r="AT62" s="280">
        <f t="shared" ref="AT62" si="292">R62/AN62*100</f>
        <v>0</v>
      </c>
      <c r="AU62" s="280">
        <f t="shared" ref="AU62" si="293">U62/AN62*100</f>
        <v>42.857142857142854</v>
      </c>
      <c r="AV62" s="280">
        <f t="shared" ref="AV62" si="294">X62/AN62*100</f>
        <v>0</v>
      </c>
      <c r="AW62" s="280">
        <f t="shared" ref="AW62" si="295">AA62/AN62*100</f>
        <v>7.1428571428571423</v>
      </c>
      <c r="AX62" s="280">
        <f t="shared" ref="AX62" si="296">AD62/AN62*100</f>
        <v>42.857142857142854</v>
      </c>
      <c r="AY62" s="280">
        <f t="shared" ref="AY62" si="297">AG62/AN62*100</f>
        <v>7.1428571428571423</v>
      </c>
      <c r="AZ62" s="280">
        <f t="shared" ref="AZ62" si="298">AJ62/AN62*100</f>
        <v>0</v>
      </c>
    </row>
    <row r="63" spans="1:52" s="237" customFormat="1" ht="20.25" customHeight="1">
      <c r="A63" s="202" t="s">
        <v>106</v>
      </c>
      <c r="B63" s="235">
        <f>Muyupampa!C53</f>
        <v>5</v>
      </c>
      <c r="C63" s="235">
        <f>Muyupampa!D53</f>
        <v>638</v>
      </c>
      <c r="D63" s="236">
        <f>Muyupampa!E53</f>
        <v>45951</v>
      </c>
      <c r="E63" s="236">
        <f>Muyupampa!F53</f>
        <v>45961</v>
      </c>
      <c r="F63" s="235">
        <f>Muyupampa!G53</f>
        <v>185</v>
      </c>
      <c r="G63" s="235">
        <f>Muyupampa!H53</f>
        <v>0</v>
      </c>
      <c r="H63" s="235">
        <f>Muyupampa!I53</f>
        <v>185</v>
      </c>
      <c r="I63" s="235">
        <f>Muyupampa!J53</f>
        <v>0</v>
      </c>
      <c r="J63" s="235">
        <f>Muyupampa!K53</f>
        <v>0</v>
      </c>
      <c r="K63" s="235">
        <f>Muyupampa!L53</f>
        <v>185</v>
      </c>
      <c r="L63" s="235">
        <f>Muyupampa!M53</f>
        <v>0</v>
      </c>
      <c r="M63" s="235">
        <f>Muyupampa!N53</f>
        <v>0</v>
      </c>
      <c r="N63" s="235">
        <f>Muyupampa!O53</f>
        <v>185</v>
      </c>
      <c r="O63" s="235">
        <f>Muyupampa!P53</f>
        <v>0</v>
      </c>
      <c r="P63" s="235">
        <f>Muyupampa!Q53</f>
        <v>0</v>
      </c>
      <c r="Q63" s="235">
        <f>Muyupampa!R53</f>
        <v>0</v>
      </c>
      <c r="R63" s="235">
        <f>Muyupampa!S53</f>
        <v>0</v>
      </c>
      <c r="S63" s="235">
        <f>Muyupampa!T53</f>
        <v>9</v>
      </c>
      <c r="T63" s="235">
        <f>Muyupampa!U53</f>
        <v>43</v>
      </c>
      <c r="U63" s="235">
        <f>Muyupampa!V53</f>
        <v>0</v>
      </c>
      <c r="V63" s="235">
        <f>Muyupampa!W53</f>
        <v>29</v>
      </c>
      <c r="W63" s="235">
        <f>Muyupampa!X53</f>
        <v>57</v>
      </c>
      <c r="X63" s="235">
        <f>Muyupampa!Y53</f>
        <v>0</v>
      </c>
      <c r="Y63" s="235">
        <f>Muyupampa!Z53</f>
        <v>0</v>
      </c>
      <c r="Z63" s="235">
        <f>Muyupampa!AA53</f>
        <v>0</v>
      </c>
      <c r="AA63" s="235">
        <f>Muyupampa!AB53</f>
        <v>0</v>
      </c>
      <c r="AB63" s="235">
        <f>Muyupampa!AC53</f>
        <v>45</v>
      </c>
      <c r="AC63" s="235">
        <f>Muyupampa!AD53</f>
        <v>24</v>
      </c>
      <c r="AD63" s="235">
        <f>Muyupampa!AE53</f>
        <v>0</v>
      </c>
      <c r="AE63" s="235">
        <f>Muyupampa!AF53</f>
        <v>26</v>
      </c>
      <c r="AF63" s="235">
        <f>Muyupampa!AG53</f>
        <v>13</v>
      </c>
      <c r="AG63" s="235">
        <f>Muyupampa!AH53</f>
        <v>0</v>
      </c>
      <c r="AH63" s="235">
        <f>Muyupampa!AI53</f>
        <v>0</v>
      </c>
      <c r="AI63" s="235">
        <f>Muyupampa!AJ53</f>
        <v>0</v>
      </c>
      <c r="AJ63" s="235">
        <f>Muyupampa!AK53</f>
        <v>0</v>
      </c>
      <c r="AK63" s="249">
        <f t="shared" ref="AK63:AK66" si="299">P63+S63+V63+Y63+AB63+AE63+AH63</f>
        <v>109</v>
      </c>
      <c r="AL63" s="249">
        <f t="shared" ref="AL63:AL66" si="300">Q63+T63+W63+Z63+AC63+AF63+AI63</f>
        <v>137</v>
      </c>
      <c r="AM63" s="249">
        <f t="shared" ref="AM63:AM66" si="301">AK63+AL63</f>
        <v>246</v>
      </c>
      <c r="AN63" s="284">
        <f t="shared" ref="AN63:AN66" si="302">R63+U63+X63+AA63+AD63+AG63+AJ63</f>
        <v>0</v>
      </c>
      <c r="AO63" s="88">
        <f t="shared" ref="AO63:AO66" si="303">O63/H63*100</f>
        <v>0</v>
      </c>
      <c r="AP63" s="88">
        <f t="shared" ref="AP63:AP66" si="304">AN63/H63*100</f>
        <v>0</v>
      </c>
      <c r="AQ63" s="88">
        <f t="shared" ref="AQ63:AQ66" si="305">AN63/AM63*100</f>
        <v>0</v>
      </c>
      <c r="AR63" s="285">
        <f t="shared" ref="AR63:AR66" si="306">AK63/AM63*100</f>
        <v>44.308943089430898</v>
      </c>
      <c r="AS63" s="285">
        <f t="shared" ref="AS63:AS66" si="307">AL63/AM63*100</f>
        <v>55.691056910569102</v>
      </c>
      <c r="AT63" s="280" t="e">
        <f t="shared" ref="AT63:AT66" si="308">R63/AN63*100</f>
        <v>#DIV/0!</v>
      </c>
      <c r="AU63" s="280" t="e">
        <f t="shared" ref="AU63:AU66" si="309">U63/AN63*100</f>
        <v>#DIV/0!</v>
      </c>
      <c r="AV63" s="280" t="e">
        <f t="shared" ref="AV63:AV66" si="310">X63/AN63*100</f>
        <v>#DIV/0!</v>
      </c>
      <c r="AW63" s="280" t="e">
        <f t="shared" ref="AW63:AW66" si="311">AA63/AN63*100</f>
        <v>#DIV/0!</v>
      </c>
      <c r="AX63" s="280" t="e">
        <f t="shared" ref="AX63:AX66" si="312">AD63/AN63*100</f>
        <v>#DIV/0!</v>
      </c>
      <c r="AY63" s="280" t="e">
        <f t="shared" ref="AY63:AY66" si="313">AG63/AN63*100</f>
        <v>#DIV/0!</v>
      </c>
      <c r="AZ63" s="280" t="e">
        <f t="shared" ref="AZ63:AZ66" si="314">AJ63/AN63*100</f>
        <v>#DIV/0!</v>
      </c>
    </row>
    <row r="64" spans="1:52" s="237" customFormat="1" ht="20.25" customHeight="1">
      <c r="A64" s="202" t="s">
        <v>105</v>
      </c>
      <c r="B64" s="235">
        <f>Machareti!B54</f>
        <v>1</v>
      </c>
      <c r="C64" s="235">
        <f>Machareti!C54</f>
        <v>68</v>
      </c>
      <c r="D64" s="236">
        <f>Machareti!D54</f>
        <v>45953</v>
      </c>
      <c r="E64" s="236">
        <f>Machareti!E54</f>
        <v>45954</v>
      </c>
      <c r="F64" s="235">
        <f>Machareti!F54</f>
        <v>30</v>
      </c>
      <c r="G64" s="235">
        <f>Machareti!G54</f>
        <v>0</v>
      </c>
      <c r="H64" s="235">
        <f>Machareti!H54</f>
        <v>30</v>
      </c>
      <c r="I64" s="235">
        <f>Machareti!I54</f>
        <v>0</v>
      </c>
      <c r="J64" s="235">
        <f>Machareti!J54</f>
        <v>0</v>
      </c>
      <c r="K64" s="235">
        <f>Machareti!K54</f>
        <v>30</v>
      </c>
      <c r="L64" s="235">
        <f>Machareti!L54</f>
        <v>0</v>
      </c>
      <c r="M64" s="235">
        <f>Machareti!M54</f>
        <v>0</v>
      </c>
      <c r="N64" s="235">
        <f>Machareti!N54</f>
        <v>30</v>
      </c>
      <c r="O64" s="235">
        <f>Machareti!O54</f>
        <v>1</v>
      </c>
      <c r="P64" s="235">
        <f>Machareti!P54</f>
        <v>0</v>
      </c>
      <c r="Q64" s="235">
        <f>Machareti!Q54</f>
        <v>0</v>
      </c>
      <c r="R64" s="235">
        <f>Machareti!R54</f>
        <v>0</v>
      </c>
      <c r="S64" s="235">
        <f>Machareti!S54</f>
        <v>0</v>
      </c>
      <c r="T64" s="235">
        <f>Machareti!T54</f>
        <v>27</v>
      </c>
      <c r="U64" s="235">
        <f>Machareti!U54</f>
        <v>1</v>
      </c>
      <c r="V64" s="235">
        <f>Machareti!V54</f>
        <v>0</v>
      </c>
      <c r="W64" s="235">
        <f>Machareti!W54</f>
        <v>0</v>
      </c>
      <c r="X64" s="235">
        <f>Machareti!X54</f>
        <v>0</v>
      </c>
      <c r="Y64" s="235">
        <f>Machareti!Y54</f>
        <v>0</v>
      </c>
      <c r="Z64" s="235">
        <f>Machareti!Z54</f>
        <v>0</v>
      </c>
      <c r="AA64" s="235">
        <f>Machareti!AA54</f>
        <v>0</v>
      </c>
      <c r="AB64" s="235">
        <f>Machareti!AB54</f>
        <v>0</v>
      </c>
      <c r="AC64" s="235">
        <f>Machareti!AC54</f>
        <v>0</v>
      </c>
      <c r="AD64" s="235">
        <f>Machareti!AD54</f>
        <v>0</v>
      </c>
      <c r="AE64" s="235">
        <f>Machareti!AE54</f>
        <v>0</v>
      </c>
      <c r="AF64" s="235">
        <f>Machareti!AF54</f>
        <v>0</v>
      </c>
      <c r="AG64" s="235">
        <f>Machareti!AG54</f>
        <v>0</v>
      </c>
      <c r="AH64" s="235">
        <f>Machareti!AH54</f>
        <v>0</v>
      </c>
      <c r="AI64" s="235">
        <f>Machareti!AI54</f>
        <v>0</v>
      </c>
      <c r="AJ64" s="235">
        <f>Machareti!AJ54</f>
        <v>0</v>
      </c>
      <c r="AK64" s="249">
        <f t="shared" si="299"/>
        <v>0</v>
      </c>
      <c r="AL64" s="249">
        <f t="shared" si="300"/>
        <v>27</v>
      </c>
      <c r="AM64" s="249">
        <f t="shared" si="301"/>
        <v>27</v>
      </c>
      <c r="AN64" s="284">
        <f t="shared" si="302"/>
        <v>1</v>
      </c>
      <c r="AO64" s="88">
        <f t="shared" si="303"/>
        <v>3.3333333333333335</v>
      </c>
      <c r="AP64" s="88">
        <f t="shared" si="304"/>
        <v>3.3333333333333335</v>
      </c>
      <c r="AQ64" s="88">
        <f t="shared" si="305"/>
        <v>3.7037037037037033</v>
      </c>
      <c r="AR64" s="285">
        <f t="shared" si="306"/>
        <v>0</v>
      </c>
      <c r="AS64" s="285">
        <f t="shared" si="307"/>
        <v>100</v>
      </c>
      <c r="AT64" s="280">
        <f t="shared" si="308"/>
        <v>0</v>
      </c>
      <c r="AU64" s="280">
        <f t="shared" si="309"/>
        <v>100</v>
      </c>
      <c r="AV64" s="280">
        <f t="shared" si="310"/>
        <v>0</v>
      </c>
      <c r="AW64" s="280">
        <f t="shared" si="311"/>
        <v>0</v>
      </c>
      <c r="AX64" s="280">
        <f t="shared" si="312"/>
        <v>0</v>
      </c>
      <c r="AY64" s="280">
        <f t="shared" si="313"/>
        <v>0</v>
      </c>
      <c r="AZ64" s="280">
        <f t="shared" si="314"/>
        <v>0</v>
      </c>
    </row>
    <row r="65" spans="1:52" s="237" customFormat="1" ht="20.25" customHeight="1">
      <c r="A65" s="240" t="s">
        <v>25</v>
      </c>
      <c r="B65" s="235">
        <f>Huacareta!B34</f>
        <v>1</v>
      </c>
      <c r="C65" s="235">
        <f>Huacareta!C34</f>
        <v>806</v>
      </c>
      <c r="D65" s="236">
        <f>Huacareta!D34</f>
        <v>45945</v>
      </c>
      <c r="E65" s="236">
        <f>Huacareta!E34</f>
        <v>45959</v>
      </c>
      <c r="F65" s="235">
        <f>Huacareta!F34</f>
        <v>338</v>
      </c>
      <c r="G65" s="235">
        <f>Huacareta!G34</f>
        <v>0</v>
      </c>
      <c r="H65" s="235">
        <f>Huacareta!H34</f>
        <v>338</v>
      </c>
      <c r="I65" s="235">
        <f>Huacareta!I34</f>
        <v>13</v>
      </c>
      <c r="J65" s="235">
        <f>Huacareta!J34</f>
        <v>0</v>
      </c>
      <c r="K65" s="235">
        <f>Huacareta!K34</f>
        <v>351</v>
      </c>
      <c r="L65" s="235">
        <f>Huacareta!L34</f>
        <v>0</v>
      </c>
      <c r="M65" s="235">
        <f>Huacareta!M34</f>
        <v>0</v>
      </c>
      <c r="N65" s="235">
        <f>Huacareta!N34</f>
        <v>338</v>
      </c>
      <c r="O65" s="235">
        <f>Huacareta!O34</f>
        <v>0</v>
      </c>
      <c r="P65" s="235">
        <f>Huacareta!P34</f>
        <v>0</v>
      </c>
      <c r="Q65" s="235">
        <f>Huacareta!Q34</f>
        <v>1</v>
      </c>
      <c r="R65" s="235">
        <f>Huacareta!R34</f>
        <v>0</v>
      </c>
      <c r="S65" s="235">
        <f>Huacareta!S34</f>
        <v>0</v>
      </c>
      <c r="T65" s="235">
        <f>Huacareta!T34</f>
        <v>0</v>
      </c>
      <c r="U65" s="235">
        <f>Huacareta!U34</f>
        <v>0</v>
      </c>
      <c r="V65" s="235">
        <f>Huacareta!V34</f>
        <v>24</v>
      </c>
      <c r="W65" s="235">
        <f>Huacareta!W34</f>
        <v>10</v>
      </c>
      <c r="X65" s="235">
        <f>Huacareta!X34</f>
        <v>0</v>
      </c>
      <c r="Y65" s="235">
        <f>Huacareta!Y34</f>
        <v>6</v>
      </c>
      <c r="Z65" s="235">
        <f>Huacareta!Z34</f>
        <v>20</v>
      </c>
      <c r="AA65" s="235">
        <f>Huacareta!AA34</f>
        <v>0</v>
      </c>
      <c r="AB65" s="235">
        <f>Huacareta!AB34</f>
        <v>62</v>
      </c>
      <c r="AC65" s="235">
        <f>Huacareta!AC34</f>
        <v>36</v>
      </c>
      <c r="AD65" s="235">
        <f>Huacareta!AD34</f>
        <v>0</v>
      </c>
      <c r="AE65" s="235">
        <f>Huacareta!AE34</f>
        <v>141</v>
      </c>
      <c r="AF65" s="235">
        <f>Huacareta!AF34</f>
        <v>49</v>
      </c>
      <c r="AG65" s="235">
        <f>Huacareta!AG34</f>
        <v>0</v>
      </c>
      <c r="AH65" s="235">
        <f>Huacareta!AH34</f>
        <v>0</v>
      </c>
      <c r="AI65" s="235">
        <f>Huacareta!AI34</f>
        <v>0</v>
      </c>
      <c r="AJ65" s="235">
        <f>Huacareta!AJ34</f>
        <v>0</v>
      </c>
      <c r="AK65" s="249">
        <f t="shared" si="299"/>
        <v>233</v>
      </c>
      <c r="AL65" s="249">
        <f t="shared" si="300"/>
        <v>116</v>
      </c>
      <c r="AM65" s="249">
        <f t="shared" si="301"/>
        <v>349</v>
      </c>
      <c r="AN65" s="284">
        <f t="shared" si="302"/>
        <v>0</v>
      </c>
      <c r="AO65" s="88">
        <f t="shared" si="303"/>
        <v>0</v>
      </c>
      <c r="AP65" s="88">
        <f t="shared" si="304"/>
        <v>0</v>
      </c>
      <c r="AQ65" s="88">
        <f t="shared" si="305"/>
        <v>0</v>
      </c>
      <c r="AR65" s="285">
        <f t="shared" si="306"/>
        <v>66.762177650429805</v>
      </c>
      <c r="AS65" s="285">
        <f t="shared" si="307"/>
        <v>33.237822349570202</v>
      </c>
      <c r="AT65" s="280" t="e">
        <f t="shared" si="308"/>
        <v>#DIV/0!</v>
      </c>
      <c r="AU65" s="280" t="e">
        <f t="shared" si="309"/>
        <v>#DIV/0!</v>
      </c>
      <c r="AV65" s="280" t="e">
        <f t="shared" si="310"/>
        <v>#DIV/0!</v>
      </c>
      <c r="AW65" s="280" t="e">
        <f t="shared" si="311"/>
        <v>#DIV/0!</v>
      </c>
      <c r="AX65" s="280" t="e">
        <f t="shared" si="312"/>
        <v>#DIV/0!</v>
      </c>
      <c r="AY65" s="280" t="e">
        <f t="shared" si="313"/>
        <v>#DIV/0!</v>
      </c>
      <c r="AZ65" s="280" t="e">
        <f t="shared" si="314"/>
        <v>#DIV/0!</v>
      </c>
    </row>
    <row r="66" spans="1:52" s="237" customFormat="1" ht="20.25" customHeight="1">
      <c r="A66" s="240" t="s">
        <v>50</v>
      </c>
      <c r="B66" s="235">
        <f>Sucre!B41</f>
        <v>2</v>
      </c>
      <c r="C66" s="235">
        <f>Sucre!C41</f>
        <v>376</v>
      </c>
      <c r="D66" s="236">
        <f>Sucre!D41</f>
        <v>45952</v>
      </c>
      <c r="E66" s="236">
        <f>Sucre!E41</f>
        <v>45953</v>
      </c>
      <c r="F66" s="235">
        <f>Sucre!F41</f>
        <v>147</v>
      </c>
      <c r="G66" s="235">
        <f>Sucre!G41</f>
        <v>0</v>
      </c>
      <c r="H66" s="235">
        <f>Sucre!H41</f>
        <v>147</v>
      </c>
      <c r="I66" s="235">
        <f>Sucre!I41</f>
        <v>0</v>
      </c>
      <c r="J66" s="235">
        <f>Sucre!J41</f>
        <v>0</v>
      </c>
      <c r="K66" s="235">
        <f>Sucre!K41</f>
        <v>147</v>
      </c>
      <c r="L66" s="235">
        <f>Sucre!L41</f>
        <v>0</v>
      </c>
      <c r="M66" s="235">
        <f>Sucre!M41</f>
        <v>0</v>
      </c>
      <c r="N66" s="235">
        <f>Sucre!N41</f>
        <v>147</v>
      </c>
      <c r="O66" s="235">
        <f>Sucre!O41</f>
        <v>2</v>
      </c>
      <c r="P66" s="235">
        <f>Sucre!P41</f>
        <v>16</v>
      </c>
      <c r="Q66" s="235">
        <f>Sucre!Q41</f>
        <v>26</v>
      </c>
      <c r="R66" s="235">
        <f>Sucre!R41</f>
        <v>0</v>
      </c>
      <c r="S66" s="235">
        <f>Sucre!S41</f>
        <v>46</v>
      </c>
      <c r="T66" s="235">
        <f>Sucre!T41</f>
        <v>33</v>
      </c>
      <c r="U66" s="235">
        <f>Sucre!U41</f>
        <v>2</v>
      </c>
      <c r="V66" s="235">
        <f>Sucre!V41</f>
        <v>161</v>
      </c>
      <c r="W66" s="235">
        <f>Sucre!W41</f>
        <v>18</v>
      </c>
      <c r="X66" s="235">
        <f>Sucre!X41</f>
        <v>0</v>
      </c>
      <c r="Y66" s="235">
        <f>Sucre!Y41</f>
        <v>6</v>
      </c>
      <c r="Z66" s="235">
        <f>Sucre!Z41</f>
        <v>12</v>
      </c>
      <c r="AA66" s="235">
        <f>Sucre!AA41</f>
        <v>0</v>
      </c>
      <c r="AB66" s="235">
        <f>Sucre!AB41</f>
        <v>2</v>
      </c>
      <c r="AC66" s="235">
        <f>Sucre!AC41</f>
        <v>2</v>
      </c>
      <c r="AD66" s="235">
        <f>Sucre!AD41</f>
        <v>0</v>
      </c>
      <c r="AE66" s="235">
        <f>Sucre!AE41</f>
        <v>424</v>
      </c>
      <c r="AF66" s="235">
        <f>Sucre!AF41</f>
        <v>2</v>
      </c>
      <c r="AG66" s="235">
        <f>Sucre!AG41</f>
        <v>0</v>
      </c>
      <c r="AH66" s="235">
        <f>Sucre!AH41</f>
        <v>0</v>
      </c>
      <c r="AI66" s="235">
        <f>Sucre!AI41</f>
        <v>0</v>
      </c>
      <c r="AJ66" s="235">
        <f>Sucre!AJ41</f>
        <v>0</v>
      </c>
      <c r="AK66" s="249">
        <f t="shared" si="299"/>
        <v>655</v>
      </c>
      <c r="AL66" s="249">
        <f t="shared" si="300"/>
        <v>93</v>
      </c>
      <c r="AM66" s="249">
        <f t="shared" si="301"/>
        <v>748</v>
      </c>
      <c r="AN66" s="284">
        <f t="shared" si="302"/>
        <v>2</v>
      </c>
      <c r="AO66" s="88">
        <f t="shared" si="303"/>
        <v>1.3605442176870748</v>
      </c>
      <c r="AP66" s="88">
        <f t="shared" si="304"/>
        <v>1.3605442176870748</v>
      </c>
      <c r="AQ66" s="88">
        <f t="shared" si="305"/>
        <v>0.26737967914438499</v>
      </c>
      <c r="AR66" s="285">
        <f t="shared" si="306"/>
        <v>87.566844919786092</v>
      </c>
      <c r="AS66" s="285">
        <f t="shared" si="307"/>
        <v>12.433155080213904</v>
      </c>
      <c r="AT66" s="280">
        <f t="shared" si="308"/>
        <v>0</v>
      </c>
      <c r="AU66" s="280">
        <f t="shared" si="309"/>
        <v>100</v>
      </c>
      <c r="AV66" s="280">
        <f t="shared" si="310"/>
        <v>0</v>
      </c>
      <c r="AW66" s="280">
        <f t="shared" si="311"/>
        <v>0</v>
      </c>
      <c r="AX66" s="280">
        <f t="shared" si="312"/>
        <v>0</v>
      </c>
      <c r="AY66" s="280">
        <f t="shared" si="313"/>
        <v>0</v>
      </c>
      <c r="AZ66" s="280">
        <f t="shared" si="314"/>
        <v>0</v>
      </c>
    </row>
    <row r="67" spans="1:52" s="40" customFormat="1" ht="20.25" customHeight="1">
      <c r="A67" s="207" t="s">
        <v>291</v>
      </c>
      <c r="B67" s="207">
        <f>SUM(B62:B66)</f>
        <v>16</v>
      </c>
      <c r="C67" s="207">
        <f>SUM(C62:C66)</f>
        <v>3513</v>
      </c>
      <c r="D67" s="124">
        <f>MIN(D62:D66)</f>
        <v>45936</v>
      </c>
      <c r="E67" s="124">
        <f>MAX(E62:E66)</f>
        <v>45961</v>
      </c>
      <c r="F67" s="207">
        <f>SUM(F62:F66)</f>
        <v>1142</v>
      </c>
      <c r="G67" s="207">
        <f t="shared" ref="G67:AJ67" si="315">SUM(G62:G66)</f>
        <v>0</v>
      </c>
      <c r="H67" s="207">
        <f t="shared" si="315"/>
        <v>1142</v>
      </c>
      <c r="I67" s="207">
        <f t="shared" si="315"/>
        <v>13</v>
      </c>
      <c r="J67" s="207">
        <f t="shared" si="315"/>
        <v>0</v>
      </c>
      <c r="K67" s="207">
        <f t="shared" si="315"/>
        <v>1123</v>
      </c>
      <c r="L67" s="207">
        <f t="shared" si="315"/>
        <v>0</v>
      </c>
      <c r="M67" s="207">
        <f t="shared" si="315"/>
        <v>0</v>
      </c>
      <c r="N67" s="207">
        <f t="shared" si="315"/>
        <v>1142</v>
      </c>
      <c r="O67" s="207">
        <f t="shared" si="315"/>
        <v>16</v>
      </c>
      <c r="P67" s="207">
        <f t="shared" si="315"/>
        <v>16</v>
      </c>
      <c r="Q67" s="207">
        <f t="shared" si="315"/>
        <v>27</v>
      </c>
      <c r="R67" s="207">
        <f t="shared" si="315"/>
        <v>0</v>
      </c>
      <c r="S67" s="207">
        <f t="shared" si="315"/>
        <v>55</v>
      </c>
      <c r="T67" s="207">
        <f t="shared" si="315"/>
        <v>126</v>
      </c>
      <c r="U67" s="207">
        <f t="shared" si="315"/>
        <v>9</v>
      </c>
      <c r="V67" s="207">
        <f t="shared" si="315"/>
        <v>214</v>
      </c>
      <c r="W67" s="207">
        <f t="shared" si="315"/>
        <v>158</v>
      </c>
      <c r="X67" s="207">
        <f t="shared" si="315"/>
        <v>0</v>
      </c>
      <c r="Y67" s="207">
        <f t="shared" si="315"/>
        <v>12</v>
      </c>
      <c r="Z67" s="207">
        <f t="shared" si="315"/>
        <v>66</v>
      </c>
      <c r="AA67" s="207">
        <f t="shared" si="315"/>
        <v>1</v>
      </c>
      <c r="AB67" s="207">
        <f t="shared" si="315"/>
        <v>111</v>
      </c>
      <c r="AC67" s="207">
        <f t="shared" si="315"/>
        <v>186</v>
      </c>
      <c r="AD67" s="207">
        <f t="shared" si="315"/>
        <v>6</v>
      </c>
      <c r="AE67" s="207">
        <f t="shared" si="315"/>
        <v>611</v>
      </c>
      <c r="AF67" s="207">
        <f t="shared" si="315"/>
        <v>153</v>
      </c>
      <c r="AG67" s="207">
        <f t="shared" si="315"/>
        <v>1</v>
      </c>
      <c r="AH67" s="207">
        <f t="shared" si="315"/>
        <v>0</v>
      </c>
      <c r="AI67" s="207">
        <f t="shared" si="315"/>
        <v>0</v>
      </c>
      <c r="AJ67" s="207">
        <f t="shared" si="315"/>
        <v>0</v>
      </c>
      <c r="AK67" s="83">
        <f t="shared" ref="AK67:AK68" si="316">P67+S67+V67+Y67+AB67+AE67+AH67</f>
        <v>1019</v>
      </c>
      <c r="AL67" s="83">
        <f t="shared" ref="AL67:AL68" si="317">Q67+T67+W67+Z67+AC67+AF67+AI67</f>
        <v>716</v>
      </c>
      <c r="AM67" s="83">
        <f t="shared" ref="AM67:AM68" si="318">AK67+AL67</f>
        <v>1735</v>
      </c>
      <c r="AN67" s="178">
        <f t="shared" ref="AN67:AN68" si="319">R67+U67+X67+AA67+AD67+AG67+AJ67</f>
        <v>17</v>
      </c>
      <c r="AO67" s="85">
        <f t="shared" ref="AO67:AO68" si="320">O67/H67*100</f>
        <v>1.4010507880910683</v>
      </c>
      <c r="AP67" s="85">
        <f t="shared" ref="AP67:AP68" si="321">AN67/H67*100</f>
        <v>1.4886164623467601</v>
      </c>
      <c r="AQ67" s="85">
        <f t="shared" ref="AQ67:AQ68" si="322">AN67/AM67*100</f>
        <v>0.97982708933717577</v>
      </c>
      <c r="AR67" s="85">
        <f t="shared" ref="AR67:AR68" si="323">AK67/AM67*100</f>
        <v>58.731988472622476</v>
      </c>
      <c r="AS67" s="85">
        <f t="shared" ref="AS67:AS68" si="324">AL67/AM67*100</f>
        <v>41.268011527377524</v>
      </c>
      <c r="AT67" s="85">
        <f t="shared" ref="AT67:AT68" si="325">R67/AN67*100</f>
        <v>0</v>
      </c>
      <c r="AU67" s="85">
        <f t="shared" ref="AU67:AU68" si="326">U67/AN67*100</f>
        <v>52.941176470588239</v>
      </c>
      <c r="AV67" s="85">
        <f t="shared" ref="AV67:AV68" si="327">X67/AN67*100</f>
        <v>0</v>
      </c>
      <c r="AW67" s="85">
        <f t="shared" ref="AW67:AW68" si="328">AA67/AN67*100</f>
        <v>5.8823529411764701</v>
      </c>
      <c r="AX67" s="85">
        <f t="shared" ref="AX67:AX68" si="329">AD67/AN67*100</f>
        <v>35.294117647058826</v>
      </c>
      <c r="AY67" s="85">
        <f t="shared" ref="AY67:AY68" si="330">AG67/AN67*100</f>
        <v>5.8823529411764701</v>
      </c>
      <c r="AZ67" s="85">
        <f t="shared" ref="AZ67:AZ68" si="331">AJ67/AN67*100</f>
        <v>0</v>
      </c>
    </row>
    <row r="68" spans="1:52" s="237" customFormat="1" ht="20.25" customHeight="1">
      <c r="A68" s="202" t="s">
        <v>24</v>
      </c>
      <c r="B68" s="235">
        <f>Monteagudo!B144</f>
        <v>9</v>
      </c>
      <c r="C68" s="235">
        <f>Monteagudo!C144</f>
        <v>1268</v>
      </c>
      <c r="D68" s="236">
        <f>Monteagudo!D144</f>
        <v>45968</v>
      </c>
      <c r="E68" s="236">
        <f>Monteagudo!E144</f>
        <v>45989</v>
      </c>
      <c r="F68" s="235">
        <f>Monteagudo!F144</f>
        <v>343</v>
      </c>
      <c r="G68" s="235">
        <f>Monteagudo!G144</f>
        <v>0</v>
      </c>
      <c r="H68" s="235">
        <f>Monteagudo!H144</f>
        <v>343</v>
      </c>
      <c r="I68" s="235">
        <f>Monteagudo!I144</f>
        <v>0</v>
      </c>
      <c r="J68" s="235">
        <f>Monteagudo!J144</f>
        <v>0</v>
      </c>
      <c r="K68" s="235">
        <f>Monteagudo!K144</f>
        <v>0</v>
      </c>
      <c r="L68" s="235">
        <f>Monteagudo!L144</f>
        <v>0</v>
      </c>
      <c r="M68" s="235">
        <f>Monteagudo!M144</f>
        <v>0</v>
      </c>
      <c r="N68" s="235">
        <f>Monteagudo!N144</f>
        <v>343</v>
      </c>
      <c r="O68" s="235">
        <f>Monteagudo!O144</f>
        <v>10</v>
      </c>
      <c r="P68" s="235">
        <f>Monteagudo!P144</f>
        <v>0</v>
      </c>
      <c r="Q68" s="235">
        <f>Monteagudo!Q144</f>
        <v>0</v>
      </c>
      <c r="R68" s="235">
        <f>Monteagudo!R144</f>
        <v>0</v>
      </c>
      <c r="S68" s="235">
        <f>Monteagudo!S144</f>
        <v>0</v>
      </c>
      <c r="T68" s="235">
        <f>Monteagudo!T144</f>
        <v>16</v>
      </c>
      <c r="U68" s="235">
        <f>Monteagudo!U144</f>
        <v>3</v>
      </c>
      <c r="V68" s="235">
        <f>Monteagudo!V144</f>
        <v>3</v>
      </c>
      <c r="W68" s="235">
        <f>Monteagudo!W144</f>
        <v>77</v>
      </c>
      <c r="X68" s="235">
        <f>Monteagudo!X144</f>
        <v>5</v>
      </c>
      <c r="Y68" s="235">
        <f>Monteagudo!Y144</f>
        <v>1</v>
      </c>
      <c r="Z68" s="235">
        <f>Monteagudo!Z144</f>
        <v>12</v>
      </c>
      <c r="AA68" s="235">
        <f>Monteagudo!AA144</f>
        <v>0</v>
      </c>
      <c r="AB68" s="235">
        <f>Monteagudo!AB144</f>
        <v>1</v>
      </c>
      <c r="AC68" s="235">
        <f>Monteagudo!AC144</f>
        <v>100</v>
      </c>
      <c r="AD68" s="235">
        <f>Monteagudo!AD144</f>
        <v>3</v>
      </c>
      <c r="AE68" s="235">
        <f>Monteagudo!AE144</f>
        <v>9</v>
      </c>
      <c r="AF68" s="235">
        <f>Monteagudo!AF144</f>
        <v>78</v>
      </c>
      <c r="AG68" s="235">
        <f>Monteagudo!AG144</f>
        <v>0</v>
      </c>
      <c r="AH68" s="235">
        <f>Monteagudo!AH144</f>
        <v>0</v>
      </c>
      <c r="AI68" s="235">
        <f>Monteagudo!AI144</f>
        <v>4</v>
      </c>
      <c r="AJ68" s="235">
        <f>Monteagudo!AJ144</f>
        <v>0</v>
      </c>
      <c r="AK68" s="249">
        <f t="shared" si="316"/>
        <v>14</v>
      </c>
      <c r="AL68" s="249">
        <f t="shared" si="317"/>
        <v>287</v>
      </c>
      <c r="AM68" s="249">
        <f t="shared" si="318"/>
        <v>301</v>
      </c>
      <c r="AN68" s="284">
        <f t="shared" si="319"/>
        <v>11</v>
      </c>
      <c r="AO68" s="88">
        <f t="shared" si="320"/>
        <v>2.9154518950437316</v>
      </c>
      <c r="AP68" s="88">
        <f t="shared" si="321"/>
        <v>3.2069970845481048</v>
      </c>
      <c r="AQ68" s="88">
        <f t="shared" si="322"/>
        <v>3.6544850498338874</v>
      </c>
      <c r="AR68" s="285">
        <f t="shared" si="323"/>
        <v>4.6511627906976747</v>
      </c>
      <c r="AS68" s="285">
        <f t="shared" si="324"/>
        <v>95.348837209302332</v>
      </c>
      <c r="AT68" s="280">
        <f t="shared" si="325"/>
        <v>0</v>
      </c>
      <c r="AU68" s="280">
        <f t="shared" si="326"/>
        <v>27.27272727272727</v>
      </c>
      <c r="AV68" s="280">
        <f t="shared" si="327"/>
        <v>45.454545454545453</v>
      </c>
      <c r="AW68" s="280">
        <f t="shared" si="328"/>
        <v>0</v>
      </c>
      <c r="AX68" s="280">
        <f t="shared" si="329"/>
        <v>27.27272727272727</v>
      </c>
      <c r="AY68" s="280">
        <f t="shared" si="330"/>
        <v>0</v>
      </c>
      <c r="AZ68" s="280">
        <f t="shared" si="331"/>
        <v>0</v>
      </c>
    </row>
    <row r="69" spans="1:52" s="237" customFormat="1" ht="20.25" customHeight="1">
      <c r="A69" s="202" t="s">
        <v>106</v>
      </c>
      <c r="B69" s="235">
        <f>Muyupampa!C60</f>
        <v>5</v>
      </c>
      <c r="C69" s="235">
        <f>Muyupampa!D60</f>
        <v>1198</v>
      </c>
      <c r="D69" s="236">
        <f>Muyupampa!E60</f>
        <v>45985</v>
      </c>
      <c r="E69" s="236">
        <f>Muyupampa!F60</f>
        <v>45988</v>
      </c>
      <c r="F69" s="235">
        <f>Muyupampa!G60</f>
        <v>239</v>
      </c>
      <c r="G69" s="235">
        <f>Muyupampa!H60</f>
        <v>0</v>
      </c>
      <c r="H69" s="235">
        <f>Muyupampa!I60</f>
        <v>239</v>
      </c>
      <c r="I69" s="235">
        <f>Muyupampa!J60</f>
        <v>0</v>
      </c>
      <c r="J69" s="235">
        <f>Muyupampa!K60</f>
        <v>0</v>
      </c>
      <c r="K69" s="235">
        <f>Muyupampa!L60</f>
        <v>239</v>
      </c>
      <c r="L69" s="235">
        <f>Muyupampa!M60</f>
        <v>0</v>
      </c>
      <c r="M69" s="235">
        <f>Muyupampa!N60</f>
        <v>0</v>
      </c>
      <c r="N69" s="235">
        <f>Muyupampa!O60</f>
        <v>239</v>
      </c>
      <c r="O69" s="235">
        <f>Muyupampa!P60</f>
        <v>5</v>
      </c>
      <c r="P69" s="235">
        <f>Muyupampa!Q60</f>
        <v>0</v>
      </c>
      <c r="Q69" s="235">
        <f>Muyupampa!R60</f>
        <v>3</v>
      </c>
      <c r="R69" s="235">
        <f>Muyupampa!S60</f>
        <v>0</v>
      </c>
      <c r="S69" s="235">
        <f>Muyupampa!T60</f>
        <v>4</v>
      </c>
      <c r="T69" s="235">
        <f>Muyupampa!U60</f>
        <v>59</v>
      </c>
      <c r="U69" s="235">
        <f>Muyupampa!V60</f>
        <v>1</v>
      </c>
      <c r="V69" s="235">
        <f>Muyupampa!W60</f>
        <v>62</v>
      </c>
      <c r="W69" s="235">
        <f>Muyupampa!X60</f>
        <v>58</v>
      </c>
      <c r="X69" s="235">
        <f>Muyupampa!Y60</f>
        <v>1</v>
      </c>
      <c r="Y69" s="235">
        <f>Muyupampa!Z60</f>
        <v>0</v>
      </c>
      <c r="Z69" s="235">
        <f>Muyupampa!AA60</f>
        <v>5</v>
      </c>
      <c r="AA69" s="235">
        <f>Muyupampa!AB60</f>
        <v>0</v>
      </c>
      <c r="AB69" s="235">
        <f>Muyupampa!AC60</f>
        <v>96</v>
      </c>
      <c r="AC69" s="235">
        <f>Muyupampa!AD60</f>
        <v>35</v>
      </c>
      <c r="AD69" s="235">
        <f>Muyupampa!AE60</f>
        <v>2</v>
      </c>
      <c r="AE69" s="235">
        <f>Muyupampa!AF60</f>
        <v>44</v>
      </c>
      <c r="AF69" s="235">
        <f>Muyupampa!AG60</f>
        <v>24</v>
      </c>
      <c r="AG69" s="235">
        <f>Muyupampa!AH60</f>
        <v>1</v>
      </c>
      <c r="AH69" s="235">
        <f>Muyupampa!AI60</f>
        <v>0</v>
      </c>
      <c r="AI69" s="235">
        <f>Muyupampa!AJ60</f>
        <v>0</v>
      </c>
      <c r="AJ69" s="235">
        <f>Muyupampa!AK60</f>
        <v>0</v>
      </c>
      <c r="AK69" s="249">
        <f t="shared" ref="AK69:AK76" si="332">P69+S69+V69+Y69+AB69+AE69+AH69</f>
        <v>206</v>
      </c>
      <c r="AL69" s="249">
        <f t="shared" ref="AL69:AL76" si="333">Q69+T69+W69+Z69+AC69+AF69+AI69</f>
        <v>184</v>
      </c>
      <c r="AM69" s="249">
        <f t="shared" ref="AM69:AM76" si="334">AK69+AL69</f>
        <v>390</v>
      </c>
      <c r="AN69" s="284">
        <f t="shared" ref="AN69:AN76" si="335">R69+U69+X69+AA69+AD69+AG69+AJ69</f>
        <v>5</v>
      </c>
      <c r="AO69" s="88">
        <f t="shared" ref="AO69:AO76" si="336">O69/H69*100</f>
        <v>2.0920502092050208</v>
      </c>
      <c r="AP69" s="88">
        <f t="shared" ref="AP69:AP76" si="337">AN69/H69*100</f>
        <v>2.0920502092050208</v>
      </c>
      <c r="AQ69" s="88">
        <f t="shared" ref="AQ69:AQ76" si="338">AN69/AM69*100</f>
        <v>1.2820512820512819</v>
      </c>
      <c r="AR69" s="285">
        <f t="shared" ref="AR69:AR76" si="339">AK69/AM69*100</f>
        <v>52.820512820512825</v>
      </c>
      <c r="AS69" s="285">
        <f t="shared" ref="AS69:AS76" si="340">AL69/AM69*100</f>
        <v>47.179487179487175</v>
      </c>
      <c r="AT69" s="280">
        <f t="shared" ref="AT69:AT76" si="341">R69/AN69*100</f>
        <v>0</v>
      </c>
      <c r="AU69" s="280">
        <f t="shared" ref="AU69:AU76" si="342">U69/AN69*100</f>
        <v>20</v>
      </c>
      <c r="AV69" s="280">
        <f t="shared" ref="AV69:AV76" si="343">X69/AN69*100</f>
        <v>20</v>
      </c>
      <c r="AW69" s="280">
        <f t="shared" ref="AW69:AW76" si="344">AA69/AN69*100</f>
        <v>0</v>
      </c>
      <c r="AX69" s="280">
        <f t="shared" ref="AX69:AX76" si="345">AD69/AN69*100</f>
        <v>40</v>
      </c>
      <c r="AY69" s="280">
        <f t="shared" ref="AY69:AY76" si="346">AG69/AN69*100</f>
        <v>20</v>
      </c>
      <c r="AZ69" s="280">
        <f t="shared" ref="AZ69:AZ76" si="347">AJ69/AN69*100</f>
        <v>0</v>
      </c>
    </row>
    <row r="70" spans="1:52" s="237" customFormat="1" ht="20.25" customHeight="1">
      <c r="A70" s="202" t="s">
        <v>105</v>
      </c>
      <c r="B70" s="235">
        <f>Machareti!B59</f>
        <v>3</v>
      </c>
      <c r="C70" s="235">
        <f>Machareti!C59</f>
        <v>1550</v>
      </c>
      <c r="D70" s="236">
        <f>Machareti!D59</f>
        <v>45966</v>
      </c>
      <c r="E70" s="236">
        <f>Machareti!E59</f>
        <v>45988</v>
      </c>
      <c r="F70" s="235">
        <f>Machareti!F59</f>
        <v>524</v>
      </c>
      <c r="G70" s="235">
        <f>Machareti!G59</f>
        <v>0</v>
      </c>
      <c r="H70" s="235">
        <f>Machareti!H59</f>
        <v>524</v>
      </c>
      <c r="I70" s="235">
        <f>Machareti!I59</f>
        <v>0</v>
      </c>
      <c r="J70" s="235">
        <f>Machareti!J59</f>
        <v>0</v>
      </c>
      <c r="K70" s="235">
        <f>Machareti!K59</f>
        <v>524</v>
      </c>
      <c r="L70" s="235">
        <f>Machareti!L59</f>
        <v>0</v>
      </c>
      <c r="M70" s="235">
        <f>Machareti!M59</f>
        <v>0</v>
      </c>
      <c r="N70" s="235">
        <f>Machareti!N59</f>
        <v>524</v>
      </c>
      <c r="O70" s="235">
        <f>Machareti!O59</f>
        <v>50</v>
      </c>
      <c r="P70" s="235">
        <f>Machareti!P59</f>
        <v>0</v>
      </c>
      <c r="Q70" s="235">
        <f>Machareti!Q59</f>
        <v>0</v>
      </c>
      <c r="R70" s="235">
        <f>Machareti!R59</f>
        <v>0</v>
      </c>
      <c r="S70" s="235">
        <f>Machareti!S59</f>
        <v>1</v>
      </c>
      <c r="T70" s="235">
        <f>Machareti!T59</f>
        <v>1030</v>
      </c>
      <c r="U70" s="235">
        <f>Machareti!U59</f>
        <v>39</v>
      </c>
      <c r="V70" s="235">
        <f>Machareti!V59</f>
        <v>77</v>
      </c>
      <c r="W70" s="235">
        <f>Machareti!W59</f>
        <v>150</v>
      </c>
      <c r="X70" s="235">
        <f>Machareti!X59</f>
        <v>11</v>
      </c>
      <c r="Y70" s="235">
        <f>Machareti!Y59</f>
        <v>2</v>
      </c>
      <c r="Z70" s="235">
        <f>Machareti!Z59</f>
        <v>49</v>
      </c>
      <c r="AA70" s="235">
        <f>Machareti!AA59</f>
        <v>3</v>
      </c>
      <c r="AB70" s="235">
        <f>Machareti!AB59</f>
        <v>122</v>
      </c>
      <c r="AC70" s="235">
        <f>Machareti!AC59</f>
        <v>49</v>
      </c>
      <c r="AD70" s="235">
        <f>Machareti!AD59</f>
        <v>17</v>
      </c>
      <c r="AE70" s="235">
        <f>Machareti!AE59</f>
        <v>301</v>
      </c>
      <c r="AF70" s="235">
        <f>Machareti!AF59</f>
        <v>13</v>
      </c>
      <c r="AG70" s="235">
        <f>Machareti!AG59</f>
        <v>1</v>
      </c>
      <c r="AH70" s="235">
        <f>Machareti!AH59</f>
        <v>0</v>
      </c>
      <c r="AI70" s="235">
        <f>Machareti!AI59</f>
        <v>0</v>
      </c>
      <c r="AJ70" s="235">
        <f>Machareti!AJ59</f>
        <v>0</v>
      </c>
      <c r="AK70" s="249">
        <f t="shared" si="332"/>
        <v>503</v>
      </c>
      <c r="AL70" s="249">
        <f t="shared" si="333"/>
        <v>1291</v>
      </c>
      <c r="AM70" s="249">
        <f t="shared" si="334"/>
        <v>1794</v>
      </c>
      <c r="AN70" s="284">
        <f t="shared" si="335"/>
        <v>71</v>
      </c>
      <c r="AO70" s="88">
        <f t="shared" si="336"/>
        <v>9.5419847328244281</v>
      </c>
      <c r="AP70" s="88">
        <f t="shared" si="337"/>
        <v>13.549618320610687</v>
      </c>
      <c r="AQ70" s="88">
        <f t="shared" si="338"/>
        <v>3.9576365663322184</v>
      </c>
      <c r="AR70" s="285">
        <f t="shared" si="339"/>
        <v>28.037904124860646</v>
      </c>
      <c r="AS70" s="285">
        <f t="shared" si="340"/>
        <v>71.962095875139354</v>
      </c>
      <c r="AT70" s="280">
        <f t="shared" si="341"/>
        <v>0</v>
      </c>
      <c r="AU70" s="280">
        <f t="shared" si="342"/>
        <v>54.929577464788736</v>
      </c>
      <c r="AV70" s="280">
        <f t="shared" si="343"/>
        <v>15.492957746478872</v>
      </c>
      <c r="AW70" s="280">
        <f t="shared" si="344"/>
        <v>4.225352112676056</v>
      </c>
      <c r="AX70" s="280">
        <f t="shared" si="345"/>
        <v>23.943661971830984</v>
      </c>
      <c r="AY70" s="280">
        <f t="shared" si="346"/>
        <v>1.4084507042253522</v>
      </c>
      <c r="AZ70" s="280">
        <f t="shared" si="347"/>
        <v>0</v>
      </c>
    </row>
    <row r="71" spans="1:52" s="237" customFormat="1" ht="20.25" customHeight="1">
      <c r="A71" s="240" t="s">
        <v>25</v>
      </c>
      <c r="B71" s="235">
        <f>Huacareta!B40</f>
        <v>4</v>
      </c>
      <c r="C71" s="235">
        <f>Huacareta!C40</f>
        <v>689</v>
      </c>
      <c r="D71" s="236">
        <f>Huacareta!D40</f>
        <v>45973</v>
      </c>
      <c r="E71" s="236">
        <f>Huacareta!E40</f>
        <v>45988</v>
      </c>
      <c r="F71" s="235">
        <f>Huacareta!F40</f>
        <v>355</v>
      </c>
      <c r="G71" s="235">
        <f>Huacareta!G40</f>
        <v>0</v>
      </c>
      <c r="H71" s="235">
        <f>Huacareta!H40</f>
        <v>355</v>
      </c>
      <c r="I71" s="235">
        <f>Huacareta!I40</f>
        <v>25</v>
      </c>
      <c r="J71" s="235">
        <f>Huacareta!J40</f>
        <v>0</v>
      </c>
      <c r="K71" s="235">
        <f>Huacareta!K40</f>
        <v>380</v>
      </c>
      <c r="L71" s="235">
        <f>Huacareta!L40</f>
        <v>0</v>
      </c>
      <c r="M71" s="235">
        <f>Huacareta!M40</f>
        <v>0</v>
      </c>
      <c r="N71" s="235">
        <f>Huacareta!N40</f>
        <v>355</v>
      </c>
      <c r="O71" s="235">
        <f>Huacareta!O40</f>
        <v>6</v>
      </c>
      <c r="P71" s="235">
        <f>Huacareta!P40</f>
        <v>0</v>
      </c>
      <c r="Q71" s="235">
        <f>Huacareta!Q40</f>
        <v>0</v>
      </c>
      <c r="R71" s="235">
        <f>Huacareta!R40</f>
        <v>0</v>
      </c>
      <c r="S71" s="235">
        <f>Huacareta!S40</f>
        <v>7</v>
      </c>
      <c r="T71" s="235">
        <f>Huacareta!T40</f>
        <v>10</v>
      </c>
      <c r="U71" s="235">
        <f>Huacareta!U40</f>
        <v>3</v>
      </c>
      <c r="V71" s="235">
        <f>Huacareta!V40</f>
        <v>158</v>
      </c>
      <c r="W71" s="235">
        <f>Huacareta!W40</f>
        <v>170</v>
      </c>
      <c r="X71" s="235">
        <f>Huacareta!X40</f>
        <v>2</v>
      </c>
      <c r="Y71" s="235">
        <f>Huacareta!Y40</f>
        <v>0</v>
      </c>
      <c r="Z71" s="235">
        <f>Huacareta!Z40</f>
        <v>0</v>
      </c>
      <c r="AA71" s="235">
        <f>Huacareta!AA40</f>
        <v>0</v>
      </c>
      <c r="AB71" s="235">
        <f>Huacareta!AB40</f>
        <v>33</v>
      </c>
      <c r="AC71" s="235">
        <f>Huacareta!AC40</f>
        <v>66</v>
      </c>
      <c r="AD71" s="235">
        <f>Huacareta!AD40</f>
        <v>1</v>
      </c>
      <c r="AE71" s="235">
        <f>Huacareta!AE40</f>
        <v>152</v>
      </c>
      <c r="AF71" s="235">
        <f>Huacareta!AF40</f>
        <v>114</v>
      </c>
      <c r="AG71" s="235">
        <f>Huacareta!AG40</f>
        <v>0</v>
      </c>
      <c r="AH71" s="235">
        <f>Huacareta!$B$40</f>
        <v>4</v>
      </c>
      <c r="AI71" s="235">
        <f>Huacareta!$B$40</f>
        <v>4</v>
      </c>
      <c r="AJ71" s="235">
        <f>Huacareta!$B$40</f>
        <v>4</v>
      </c>
      <c r="AK71" s="249">
        <f t="shared" si="332"/>
        <v>354</v>
      </c>
      <c r="AL71" s="249">
        <f t="shared" si="333"/>
        <v>364</v>
      </c>
      <c r="AM71" s="249">
        <f t="shared" si="334"/>
        <v>718</v>
      </c>
      <c r="AN71" s="284">
        <f t="shared" si="335"/>
        <v>10</v>
      </c>
      <c r="AO71" s="88">
        <f t="shared" si="336"/>
        <v>1.6901408450704223</v>
      </c>
      <c r="AP71" s="88">
        <f t="shared" si="337"/>
        <v>2.8169014084507045</v>
      </c>
      <c r="AQ71" s="88">
        <f t="shared" si="338"/>
        <v>1.392757660167131</v>
      </c>
      <c r="AR71" s="285">
        <f t="shared" si="339"/>
        <v>49.303621169916433</v>
      </c>
      <c r="AS71" s="285">
        <f t="shared" si="340"/>
        <v>50.696378830083567</v>
      </c>
      <c r="AT71" s="280">
        <f t="shared" si="341"/>
        <v>0</v>
      </c>
      <c r="AU71" s="280">
        <f t="shared" si="342"/>
        <v>30</v>
      </c>
      <c r="AV71" s="280">
        <f t="shared" si="343"/>
        <v>20</v>
      </c>
      <c r="AW71" s="280">
        <f t="shared" si="344"/>
        <v>0</v>
      </c>
      <c r="AX71" s="280">
        <f t="shared" si="345"/>
        <v>10</v>
      </c>
      <c r="AY71" s="280">
        <f t="shared" si="346"/>
        <v>0</v>
      </c>
      <c r="AZ71" s="280">
        <f t="shared" si="347"/>
        <v>40</v>
      </c>
    </row>
    <row r="72" spans="1:52" s="237" customFormat="1" ht="20.25" customHeight="1">
      <c r="A72" s="240" t="s">
        <v>140</v>
      </c>
      <c r="B72" s="235">
        <f>Huacaya!B20</f>
        <v>4</v>
      </c>
      <c r="C72" s="235">
        <f>Huacaya!C20</f>
        <v>3297</v>
      </c>
      <c r="D72" s="236">
        <f>Huacaya!D20</f>
        <v>45966</v>
      </c>
      <c r="E72" s="236">
        <f>Huacaya!E20</f>
        <v>45986</v>
      </c>
      <c r="F72" s="235">
        <f>Huacaya!F20</f>
        <v>482</v>
      </c>
      <c r="G72" s="235">
        <f>Huacaya!G20</f>
        <v>0</v>
      </c>
      <c r="H72" s="235">
        <f>Huacaya!H20</f>
        <v>482</v>
      </c>
      <c r="I72" s="235">
        <f>Huacaya!I20</f>
        <v>20</v>
      </c>
      <c r="J72" s="235">
        <f>Huacaya!J20</f>
        <v>0</v>
      </c>
      <c r="K72" s="235">
        <f>Huacaya!K20</f>
        <v>502</v>
      </c>
      <c r="L72" s="235">
        <f>Huacaya!L20</f>
        <v>0</v>
      </c>
      <c r="M72" s="235">
        <f>Huacaya!M20</f>
        <v>0</v>
      </c>
      <c r="N72" s="235">
        <f>Huacaya!N20</f>
        <v>490</v>
      </c>
      <c r="O72" s="235">
        <f>Huacaya!O20</f>
        <v>23</v>
      </c>
      <c r="P72" s="235">
        <f>Huacaya!P20</f>
        <v>0</v>
      </c>
      <c r="Q72" s="235">
        <f>Huacaya!Q20</f>
        <v>24</v>
      </c>
      <c r="R72" s="235">
        <f>Huacaya!R20</f>
        <v>0</v>
      </c>
      <c r="S72" s="235">
        <f>Huacaya!S20</f>
        <v>49</v>
      </c>
      <c r="T72" s="235">
        <f>Huacaya!T20</f>
        <v>368</v>
      </c>
      <c r="U72" s="235">
        <f>Huacaya!U20</f>
        <v>9</v>
      </c>
      <c r="V72" s="235">
        <f>Huacaya!V20</f>
        <v>113</v>
      </c>
      <c r="W72" s="235">
        <f>Huacaya!W20</f>
        <v>154</v>
      </c>
      <c r="X72" s="235">
        <f>Huacaya!X20</f>
        <v>15</v>
      </c>
      <c r="Y72" s="235">
        <f>Huacaya!Y20</f>
        <v>88</v>
      </c>
      <c r="Z72" s="235">
        <f>Huacaya!Z20</f>
        <v>11</v>
      </c>
      <c r="AA72" s="235">
        <f>Huacaya!AA20</f>
        <v>0</v>
      </c>
      <c r="AB72" s="235">
        <f>Huacaya!AB20</f>
        <v>57</v>
      </c>
      <c r="AC72" s="235">
        <f>Huacaya!AC20</f>
        <v>46</v>
      </c>
      <c r="AD72" s="235">
        <f>Huacaya!AD20</f>
        <v>4</v>
      </c>
      <c r="AE72" s="235">
        <f>Huacaya!AE20</f>
        <v>564</v>
      </c>
      <c r="AF72" s="235">
        <f>Huacaya!AF20</f>
        <v>37</v>
      </c>
      <c r="AG72" s="235">
        <f>Huacaya!AG20</f>
        <v>0</v>
      </c>
      <c r="AH72" s="235">
        <f>Huacaya!AH20</f>
        <v>0</v>
      </c>
      <c r="AI72" s="235">
        <f>Huacaya!AI20</f>
        <v>10</v>
      </c>
      <c r="AJ72" s="235">
        <f>Huacaya!AJ20</f>
        <v>1</v>
      </c>
      <c r="AK72" s="249">
        <f t="shared" si="332"/>
        <v>871</v>
      </c>
      <c r="AL72" s="249">
        <f t="shared" si="333"/>
        <v>650</v>
      </c>
      <c r="AM72" s="249">
        <f t="shared" si="334"/>
        <v>1521</v>
      </c>
      <c r="AN72" s="284">
        <f t="shared" si="335"/>
        <v>29</v>
      </c>
      <c r="AO72" s="88">
        <f t="shared" si="336"/>
        <v>4.7717842323651452</v>
      </c>
      <c r="AP72" s="88">
        <f t="shared" si="337"/>
        <v>6.0165975103734439</v>
      </c>
      <c r="AQ72" s="88">
        <f t="shared" si="338"/>
        <v>1.9066403681788298</v>
      </c>
      <c r="AR72" s="285">
        <f t="shared" si="339"/>
        <v>57.26495726495726</v>
      </c>
      <c r="AS72" s="285">
        <f t="shared" si="340"/>
        <v>42.735042735042732</v>
      </c>
      <c r="AT72" s="280">
        <f t="shared" si="341"/>
        <v>0</v>
      </c>
      <c r="AU72" s="280">
        <f t="shared" si="342"/>
        <v>31.03448275862069</v>
      </c>
      <c r="AV72" s="280">
        <f t="shared" si="343"/>
        <v>51.724137931034484</v>
      </c>
      <c r="AW72" s="280">
        <f t="shared" si="344"/>
        <v>0</v>
      </c>
      <c r="AX72" s="280">
        <f t="shared" si="345"/>
        <v>13.793103448275861</v>
      </c>
      <c r="AY72" s="280">
        <f t="shared" si="346"/>
        <v>0</v>
      </c>
      <c r="AZ72" s="280">
        <f t="shared" si="347"/>
        <v>3.4482758620689653</v>
      </c>
    </row>
    <row r="73" spans="1:52" s="237" customFormat="1" ht="20.25" customHeight="1">
      <c r="A73" s="240" t="s">
        <v>50</v>
      </c>
      <c r="B73" s="235">
        <f>Sucre!B51</f>
        <v>2</v>
      </c>
      <c r="C73" s="235">
        <f>Sucre!C51</f>
        <v>1091</v>
      </c>
      <c r="D73" s="236">
        <f>Sucre!D51</f>
        <v>45967</v>
      </c>
      <c r="E73" s="236">
        <f>Sucre!E51</f>
        <v>45986</v>
      </c>
      <c r="F73" s="235">
        <f>Sucre!F51</f>
        <v>510</v>
      </c>
      <c r="G73" s="235">
        <f>Sucre!G51</f>
        <v>0</v>
      </c>
      <c r="H73" s="235">
        <f>Sucre!H51</f>
        <v>510</v>
      </c>
      <c r="I73" s="235">
        <f>Sucre!I51</f>
        <v>82</v>
      </c>
      <c r="J73" s="235">
        <f>Sucre!J51</f>
        <v>0</v>
      </c>
      <c r="K73" s="235">
        <f>Sucre!K51</f>
        <v>592</v>
      </c>
      <c r="L73" s="235">
        <f>Sucre!L51</f>
        <v>0</v>
      </c>
      <c r="M73" s="235">
        <f>Sucre!M51</f>
        <v>0</v>
      </c>
      <c r="N73" s="235">
        <f>Sucre!N51</f>
        <v>405</v>
      </c>
      <c r="O73" s="235">
        <f>Sucre!O51</f>
        <v>19</v>
      </c>
      <c r="P73" s="235">
        <f>Sucre!P51</f>
        <v>26</v>
      </c>
      <c r="Q73" s="235">
        <f>Sucre!Q51</f>
        <v>106</v>
      </c>
      <c r="R73" s="235">
        <f>Sucre!R51</f>
        <v>0</v>
      </c>
      <c r="S73" s="235">
        <f>Sucre!S51</f>
        <v>124</v>
      </c>
      <c r="T73" s="235">
        <f>Sucre!T51</f>
        <v>253</v>
      </c>
      <c r="U73" s="235">
        <f>Sucre!U51</f>
        <v>15</v>
      </c>
      <c r="V73" s="235">
        <f>Sucre!V51</f>
        <v>598</v>
      </c>
      <c r="W73" s="235">
        <f>Sucre!W51</f>
        <v>104</v>
      </c>
      <c r="X73" s="235">
        <f>Sucre!X51</f>
        <v>2</v>
      </c>
      <c r="Y73" s="235">
        <f>Sucre!Y51</f>
        <v>24</v>
      </c>
      <c r="Z73" s="235">
        <f>Sucre!Z51</f>
        <v>18</v>
      </c>
      <c r="AA73" s="235">
        <f>Sucre!AA51</f>
        <v>2</v>
      </c>
      <c r="AB73" s="235">
        <f>Sucre!AB51</f>
        <v>181</v>
      </c>
      <c r="AC73" s="235">
        <f>Sucre!AC51</f>
        <v>4</v>
      </c>
      <c r="AD73" s="235">
        <f>Sucre!AD51</f>
        <v>2</v>
      </c>
      <c r="AE73" s="235">
        <f>Sucre!AE51</f>
        <v>1416</v>
      </c>
      <c r="AF73" s="235">
        <f>Sucre!AF51</f>
        <v>32</v>
      </c>
      <c r="AG73" s="235">
        <f>Sucre!AG51</f>
        <v>0</v>
      </c>
      <c r="AH73" s="235">
        <f>Sucre!AH51</f>
        <v>0</v>
      </c>
      <c r="AI73" s="235">
        <f>Sucre!AI51</f>
        <v>0</v>
      </c>
      <c r="AJ73" s="235">
        <f>Sucre!AJ51</f>
        <v>0</v>
      </c>
      <c r="AK73" s="249">
        <f t="shared" si="332"/>
        <v>2369</v>
      </c>
      <c r="AL73" s="249">
        <f t="shared" si="333"/>
        <v>517</v>
      </c>
      <c r="AM73" s="249">
        <f t="shared" si="334"/>
        <v>2886</v>
      </c>
      <c r="AN73" s="284">
        <f t="shared" si="335"/>
        <v>21</v>
      </c>
      <c r="AO73" s="88">
        <f t="shared" si="336"/>
        <v>3.7254901960784315</v>
      </c>
      <c r="AP73" s="88">
        <f t="shared" si="337"/>
        <v>4.117647058823529</v>
      </c>
      <c r="AQ73" s="88">
        <f t="shared" si="338"/>
        <v>0.72765072765072769</v>
      </c>
      <c r="AR73" s="285">
        <f t="shared" si="339"/>
        <v>82.085932085932086</v>
      </c>
      <c r="AS73" s="285">
        <f t="shared" si="340"/>
        <v>17.914067914067914</v>
      </c>
      <c r="AT73" s="280">
        <f t="shared" si="341"/>
        <v>0</v>
      </c>
      <c r="AU73" s="280">
        <f t="shared" si="342"/>
        <v>71.428571428571431</v>
      </c>
      <c r="AV73" s="280">
        <f t="shared" si="343"/>
        <v>9.5238095238095237</v>
      </c>
      <c r="AW73" s="280">
        <f t="shared" si="344"/>
        <v>9.5238095238095237</v>
      </c>
      <c r="AX73" s="280">
        <f t="shared" si="345"/>
        <v>9.5238095238095237</v>
      </c>
      <c r="AY73" s="280">
        <f t="shared" si="346"/>
        <v>0</v>
      </c>
      <c r="AZ73" s="280">
        <f t="shared" si="347"/>
        <v>0</v>
      </c>
    </row>
    <row r="74" spans="1:52" s="237" customFormat="1" ht="20.25" customHeight="1">
      <c r="A74" s="240" t="s">
        <v>49</v>
      </c>
      <c r="B74" s="235">
        <f>Padilla!B26</f>
        <v>3</v>
      </c>
      <c r="C74" s="235">
        <f>Padilla!C26</f>
        <v>510</v>
      </c>
      <c r="D74" s="236">
        <f>Padilla!D26</f>
        <v>45974</v>
      </c>
      <c r="E74" s="236">
        <f>Padilla!E26</f>
        <v>45989</v>
      </c>
      <c r="F74" s="235">
        <f>Padilla!F26</f>
        <v>207</v>
      </c>
      <c r="G74" s="235">
        <f>Padilla!G26</f>
        <v>0</v>
      </c>
      <c r="H74" s="235">
        <f>Padilla!H26</f>
        <v>207</v>
      </c>
      <c r="I74" s="235">
        <f>Padilla!I26</f>
        <v>0</v>
      </c>
      <c r="J74" s="235">
        <f>Padilla!J26</f>
        <v>0</v>
      </c>
      <c r="K74" s="235">
        <f>Padilla!K26</f>
        <v>207</v>
      </c>
      <c r="L74" s="235">
        <f>Padilla!L26</f>
        <v>0</v>
      </c>
      <c r="M74" s="235">
        <f>Padilla!M26</f>
        <v>0</v>
      </c>
      <c r="N74" s="235">
        <f>Padilla!N26</f>
        <v>218</v>
      </c>
      <c r="O74" s="235">
        <f>Padilla!O26</f>
        <v>3</v>
      </c>
      <c r="P74" s="235">
        <f>Padilla!P26</f>
        <v>0</v>
      </c>
      <c r="Q74" s="235">
        <f>Padilla!Q26</f>
        <v>2</v>
      </c>
      <c r="R74" s="235">
        <f>Padilla!R26</f>
        <v>0</v>
      </c>
      <c r="S74" s="235">
        <f>Padilla!S26</f>
        <v>3</v>
      </c>
      <c r="T74" s="235">
        <f>Padilla!T26</f>
        <v>135</v>
      </c>
      <c r="U74" s="235">
        <f>Padilla!U26</f>
        <v>5</v>
      </c>
      <c r="V74" s="235">
        <f>Padilla!V26</f>
        <v>136</v>
      </c>
      <c r="W74" s="235">
        <f>Padilla!W26</f>
        <v>58</v>
      </c>
      <c r="X74" s="235">
        <f>Padilla!X26</f>
        <v>0</v>
      </c>
      <c r="Y74" s="235">
        <f>Padilla!Y26</f>
        <v>0</v>
      </c>
      <c r="Z74" s="235">
        <f>Padilla!Z26</f>
        <v>12</v>
      </c>
      <c r="AA74" s="235">
        <f>Padilla!AA26</f>
        <v>0</v>
      </c>
      <c r="AB74" s="235">
        <f>Padilla!AB26</f>
        <v>50</v>
      </c>
      <c r="AC74" s="235">
        <f>Padilla!AC26</f>
        <v>98</v>
      </c>
      <c r="AD74" s="235">
        <f>Padilla!AD26</f>
        <v>0</v>
      </c>
      <c r="AE74" s="235">
        <f>Padilla!AE26</f>
        <v>369</v>
      </c>
      <c r="AF74" s="235">
        <f>Padilla!AF26</f>
        <v>13</v>
      </c>
      <c r="AG74" s="235">
        <f>Padilla!AG26</f>
        <v>0</v>
      </c>
      <c r="AH74" s="235">
        <f>Padilla!AH26</f>
        <v>0</v>
      </c>
      <c r="AI74" s="235">
        <f>Padilla!AI26</f>
        <v>0</v>
      </c>
      <c r="AJ74" s="235">
        <f>Padilla!AJ26</f>
        <v>0</v>
      </c>
      <c r="AK74" s="249">
        <f t="shared" si="332"/>
        <v>558</v>
      </c>
      <c r="AL74" s="249">
        <f t="shared" si="333"/>
        <v>318</v>
      </c>
      <c r="AM74" s="249">
        <f t="shared" si="334"/>
        <v>876</v>
      </c>
      <c r="AN74" s="284">
        <f t="shared" si="335"/>
        <v>5</v>
      </c>
      <c r="AO74" s="88">
        <f t="shared" si="336"/>
        <v>1.4492753623188406</v>
      </c>
      <c r="AP74" s="88">
        <f t="shared" si="337"/>
        <v>2.4154589371980677</v>
      </c>
      <c r="AQ74" s="88">
        <f t="shared" si="338"/>
        <v>0.57077625570776247</v>
      </c>
      <c r="AR74" s="285">
        <f t="shared" si="339"/>
        <v>63.698630136986303</v>
      </c>
      <c r="AS74" s="285">
        <f t="shared" si="340"/>
        <v>36.301369863013697</v>
      </c>
      <c r="AT74" s="280">
        <f t="shared" si="341"/>
        <v>0</v>
      </c>
      <c r="AU74" s="280">
        <f t="shared" si="342"/>
        <v>100</v>
      </c>
      <c r="AV74" s="280">
        <f t="shared" si="343"/>
        <v>0</v>
      </c>
      <c r="AW74" s="280">
        <f t="shared" si="344"/>
        <v>0</v>
      </c>
      <c r="AX74" s="280">
        <f t="shared" si="345"/>
        <v>0</v>
      </c>
      <c r="AY74" s="280">
        <f t="shared" si="346"/>
        <v>0</v>
      </c>
      <c r="AZ74" s="280">
        <f t="shared" si="347"/>
        <v>0</v>
      </c>
    </row>
    <row r="75" spans="1:52" s="237" customFormat="1" ht="20.25" customHeight="1">
      <c r="A75" s="240" t="s">
        <v>23</v>
      </c>
      <c r="B75" s="235">
        <f>'Villa Serrano'!B17</f>
        <v>3</v>
      </c>
      <c r="C75" s="235">
        <f>'Villa Serrano'!C17</f>
        <v>1368</v>
      </c>
      <c r="D75" s="236">
        <f>'Villa Serrano'!D17</f>
        <v>45965</v>
      </c>
      <c r="E75" s="236">
        <f>'Villa Serrano'!E17</f>
        <v>45980</v>
      </c>
      <c r="F75" s="235">
        <f>'Villa Serrano'!F17</f>
        <v>492</v>
      </c>
      <c r="G75" s="235">
        <f>'Villa Serrano'!G17</f>
        <v>0</v>
      </c>
      <c r="H75" s="235">
        <f>'Villa Serrano'!H17</f>
        <v>492</v>
      </c>
      <c r="I75" s="235">
        <f>'Villa Serrano'!I17</f>
        <v>0</v>
      </c>
      <c r="J75" s="235">
        <f>'Villa Serrano'!J17</f>
        <v>0</v>
      </c>
      <c r="K75" s="235">
        <f>'Villa Serrano'!K17</f>
        <v>492</v>
      </c>
      <c r="L75" s="235">
        <f>'Villa Serrano'!L17</f>
        <v>0</v>
      </c>
      <c r="M75" s="235">
        <f>'Villa Serrano'!M17</f>
        <v>0</v>
      </c>
      <c r="N75" s="235">
        <f>'Villa Serrano'!N17</f>
        <v>492</v>
      </c>
      <c r="O75" s="235">
        <f>'Villa Serrano'!O17</f>
        <v>3</v>
      </c>
      <c r="P75" s="235">
        <f>'Villa Serrano'!P17</f>
        <v>0</v>
      </c>
      <c r="Q75" s="235">
        <f>'Villa Serrano'!Q17</f>
        <v>4</v>
      </c>
      <c r="R75" s="235">
        <f>'Villa Serrano'!R17</f>
        <v>0</v>
      </c>
      <c r="S75" s="235">
        <f>'Villa Serrano'!S17</f>
        <v>7</v>
      </c>
      <c r="T75" s="235">
        <f>'Villa Serrano'!T17</f>
        <v>20</v>
      </c>
      <c r="U75" s="235">
        <f>'Villa Serrano'!U17</f>
        <v>0</v>
      </c>
      <c r="V75" s="235">
        <f>'Villa Serrano'!V17</f>
        <v>67</v>
      </c>
      <c r="W75" s="235">
        <f>'Villa Serrano'!W17</f>
        <v>111</v>
      </c>
      <c r="X75" s="235">
        <f>'Villa Serrano'!X17</f>
        <v>0</v>
      </c>
      <c r="Y75" s="235">
        <f>'Villa Serrano'!Y17</f>
        <v>0</v>
      </c>
      <c r="Z75" s="235">
        <f>'Villa Serrano'!Z17</f>
        <v>0</v>
      </c>
      <c r="AA75" s="235">
        <f>'Villa Serrano'!AA17</f>
        <v>0</v>
      </c>
      <c r="AB75" s="235">
        <f>'Villa Serrano'!AB17</f>
        <v>79</v>
      </c>
      <c r="AC75" s="235">
        <f>'Villa Serrano'!AC17</f>
        <v>101</v>
      </c>
      <c r="AD75" s="235">
        <f>'Villa Serrano'!AD17</f>
        <v>4</v>
      </c>
      <c r="AE75" s="235">
        <f>'Villa Serrano'!AE17</f>
        <v>86</v>
      </c>
      <c r="AF75" s="235">
        <f>'Villa Serrano'!AF17</f>
        <v>142</v>
      </c>
      <c r="AG75" s="235">
        <f>'Villa Serrano'!AG17</f>
        <v>1</v>
      </c>
      <c r="AH75" s="235">
        <f>'Villa Serrano'!AH17</f>
        <v>0</v>
      </c>
      <c r="AI75" s="235">
        <f>'Villa Serrano'!AI17</f>
        <v>0</v>
      </c>
      <c r="AJ75" s="235">
        <f>'Villa Serrano'!AJ17</f>
        <v>0</v>
      </c>
      <c r="AK75" s="249">
        <f t="shared" si="332"/>
        <v>239</v>
      </c>
      <c r="AL75" s="249">
        <f t="shared" si="333"/>
        <v>378</v>
      </c>
      <c r="AM75" s="249">
        <f t="shared" si="334"/>
        <v>617</v>
      </c>
      <c r="AN75" s="284">
        <f t="shared" si="335"/>
        <v>5</v>
      </c>
      <c r="AO75" s="88">
        <f t="shared" si="336"/>
        <v>0.6097560975609756</v>
      </c>
      <c r="AP75" s="88">
        <f t="shared" si="337"/>
        <v>1.0162601626016259</v>
      </c>
      <c r="AQ75" s="88">
        <f t="shared" si="338"/>
        <v>0.81037277147487841</v>
      </c>
      <c r="AR75" s="285">
        <f t="shared" si="339"/>
        <v>38.73581847649919</v>
      </c>
      <c r="AS75" s="285">
        <f t="shared" si="340"/>
        <v>61.264181523500817</v>
      </c>
      <c r="AT75" s="280">
        <f t="shared" si="341"/>
        <v>0</v>
      </c>
      <c r="AU75" s="280">
        <f t="shared" si="342"/>
        <v>0</v>
      </c>
      <c r="AV75" s="280">
        <f t="shared" si="343"/>
        <v>0</v>
      </c>
      <c r="AW75" s="280">
        <f t="shared" si="344"/>
        <v>0</v>
      </c>
      <c r="AX75" s="280">
        <f t="shared" si="345"/>
        <v>80</v>
      </c>
      <c r="AY75" s="280">
        <f t="shared" si="346"/>
        <v>20</v>
      </c>
      <c r="AZ75" s="280">
        <f t="shared" si="347"/>
        <v>0</v>
      </c>
    </row>
    <row r="76" spans="1:52" s="40" customFormat="1" ht="20.25" customHeight="1">
      <c r="A76" s="207" t="s">
        <v>295</v>
      </c>
      <c r="B76" s="207">
        <f>SUM(B68:B75)</f>
        <v>33</v>
      </c>
      <c r="C76" s="207">
        <f>SUM(C68:C75)</f>
        <v>10971</v>
      </c>
      <c r="D76" s="124">
        <f>MIN(D68:D75)</f>
        <v>45965</v>
      </c>
      <c r="E76" s="124">
        <f>MAX(E68:E75)</f>
        <v>45989</v>
      </c>
      <c r="F76" s="207">
        <f>SUM(F68:F75)</f>
        <v>3152</v>
      </c>
      <c r="G76" s="207">
        <f t="shared" ref="G76:AJ76" si="348">SUM(G68:G75)</f>
        <v>0</v>
      </c>
      <c r="H76" s="207">
        <f t="shared" si="348"/>
        <v>3152</v>
      </c>
      <c r="I76" s="207">
        <f t="shared" si="348"/>
        <v>127</v>
      </c>
      <c r="J76" s="207">
        <f t="shared" si="348"/>
        <v>0</v>
      </c>
      <c r="K76" s="207">
        <f t="shared" si="348"/>
        <v>2936</v>
      </c>
      <c r="L76" s="207">
        <f t="shared" si="348"/>
        <v>0</v>
      </c>
      <c r="M76" s="207">
        <f t="shared" si="348"/>
        <v>0</v>
      </c>
      <c r="N76" s="207">
        <f t="shared" si="348"/>
        <v>3066</v>
      </c>
      <c r="O76" s="207">
        <f t="shared" si="348"/>
        <v>119</v>
      </c>
      <c r="P76" s="207">
        <f t="shared" si="348"/>
        <v>26</v>
      </c>
      <c r="Q76" s="207">
        <f t="shared" si="348"/>
        <v>139</v>
      </c>
      <c r="R76" s="207">
        <f t="shared" si="348"/>
        <v>0</v>
      </c>
      <c r="S76" s="207">
        <f t="shared" si="348"/>
        <v>195</v>
      </c>
      <c r="T76" s="207">
        <f t="shared" si="348"/>
        <v>1891</v>
      </c>
      <c r="U76" s="207">
        <f t="shared" si="348"/>
        <v>75</v>
      </c>
      <c r="V76" s="207">
        <f t="shared" si="348"/>
        <v>1214</v>
      </c>
      <c r="W76" s="207">
        <f t="shared" si="348"/>
        <v>882</v>
      </c>
      <c r="X76" s="207">
        <f t="shared" si="348"/>
        <v>36</v>
      </c>
      <c r="Y76" s="207">
        <f t="shared" si="348"/>
        <v>115</v>
      </c>
      <c r="Z76" s="207">
        <f t="shared" si="348"/>
        <v>107</v>
      </c>
      <c r="AA76" s="207">
        <f t="shared" si="348"/>
        <v>5</v>
      </c>
      <c r="AB76" s="207">
        <f t="shared" si="348"/>
        <v>619</v>
      </c>
      <c r="AC76" s="207">
        <f t="shared" si="348"/>
        <v>499</v>
      </c>
      <c r="AD76" s="207">
        <f t="shared" si="348"/>
        <v>33</v>
      </c>
      <c r="AE76" s="207">
        <f t="shared" si="348"/>
        <v>2941</v>
      </c>
      <c r="AF76" s="207">
        <f t="shared" si="348"/>
        <v>453</v>
      </c>
      <c r="AG76" s="207">
        <f t="shared" si="348"/>
        <v>3</v>
      </c>
      <c r="AH76" s="207">
        <f t="shared" si="348"/>
        <v>4</v>
      </c>
      <c r="AI76" s="207">
        <f t="shared" si="348"/>
        <v>18</v>
      </c>
      <c r="AJ76" s="207">
        <f t="shared" si="348"/>
        <v>5</v>
      </c>
      <c r="AK76" s="83">
        <f t="shared" si="332"/>
        <v>5114</v>
      </c>
      <c r="AL76" s="83">
        <f t="shared" si="333"/>
        <v>3989</v>
      </c>
      <c r="AM76" s="83">
        <f t="shared" si="334"/>
        <v>9103</v>
      </c>
      <c r="AN76" s="178">
        <f t="shared" si="335"/>
        <v>157</v>
      </c>
      <c r="AO76" s="85">
        <f t="shared" si="336"/>
        <v>3.7753807106598987</v>
      </c>
      <c r="AP76" s="85">
        <f t="shared" si="337"/>
        <v>4.9809644670050757</v>
      </c>
      <c r="AQ76" s="85">
        <f t="shared" si="338"/>
        <v>1.7247061408326925</v>
      </c>
      <c r="AR76" s="85">
        <f t="shared" si="339"/>
        <v>56.179281555531148</v>
      </c>
      <c r="AS76" s="85">
        <f t="shared" si="340"/>
        <v>43.820718444468859</v>
      </c>
      <c r="AT76" s="85">
        <f t="shared" si="341"/>
        <v>0</v>
      </c>
      <c r="AU76" s="85">
        <f t="shared" si="342"/>
        <v>47.770700636942678</v>
      </c>
      <c r="AV76" s="85">
        <f t="shared" si="343"/>
        <v>22.929936305732486</v>
      </c>
      <c r="AW76" s="85">
        <f t="shared" si="344"/>
        <v>3.1847133757961785</v>
      </c>
      <c r="AX76" s="85">
        <f t="shared" si="345"/>
        <v>21.019108280254777</v>
      </c>
      <c r="AY76" s="85">
        <f t="shared" si="346"/>
        <v>1.910828025477707</v>
      </c>
      <c r="AZ76" s="85">
        <f t="shared" si="347"/>
        <v>3.1847133757961785</v>
      </c>
    </row>
    <row r="77" spans="1:52" s="237" customFormat="1" ht="20.25" customHeight="1">
      <c r="A77" s="202" t="s">
        <v>24</v>
      </c>
      <c r="B77" s="235">
        <f>Monteagudo!B147</f>
        <v>1</v>
      </c>
      <c r="C77" s="235">
        <f>Monteagudo!C147</f>
        <v>812</v>
      </c>
      <c r="D77" s="236">
        <f>Monteagudo!D147</f>
        <v>45993</v>
      </c>
      <c r="E77" s="236">
        <f>Monteagudo!E147</f>
        <v>46010</v>
      </c>
      <c r="F77" s="235">
        <f>Monteagudo!F147</f>
        <v>220</v>
      </c>
      <c r="G77" s="235">
        <f>Monteagudo!G147</f>
        <v>0</v>
      </c>
      <c r="H77" s="235">
        <f>Monteagudo!H147</f>
        <v>220</v>
      </c>
      <c r="I77" s="235">
        <f>Monteagudo!I147</f>
        <v>0</v>
      </c>
      <c r="J77" s="235">
        <f>Monteagudo!J147</f>
        <v>0</v>
      </c>
      <c r="K77" s="235">
        <f>Monteagudo!K147</f>
        <v>220</v>
      </c>
      <c r="L77" s="235">
        <f>Monteagudo!L147</f>
        <v>0</v>
      </c>
      <c r="M77" s="235">
        <f>Monteagudo!M147</f>
        <v>0</v>
      </c>
      <c r="N77" s="235">
        <f>Monteagudo!N147</f>
        <v>220</v>
      </c>
      <c r="O77" s="235">
        <f>Monteagudo!O147</f>
        <v>15</v>
      </c>
      <c r="P77" s="235">
        <f>Monteagudo!P147</f>
        <v>0</v>
      </c>
      <c r="Q77" s="235">
        <f>Monteagudo!Q147</f>
        <v>0</v>
      </c>
      <c r="R77" s="235">
        <f>Monteagudo!R147</f>
        <v>0</v>
      </c>
      <c r="S77" s="235">
        <f>Monteagudo!S147</f>
        <v>0</v>
      </c>
      <c r="T77" s="235">
        <f>Monteagudo!T147</f>
        <v>12</v>
      </c>
      <c r="U77" s="235">
        <f>Monteagudo!U147</f>
        <v>5</v>
      </c>
      <c r="V77" s="235">
        <f>Monteagudo!V147</f>
        <v>0</v>
      </c>
      <c r="W77" s="235">
        <f>Monteagudo!W147</f>
        <v>20</v>
      </c>
      <c r="X77" s="235">
        <f>Monteagudo!X147</f>
        <v>5</v>
      </c>
      <c r="Y77" s="235">
        <f>Monteagudo!Y147</f>
        <v>0</v>
      </c>
      <c r="Z77" s="235">
        <f>Monteagudo!Z147</f>
        <v>31</v>
      </c>
      <c r="AA77" s="235">
        <f>Monteagudo!AA147</f>
        <v>1</v>
      </c>
      <c r="AB77" s="235">
        <f>Monteagudo!AB147</f>
        <v>0</v>
      </c>
      <c r="AC77" s="235">
        <f>Monteagudo!AC147</f>
        <v>35</v>
      </c>
      <c r="AD77" s="235">
        <f>Monteagudo!AD147</f>
        <v>3</v>
      </c>
      <c r="AE77" s="235">
        <f>Monteagudo!AE147</f>
        <v>0</v>
      </c>
      <c r="AF77" s="235">
        <f>Monteagudo!AF147</f>
        <v>60</v>
      </c>
      <c r="AG77" s="235">
        <f>Monteagudo!AG147</f>
        <v>1</v>
      </c>
      <c r="AH77" s="235">
        <f>Monteagudo!AH147</f>
        <v>0</v>
      </c>
      <c r="AI77" s="235">
        <f>Monteagudo!AI147</f>
        <v>0</v>
      </c>
      <c r="AJ77" s="235">
        <f>Monteagudo!AJ147</f>
        <v>0</v>
      </c>
      <c r="AK77" s="249">
        <f t="shared" ref="AK77" si="349">P77+S77+V77+Y77+AB77+AE77+AH77</f>
        <v>0</v>
      </c>
      <c r="AL77" s="249">
        <f t="shared" ref="AL77" si="350">Q77+T77+W77+Z77+AC77+AF77+AI77</f>
        <v>158</v>
      </c>
      <c r="AM77" s="249">
        <f t="shared" ref="AM77" si="351">AK77+AL77</f>
        <v>158</v>
      </c>
      <c r="AN77" s="284">
        <f t="shared" ref="AN77" si="352">R77+U77+X77+AA77+AD77+AG77+AJ77</f>
        <v>15</v>
      </c>
      <c r="AO77" s="88">
        <f t="shared" ref="AO77" si="353">O77/H77*100</f>
        <v>6.8181818181818175</v>
      </c>
      <c r="AP77" s="88">
        <f t="shared" ref="AP77" si="354">AN77/H77*100</f>
        <v>6.8181818181818175</v>
      </c>
      <c r="AQ77" s="88">
        <f t="shared" ref="AQ77" si="355">AN77/AM77*100</f>
        <v>9.4936708860759502</v>
      </c>
      <c r="AR77" s="285">
        <f t="shared" ref="AR77" si="356">AK77/AM77*100</f>
        <v>0</v>
      </c>
      <c r="AS77" s="285">
        <f t="shared" ref="AS77" si="357">AL77/AM77*100</f>
        <v>100</v>
      </c>
      <c r="AT77" s="280">
        <f t="shared" ref="AT77" si="358">R77/AN77*100</f>
        <v>0</v>
      </c>
      <c r="AU77" s="280">
        <f t="shared" ref="AU77" si="359">U77/AN77*100</f>
        <v>33.333333333333329</v>
      </c>
      <c r="AV77" s="280">
        <f t="shared" ref="AV77" si="360">X77/AN77*100</f>
        <v>33.333333333333329</v>
      </c>
      <c r="AW77" s="280">
        <f t="shared" ref="AW77" si="361">AA77/AN77*100</f>
        <v>6.666666666666667</v>
      </c>
      <c r="AX77" s="280">
        <f t="shared" ref="AX77" si="362">AD77/AN77*100</f>
        <v>20</v>
      </c>
      <c r="AY77" s="280">
        <f t="shared" ref="AY77" si="363">AG77/AN77*100</f>
        <v>6.666666666666667</v>
      </c>
      <c r="AZ77" s="280">
        <f t="shared" ref="AZ77" si="364">AJ77/AN77*100</f>
        <v>0</v>
      </c>
    </row>
    <row r="78" spans="1:52" s="237" customFormat="1" ht="20.25" customHeight="1">
      <c r="A78" s="202" t="s">
        <v>106</v>
      </c>
      <c r="B78" s="235">
        <f>Muyupampa!C67</f>
        <v>5</v>
      </c>
      <c r="C78" s="235">
        <f>Muyupampa!D67</f>
        <v>720</v>
      </c>
      <c r="D78" s="236">
        <f>Muyupampa!E67</f>
        <v>46010</v>
      </c>
      <c r="E78" s="236">
        <f>Muyupampa!F67</f>
        <v>46022</v>
      </c>
      <c r="F78" s="235">
        <f>Muyupampa!G67</f>
        <v>178</v>
      </c>
      <c r="G78" s="235">
        <f>Muyupampa!H67</f>
        <v>0</v>
      </c>
      <c r="H78" s="235">
        <f>Muyupampa!I67</f>
        <v>178</v>
      </c>
      <c r="I78" s="235">
        <f>Muyupampa!J67</f>
        <v>0</v>
      </c>
      <c r="J78" s="235">
        <f>Muyupampa!K67</f>
        <v>0</v>
      </c>
      <c r="K78" s="235">
        <f>Muyupampa!L67</f>
        <v>178</v>
      </c>
      <c r="L78" s="235">
        <f>Muyupampa!M67</f>
        <v>0</v>
      </c>
      <c r="M78" s="235">
        <f>Muyupampa!N67</f>
        <v>0</v>
      </c>
      <c r="N78" s="235">
        <f>Muyupampa!O67</f>
        <v>178</v>
      </c>
      <c r="O78" s="235">
        <f>Muyupampa!P67</f>
        <v>5</v>
      </c>
      <c r="P78" s="235">
        <f>Muyupampa!Q67</f>
        <v>0</v>
      </c>
      <c r="Q78" s="235">
        <f>Muyupampa!R67</f>
        <v>0</v>
      </c>
      <c r="R78" s="235">
        <f>Muyupampa!S67</f>
        <v>0</v>
      </c>
      <c r="S78" s="235">
        <f>Muyupampa!T67</f>
        <v>6</v>
      </c>
      <c r="T78" s="235">
        <f>Muyupampa!U67</f>
        <v>69</v>
      </c>
      <c r="U78" s="235">
        <f>Muyupampa!V67</f>
        <v>2</v>
      </c>
      <c r="V78" s="235">
        <f>Muyupampa!W67</f>
        <v>9</v>
      </c>
      <c r="W78" s="235">
        <f>Muyupampa!X67</f>
        <v>56</v>
      </c>
      <c r="X78" s="235">
        <f>Muyupampa!Y67</f>
        <v>0</v>
      </c>
      <c r="Y78" s="235">
        <f>Muyupampa!Z67</f>
        <v>2</v>
      </c>
      <c r="Z78" s="235">
        <f>Muyupampa!AA67</f>
        <v>2</v>
      </c>
      <c r="AA78" s="235">
        <f>Muyupampa!AB67</f>
        <v>0</v>
      </c>
      <c r="AB78" s="235">
        <f>Muyupampa!AC67</f>
        <v>30</v>
      </c>
      <c r="AC78" s="235">
        <f>Muyupampa!AD67</f>
        <v>43</v>
      </c>
      <c r="AD78" s="235">
        <f>Muyupampa!AE67</f>
        <v>2</v>
      </c>
      <c r="AE78" s="235">
        <f>Muyupampa!AF67</f>
        <v>25</v>
      </c>
      <c r="AF78" s="235">
        <f>Muyupampa!AG67</f>
        <v>13</v>
      </c>
      <c r="AG78" s="235">
        <f>Muyupampa!AH67</f>
        <v>1</v>
      </c>
      <c r="AH78" s="235">
        <f>Muyupampa!AI67</f>
        <v>0</v>
      </c>
      <c r="AI78" s="235">
        <f>Muyupampa!AJ67</f>
        <v>0</v>
      </c>
      <c r="AJ78" s="235">
        <f>Muyupampa!AK67</f>
        <v>0</v>
      </c>
      <c r="AK78" s="249">
        <f t="shared" ref="AK78:AK85" si="365">P78+S78+V78+Y78+AB78+AE78+AH78</f>
        <v>72</v>
      </c>
      <c r="AL78" s="249">
        <f t="shared" ref="AL78:AL85" si="366">Q78+T78+W78+Z78+AC78+AF78+AI78</f>
        <v>183</v>
      </c>
      <c r="AM78" s="249">
        <f t="shared" ref="AM78:AM85" si="367">AK78+AL78</f>
        <v>255</v>
      </c>
      <c r="AN78" s="284">
        <f t="shared" ref="AN78:AN85" si="368">R78+U78+X78+AA78+AD78+AG78+AJ78</f>
        <v>5</v>
      </c>
      <c r="AO78" s="88">
        <f t="shared" ref="AO78:AO85" si="369">O78/H78*100</f>
        <v>2.8089887640449436</v>
      </c>
      <c r="AP78" s="88">
        <f t="shared" ref="AP78:AP85" si="370">AN78/H78*100</f>
        <v>2.8089887640449436</v>
      </c>
      <c r="AQ78" s="88">
        <f t="shared" ref="AQ78:AQ85" si="371">AN78/AM78*100</f>
        <v>1.9607843137254901</v>
      </c>
      <c r="AR78" s="285">
        <f t="shared" ref="AR78:AR85" si="372">AK78/AM78*100</f>
        <v>28.235294117647058</v>
      </c>
      <c r="AS78" s="285">
        <f t="shared" ref="AS78:AS85" si="373">AL78/AM78*100</f>
        <v>71.764705882352942</v>
      </c>
      <c r="AT78" s="280">
        <f t="shared" ref="AT78:AT85" si="374">R78/AN78*100</f>
        <v>0</v>
      </c>
      <c r="AU78" s="280">
        <f t="shared" ref="AU78:AU85" si="375">U78/AN78*100</f>
        <v>40</v>
      </c>
      <c r="AV78" s="280">
        <f t="shared" ref="AV78:AV85" si="376">X78/AN78*100</f>
        <v>0</v>
      </c>
      <c r="AW78" s="280">
        <f t="shared" ref="AW78:AW85" si="377">AA78/AN78*100</f>
        <v>0</v>
      </c>
      <c r="AX78" s="280">
        <f t="shared" ref="AX78:AX85" si="378">AD78/AN78*100</f>
        <v>40</v>
      </c>
      <c r="AY78" s="280">
        <f t="shared" ref="AY78:AY85" si="379">AG78/AN78*100</f>
        <v>20</v>
      </c>
      <c r="AZ78" s="280">
        <f t="shared" ref="AZ78:AZ85" si="380">AJ78/AN78*100</f>
        <v>0</v>
      </c>
    </row>
    <row r="79" spans="1:52" s="237" customFormat="1" ht="20.25" customHeight="1">
      <c r="A79" s="202" t="s">
        <v>105</v>
      </c>
      <c r="B79" s="235">
        <f>Machareti!B63</f>
        <v>3</v>
      </c>
      <c r="C79" s="235">
        <f>Machareti!C63</f>
        <v>432</v>
      </c>
      <c r="D79" s="236">
        <f>Machareti!D63</f>
        <v>45996</v>
      </c>
      <c r="E79" s="236">
        <f>Machareti!E63</f>
        <v>46021</v>
      </c>
      <c r="F79" s="235">
        <f>Machareti!F63</f>
        <v>170</v>
      </c>
      <c r="G79" s="235">
        <f>Machareti!G63</f>
        <v>0</v>
      </c>
      <c r="H79" s="235">
        <f>Machareti!H63</f>
        <v>170</v>
      </c>
      <c r="I79" s="235">
        <f>Machareti!I63</f>
        <v>1</v>
      </c>
      <c r="J79" s="235">
        <f>Machareti!J63</f>
        <v>0</v>
      </c>
      <c r="K79" s="235">
        <f>Machareti!K63</f>
        <v>171</v>
      </c>
      <c r="L79" s="235">
        <f>Machareti!L63</f>
        <v>0</v>
      </c>
      <c r="M79" s="235">
        <f>Machareti!M63</f>
        <v>0</v>
      </c>
      <c r="N79" s="235">
        <f>Machareti!N63</f>
        <v>170</v>
      </c>
      <c r="O79" s="235">
        <f>Machareti!O63</f>
        <v>25</v>
      </c>
      <c r="P79" s="235">
        <f>Machareti!P63</f>
        <v>0</v>
      </c>
      <c r="Q79" s="235">
        <f>Machareti!Q63</f>
        <v>0</v>
      </c>
      <c r="R79" s="235">
        <f>Machareti!R63</f>
        <v>0</v>
      </c>
      <c r="S79" s="235">
        <f>Machareti!S63</f>
        <v>0</v>
      </c>
      <c r="T79" s="235">
        <f>Machareti!T63</f>
        <v>296</v>
      </c>
      <c r="U79" s="235">
        <f>Machareti!U63</f>
        <v>25</v>
      </c>
      <c r="V79" s="235">
        <f>Machareti!V63</f>
        <v>26</v>
      </c>
      <c r="W79" s="235">
        <f>Machareti!W63</f>
        <v>8</v>
      </c>
      <c r="X79" s="235">
        <f>Machareti!X63</f>
        <v>0</v>
      </c>
      <c r="Y79" s="235">
        <f>Machareti!Y63</f>
        <v>2</v>
      </c>
      <c r="Z79" s="235">
        <f>Machareti!Z63</f>
        <v>7</v>
      </c>
      <c r="AA79" s="235">
        <f>Machareti!AA63</f>
        <v>0</v>
      </c>
      <c r="AB79" s="235">
        <f>Machareti!AB63</f>
        <v>1</v>
      </c>
      <c r="AC79" s="235">
        <f>Machareti!AC63</f>
        <v>1</v>
      </c>
      <c r="AD79" s="235">
        <f>Machareti!AD63</f>
        <v>0</v>
      </c>
      <c r="AE79" s="235">
        <f>Machareti!AE63</f>
        <v>74</v>
      </c>
      <c r="AF79" s="235">
        <f>Machareti!AF63</f>
        <v>20</v>
      </c>
      <c r="AG79" s="235">
        <f>Machareti!AG63</f>
        <v>1</v>
      </c>
      <c r="AH79" s="235">
        <f>Machareti!AH63</f>
        <v>0</v>
      </c>
      <c r="AI79" s="235">
        <f>Machareti!AI63</f>
        <v>0</v>
      </c>
      <c r="AJ79" s="235">
        <f>Machareti!AJ63</f>
        <v>0</v>
      </c>
      <c r="AK79" s="249">
        <f t="shared" si="365"/>
        <v>103</v>
      </c>
      <c r="AL79" s="249">
        <f t="shared" si="366"/>
        <v>332</v>
      </c>
      <c r="AM79" s="249">
        <f t="shared" si="367"/>
        <v>435</v>
      </c>
      <c r="AN79" s="284">
        <f t="shared" si="368"/>
        <v>26</v>
      </c>
      <c r="AO79" s="88">
        <f t="shared" si="369"/>
        <v>14.705882352941178</v>
      </c>
      <c r="AP79" s="88">
        <f t="shared" si="370"/>
        <v>15.294117647058824</v>
      </c>
      <c r="AQ79" s="88">
        <f t="shared" si="371"/>
        <v>5.9770114942528734</v>
      </c>
      <c r="AR79" s="285">
        <f t="shared" si="372"/>
        <v>23.678160919540232</v>
      </c>
      <c r="AS79" s="285">
        <f t="shared" si="373"/>
        <v>76.321839080459768</v>
      </c>
      <c r="AT79" s="280">
        <f t="shared" si="374"/>
        <v>0</v>
      </c>
      <c r="AU79" s="280">
        <f t="shared" si="375"/>
        <v>96.15384615384616</v>
      </c>
      <c r="AV79" s="280">
        <f t="shared" si="376"/>
        <v>0</v>
      </c>
      <c r="AW79" s="280">
        <f t="shared" si="377"/>
        <v>0</v>
      </c>
      <c r="AX79" s="280">
        <f t="shared" si="378"/>
        <v>0</v>
      </c>
      <c r="AY79" s="280">
        <f t="shared" si="379"/>
        <v>3.8461538461538463</v>
      </c>
      <c r="AZ79" s="280">
        <f t="shared" si="380"/>
        <v>0</v>
      </c>
    </row>
    <row r="80" spans="1:52" s="237" customFormat="1" ht="20.25" customHeight="1">
      <c r="A80" s="240" t="s">
        <v>25</v>
      </c>
      <c r="B80" s="235">
        <f>Huacareta!B44</f>
        <v>4</v>
      </c>
      <c r="C80" s="235">
        <f>Huacareta!C44</f>
        <v>578</v>
      </c>
      <c r="D80" s="236">
        <f>Huacareta!D44</f>
        <v>45993</v>
      </c>
      <c r="E80" s="236">
        <f>Huacareta!E44</f>
        <v>46015</v>
      </c>
      <c r="F80" s="235">
        <f>Huacareta!F44</f>
        <v>244</v>
      </c>
      <c r="G80" s="235">
        <f>Huacareta!G44</f>
        <v>0</v>
      </c>
      <c r="H80" s="235">
        <f>Huacareta!H44</f>
        <v>244</v>
      </c>
      <c r="I80" s="235">
        <f>Huacareta!I44</f>
        <v>19</v>
      </c>
      <c r="J80" s="235">
        <f>Huacareta!J44</f>
        <v>4</v>
      </c>
      <c r="K80" s="235">
        <f>Huacareta!K44</f>
        <v>267</v>
      </c>
      <c r="L80" s="235">
        <f>Huacareta!L44</f>
        <v>0</v>
      </c>
      <c r="M80" s="235">
        <f>Huacareta!M44</f>
        <v>0</v>
      </c>
      <c r="N80" s="235">
        <f>Huacareta!N44</f>
        <v>244</v>
      </c>
      <c r="O80" s="235">
        <f>Huacareta!O44</f>
        <v>0</v>
      </c>
      <c r="P80" s="235">
        <f>Huacareta!P44</f>
        <v>0</v>
      </c>
      <c r="Q80" s="235">
        <f>Huacareta!Q44</f>
        <v>0</v>
      </c>
      <c r="R80" s="235">
        <f>Huacareta!R44</f>
        <v>0</v>
      </c>
      <c r="S80" s="235">
        <f>Huacareta!S44</f>
        <v>0</v>
      </c>
      <c r="T80" s="235">
        <f>Huacareta!T44</f>
        <v>8</v>
      </c>
      <c r="U80" s="235">
        <f>Huacareta!U44</f>
        <v>0</v>
      </c>
      <c r="V80" s="235">
        <f>Huacareta!V44</f>
        <v>38</v>
      </c>
      <c r="W80" s="235">
        <f>Huacareta!W44</f>
        <v>122</v>
      </c>
      <c r="X80" s="235">
        <f>Huacareta!X44</f>
        <v>0</v>
      </c>
      <c r="Y80" s="235">
        <f>Huacareta!Y44</f>
        <v>13</v>
      </c>
      <c r="Z80" s="235">
        <f>Huacareta!Z44</f>
        <v>29</v>
      </c>
      <c r="AA80" s="235">
        <f>Huacareta!AA44</f>
        <v>0</v>
      </c>
      <c r="AB80" s="235">
        <f>Huacareta!AB44</f>
        <v>15</v>
      </c>
      <c r="AC80" s="235">
        <f>Huacareta!AC44</f>
        <v>32</v>
      </c>
      <c r="AD80" s="235">
        <f>Huacareta!AD44</f>
        <v>0</v>
      </c>
      <c r="AE80" s="235">
        <f>Huacareta!AE44</f>
        <v>82</v>
      </c>
      <c r="AF80" s="235">
        <f>Huacareta!AF44</f>
        <v>79</v>
      </c>
      <c r="AG80" s="235">
        <f>Huacareta!AG44</f>
        <v>0</v>
      </c>
      <c r="AH80" s="235">
        <f>Huacareta!AH44</f>
        <v>0</v>
      </c>
      <c r="AI80" s="235">
        <f>Huacareta!AI44</f>
        <v>0</v>
      </c>
      <c r="AJ80" s="235">
        <f>Huacareta!AJ44</f>
        <v>0</v>
      </c>
      <c r="AK80" s="249">
        <f t="shared" si="365"/>
        <v>148</v>
      </c>
      <c r="AL80" s="249">
        <f t="shared" si="366"/>
        <v>270</v>
      </c>
      <c r="AM80" s="249">
        <f t="shared" si="367"/>
        <v>418</v>
      </c>
      <c r="AN80" s="284">
        <f t="shared" si="368"/>
        <v>0</v>
      </c>
      <c r="AO80" s="88">
        <f t="shared" si="369"/>
        <v>0</v>
      </c>
      <c r="AP80" s="88">
        <f t="shared" si="370"/>
        <v>0</v>
      </c>
      <c r="AQ80" s="88">
        <f t="shared" si="371"/>
        <v>0</v>
      </c>
      <c r="AR80" s="285">
        <f t="shared" si="372"/>
        <v>35.406698564593306</v>
      </c>
      <c r="AS80" s="285">
        <f t="shared" si="373"/>
        <v>64.593301435406701</v>
      </c>
      <c r="AT80" s="280" t="e">
        <f t="shared" si="374"/>
        <v>#DIV/0!</v>
      </c>
      <c r="AU80" s="280" t="e">
        <f t="shared" si="375"/>
        <v>#DIV/0!</v>
      </c>
      <c r="AV80" s="280" t="e">
        <f t="shared" si="376"/>
        <v>#DIV/0!</v>
      </c>
      <c r="AW80" s="280" t="e">
        <f t="shared" si="377"/>
        <v>#DIV/0!</v>
      </c>
      <c r="AX80" s="280" t="e">
        <f t="shared" si="378"/>
        <v>#DIV/0!</v>
      </c>
      <c r="AY80" s="280" t="e">
        <f t="shared" si="379"/>
        <v>#DIV/0!</v>
      </c>
      <c r="AZ80" s="280" t="e">
        <f t="shared" si="380"/>
        <v>#DIV/0!</v>
      </c>
    </row>
    <row r="81" spans="1:52" s="237" customFormat="1" ht="20.25" customHeight="1">
      <c r="A81" s="240" t="s">
        <v>140</v>
      </c>
      <c r="B81" s="235">
        <f>Huacaya!B24</f>
        <v>4</v>
      </c>
      <c r="C81" s="235">
        <f>Huacaya!C24</f>
        <v>500</v>
      </c>
      <c r="D81" s="236">
        <f>Huacaya!D24</f>
        <v>45999</v>
      </c>
      <c r="E81" s="236">
        <f>Huacaya!E24</f>
        <v>46010</v>
      </c>
      <c r="F81" s="235">
        <f>Huacaya!F24</f>
        <v>224</v>
      </c>
      <c r="G81" s="235">
        <f>Huacaya!G24</f>
        <v>0</v>
      </c>
      <c r="H81" s="235">
        <f>Huacaya!H24</f>
        <v>224</v>
      </c>
      <c r="I81" s="235">
        <f>Huacaya!I24</f>
        <v>8</v>
      </c>
      <c r="J81" s="235">
        <f>Huacaya!J24</f>
        <v>0</v>
      </c>
      <c r="K81" s="235">
        <f>Huacaya!K24</f>
        <v>232</v>
      </c>
      <c r="L81" s="235">
        <f>Huacaya!L24</f>
        <v>0</v>
      </c>
      <c r="M81" s="235">
        <f>Huacaya!M24</f>
        <v>0</v>
      </c>
      <c r="N81" s="235">
        <f>Huacaya!N24</f>
        <v>224</v>
      </c>
      <c r="O81" s="235">
        <f>Huacaya!O24</f>
        <v>7</v>
      </c>
      <c r="P81" s="235">
        <f>Huacaya!P24</f>
        <v>5</v>
      </c>
      <c r="Q81" s="235">
        <f>Huacaya!Q24</f>
        <v>19</v>
      </c>
      <c r="R81" s="235">
        <f>Huacaya!R24</f>
        <v>0</v>
      </c>
      <c r="S81" s="235">
        <f>Huacaya!S24</f>
        <v>30</v>
      </c>
      <c r="T81" s="235">
        <f>Huacaya!T24</f>
        <v>238</v>
      </c>
      <c r="U81" s="235">
        <f>Huacaya!U24</f>
        <v>7</v>
      </c>
      <c r="V81" s="235">
        <f>Huacaya!V24</f>
        <v>52</v>
      </c>
      <c r="W81" s="235">
        <f>Huacaya!W24</f>
        <v>37</v>
      </c>
      <c r="X81" s="235">
        <f>Huacaya!X24</f>
        <v>0</v>
      </c>
      <c r="Y81" s="235">
        <f>Huacaya!Y24</f>
        <v>14</v>
      </c>
      <c r="Z81" s="235">
        <f>Huacaya!Z24</f>
        <v>5</v>
      </c>
      <c r="AA81" s="235">
        <f>Huacaya!AA24</f>
        <v>0</v>
      </c>
      <c r="AB81" s="235">
        <f>Huacaya!AB24</f>
        <v>32</v>
      </c>
      <c r="AC81" s="235">
        <f>Huacaya!AC24</f>
        <v>9</v>
      </c>
      <c r="AD81" s="235">
        <f>Huacaya!AD24</f>
        <v>0</v>
      </c>
      <c r="AE81" s="235">
        <f>Huacaya!AE24</f>
        <v>50</v>
      </c>
      <c r="AF81" s="235">
        <f>Huacaya!AF24</f>
        <v>3</v>
      </c>
      <c r="AG81" s="235">
        <f>Huacaya!AG24</f>
        <v>0</v>
      </c>
      <c r="AH81" s="235">
        <f>Huacaya!AH24</f>
        <v>5</v>
      </c>
      <c r="AI81" s="235">
        <f>Huacaya!AI24</f>
        <v>2</v>
      </c>
      <c r="AJ81" s="235">
        <f>Huacaya!AJ24</f>
        <v>0</v>
      </c>
      <c r="AK81" s="249">
        <f t="shared" si="365"/>
        <v>188</v>
      </c>
      <c r="AL81" s="249">
        <f t="shared" si="366"/>
        <v>313</v>
      </c>
      <c r="AM81" s="249">
        <f t="shared" si="367"/>
        <v>501</v>
      </c>
      <c r="AN81" s="284">
        <f t="shared" si="368"/>
        <v>7</v>
      </c>
      <c r="AO81" s="88">
        <f t="shared" si="369"/>
        <v>3.125</v>
      </c>
      <c r="AP81" s="88">
        <f t="shared" si="370"/>
        <v>3.125</v>
      </c>
      <c r="AQ81" s="88">
        <f t="shared" si="371"/>
        <v>1.3972055888223553</v>
      </c>
      <c r="AR81" s="285">
        <f t="shared" si="372"/>
        <v>37.5249500998004</v>
      </c>
      <c r="AS81" s="285">
        <f t="shared" si="373"/>
        <v>62.4750499001996</v>
      </c>
      <c r="AT81" s="280">
        <f t="shared" si="374"/>
        <v>0</v>
      </c>
      <c r="AU81" s="280">
        <f t="shared" si="375"/>
        <v>100</v>
      </c>
      <c r="AV81" s="280">
        <f t="shared" si="376"/>
        <v>0</v>
      </c>
      <c r="AW81" s="280">
        <f t="shared" si="377"/>
        <v>0</v>
      </c>
      <c r="AX81" s="280">
        <f t="shared" si="378"/>
        <v>0</v>
      </c>
      <c r="AY81" s="280">
        <f t="shared" si="379"/>
        <v>0</v>
      </c>
      <c r="AZ81" s="280">
        <f t="shared" si="380"/>
        <v>0</v>
      </c>
    </row>
    <row r="82" spans="1:52" s="237" customFormat="1" ht="20.25" customHeight="1">
      <c r="A82" s="240" t="s">
        <v>50</v>
      </c>
      <c r="B82" s="235">
        <f>Sucre!B53</f>
        <v>1</v>
      </c>
      <c r="C82" s="235">
        <f>Sucre!C53</f>
        <v>618</v>
      </c>
      <c r="D82" s="236">
        <f>Sucre!D53</f>
        <v>45994</v>
      </c>
      <c r="E82" s="236">
        <f>Sucre!E53</f>
        <v>46007</v>
      </c>
      <c r="F82" s="235">
        <f>Sucre!F53</f>
        <v>248</v>
      </c>
      <c r="G82" s="235">
        <f>Sucre!G53</f>
        <v>0</v>
      </c>
      <c r="H82" s="235">
        <f>Sucre!H53</f>
        <v>248</v>
      </c>
      <c r="I82" s="235">
        <f>Sucre!I53</f>
        <v>46</v>
      </c>
      <c r="J82" s="235">
        <f>Sucre!J53</f>
        <v>0</v>
      </c>
      <c r="K82" s="235">
        <f>Sucre!K53</f>
        <v>294</v>
      </c>
      <c r="L82" s="235">
        <f>Sucre!L53</f>
        <v>0</v>
      </c>
      <c r="M82" s="235">
        <f>Sucre!M53</f>
        <v>0</v>
      </c>
      <c r="N82" s="235">
        <f>Sucre!N53</f>
        <v>248</v>
      </c>
      <c r="O82" s="235">
        <f>Sucre!O53</f>
        <v>7</v>
      </c>
      <c r="P82" s="235">
        <f>Sucre!P53</f>
        <v>12</v>
      </c>
      <c r="Q82" s="235">
        <f>Sucre!Q53</f>
        <v>41</v>
      </c>
      <c r="R82" s="235">
        <f>Sucre!R53</f>
        <v>0</v>
      </c>
      <c r="S82" s="235">
        <f>Sucre!S53</f>
        <v>10</v>
      </c>
      <c r="T82" s="235">
        <f>Sucre!T53</f>
        <v>42</v>
      </c>
      <c r="U82" s="235">
        <f>Sucre!U53</f>
        <v>2</v>
      </c>
      <c r="V82" s="235">
        <f>Sucre!V53</f>
        <v>26</v>
      </c>
      <c r="W82" s="235">
        <f>Sucre!W53</f>
        <v>39</v>
      </c>
      <c r="X82" s="235">
        <f>Sucre!X53</f>
        <v>2</v>
      </c>
      <c r="Y82" s="235">
        <f>Sucre!Y53</f>
        <v>16</v>
      </c>
      <c r="Z82" s="235">
        <f>Sucre!Z53</f>
        <v>30</v>
      </c>
      <c r="AA82" s="235">
        <f>Sucre!AA53</f>
        <v>0</v>
      </c>
      <c r="AB82" s="235">
        <f>Sucre!AB53</f>
        <v>88</v>
      </c>
      <c r="AC82" s="235">
        <f>Sucre!AC53</f>
        <v>20</v>
      </c>
      <c r="AD82" s="235">
        <f>Sucre!AD53</f>
        <v>3</v>
      </c>
      <c r="AE82" s="235">
        <f>Sucre!AE53</f>
        <v>954</v>
      </c>
      <c r="AF82" s="235">
        <f>Sucre!AF53</f>
        <v>0</v>
      </c>
      <c r="AG82" s="235">
        <f>Sucre!AG53</f>
        <v>0</v>
      </c>
      <c r="AH82" s="235">
        <f>Sucre!AH53</f>
        <v>0</v>
      </c>
      <c r="AI82" s="235">
        <f>Sucre!AI53</f>
        <v>0</v>
      </c>
      <c r="AJ82" s="235">
        <f>Sucre!AJ53</f>
        <v>0</v>
      </c>
      <c r="AK82" s="249">
        <f t="shared" si="365"/>
        <v>1106</v>
      </c>
      <c r="AL82" s="249">
        <f t="shared" si="366"/>
        <v>172</v>
      </c>
      <c r="AM82" s="249">
        <f t="shared" si="367"/>
        <v>1278</v>
      </c>
      <c r="AN82" s="284">
        <f t="shared" si="368"/>
        <v>7</v>
      </c>
      <c r="AO82" s="88">
        <f t="shared" si="369"/>
        <v>2.82258064516129</v>
      </c>
      <c r="AP82" s="88">
        <f t="shared" si="370"/>
        <v>2.82258064516129</v>
      </c>
      <c r="AQ82" s="88">
        <f t="shared" si="371"/>
        <v>0.54773082942097029</v>
      </c>
      <c r="AR82" s="285">
        <f t="shared" si="372"/>
        <v>86.541471048513301</v>
      </c>
      <c r="AS82" s="285">
        <f t="shared" si="373"/>
        <v>13.458528951486699</v>
      </c>
      <c r="AT82" s="280">
        <f t="shared" si="374"/>
        <v>0</v>
      </c>
      <c r="AU82" s="280">
        <f t="shared" si="375"/>
        <v>28.571428571428569</v>
      </c>
      <c r="AV82" s="280">
        <f t="shared" si="376"/>
        <v>28.571428571428569</v>
      </c>
      <c r="AW82" s="280">
        <f t="shared" si="377"/>
        <v>0</v>
      </c>
      <c r="AX82" s="280">
        <f t="shared" si="378"/>
        <v>42.857142857142854</v>
      </c>
      <c r="AY82" s="280">
        <f t="shared" si="379"/>
        <v>0</v>
      </c>
      <c r="AZ82" s="280">
        <f t="shared" si="380"/>
        <v>0</v>
      </c>
    </row>
    <row r="83" spans="1:52" s="237" customFormat="1" ht="20.25" customHeight="1">
      <c r="A83" s="240" t="s">
        <v>49</v>
      </c>
      <c r="B83" s="235">
        <f>Padilla!B29</f>
        <v>1</v>
      </c>
      <c r="C83" s="235">
        <f>Padilla!C29</f>
        <v>282</v>
      </c>
      <c r="D83" s="236">
        <f>Padilla!D29</f>
        <v>46006</v>
      </c>
      <c r="E83" s="236">
        <f>Padilla!E29</f>
        <v>46014</v>
      </c>
      <c r="F83" s="235">
        <f>Padilla!F29</f>
        <v>101</v>
      </c>
      <c r="G83" s="235">
        <f>Padilla!G29</f>
        <v>0</v>
      </c>
      <c r="H83" s="235">
        <f>Padilla!H29</f>
        <v>101</v>
      </c>
      <c r="I83" s="235">
        <f>Padilla!I29</f>
        <v>15</v>
      </c>
      <c r="J83" s="235">
        <f>Padilla!J29</f>
        <v>0</v>
      </c>
      <c r="K83" s="235">
        <f>Padilla!K29</f>
        <v>116</v>
      </c>
      <c r="L83" s="235">
        <f>Padilla!L29</f>
        <v>0</v>
      </c>
      <c r="M83" s="235">
        <f>Padilla!M29</f>
        <v>0</v>
      </c>
      <c r="N83" s="235">
        <f>Padilla!N29</f>
        <v>101</v>
      </c>
      <c r="O83" s="235">
        <f>Padilla!O29</f>
        <v>2</v>
      </c>
      <c r="P83" s="235">
        <f>Padilla!P29</f>
        <v>0</v>
      </c>
      <c r="Q83" s="235">
        <f>Padilla!Q29</f>
        <v>13</v>
      </c>
      <c r="R83" s="235">
        <f>Padilla!R29</f>
        <v>0</v>
      </c>
      <c r="S83" s="235">
        <f>Padilla!S29</f>
        <v>6</v>
      </c>
      <c r="T83" s="235">
        <f>Padilla!T29</f>
        <v>67</v>
      </c>
      <c r="U83" s="235">
        <f>Padilla!U29</f>
        <v>1</v>
      </c>
      <c r="V83" s="235">
        <f>Padilla!V29</f>
        <v>121</v>
      </c>
      <c r="W83" s="235">
        <f>Padilla!W29</f>
        <v>21</v>
      </c>
      <c r="X83" s="235">
        <f>Padilla!X29</f>
        <v>0</v>
      </c>
      <c r="Y83" s="235">
        <f>Padilla!Y29</f>
        <v>0</v>
      </c>
      <c r="Z83" s="235">
        <f>Padilla!Z29</f>
        <v>65</v>
      </c>
      <c r="AA83" s="235">
        <f>Padilla!AA29</f>
        <v>0</v>
      </c>
      <c r="AB83" s="235">
        <f>Padilla!AB29</f>
        <v>12</v>
      </c>
      <c r="AC83" s="235">
        <f>Padilla!AC29</f>
        <v>18</v>
      </c>
      <c r="AD83" s="235">
        <f>Padilla!AD29</f>
        <v>1</v>
      </c>
      <c r="AE83" s="235">
        <f>Padilla!AE29</f>
        <v>181</v>
      </c>
      <c r="AF83" s="235">
        <f>Padilla!AF29</f>
        <v>0</v>
      </c>
      <c r="AG83" s="235">
        <f>Padilla!AG29</f>
        <v>0</v>
      </c>
      <c r="AH83" s="235">
        <f>Padilla!AH29</f>
        <v>0</v>
      </c>
      <c r="AI83" s="235">
        <f>Padilla!AI29</f>
        <v>0</v>
      </c>
      <c r="AJ83" s="235">
        <f>Padilla!AJ29</f>
        <v>0</v>
      </c>
      <c r="AK83" s="249">
        <f t="shared" si="365"/>
        <v>320</v>
      </c>
      <c r="AL83" s="249">
        <f t="shared" si="366"/>
        <v>184</v>
      </c>
      <c r="AM83" s="249">
        <f t="shared" si="367"/>
        <v>504</v>
      </c>
      <c r="AN83" s="284">
        <f t="shared" si="368"/>
        <v>2</v>
      </c>
      <c r="AO83" s="88">
        <f t="shared" si="369"/>
        <v>1.9801980198019802</v>
      </c>
      <c r="AP83" s="88">
        <f t="shared" si="370"/>
        <v>1.9801980198019802</v>
      </c>
      <c r="AQ83" s="88">
        <f t="shared" si="371"/>
        <v>0.3968253968253968</v>
      </c>
      <c r="AR83" s="285">
        <f t="shared" si="372"/>
        <v>63.492063492063487</v>
      </c>
      <c r="AS83" s="285">
        <f t="shared" si="373"/>
        <v>36.507936507936506</v>
      </c>
      <c r="AT83" s="280">
        <f t="shared" si="374"/>
        <v>0</v>
      </c>
      <c r="AU83" s="280">
        <f t="shared" si="375"/>
        <v>50</v>
      </c>
      <c r="AV83" s="280">
        <f t="shared" si="376"/>
        <v>0</v>
      </c>
      <c r="AW83" s="280">
        <f t="shared" si="377"/>
        <v>0</v>
      </c>
      <c r="AX83" s="280">
        <f t="shared" si="378"/>
        <v>50</v>
      </c>
      <c r="AY83" s="280">
        <f t="shared" si="379"/>
        <v>0</v>
      </c>
      <c r="AZ83" s="280">
        <f t="shared" si="380"/>
        <v>0</v>
      </c>
    </row>
    <row r="84" spans="1:52" s="237" customFormat="1" ht="20.25" customHeight="1">
      <c r="A84" s="240" t="s">
        <v>23</v>
      </c>
      <c r="B84" s="235">
        <f>'Villa Serrano'!B21</f>
        <v>3</v>
      </c>
      <c r="C84" s="235">
        <f>'Villa Serrano'!C21</f>
        <v>1701</v>
      </c>
      <c r="D84" s="236">
        <f>'Villa Serrano'!D21</f>
        <v>45993</v>
      </c>
      <c r="E84" s="236">
        <f>'Villa Serrano'!E21</f>
        <v>46015</v>
      </c>
      <c r="F84" s="235">
        <f>'Villa Serrano'!F21</f>
        <v>621</v>
      </c>
      <c r="G84" s="235">
        <f>'Villa Serrano'!G21</f>
        <v>0</v>
      </c>
      <c r="H84" s="235">
        <f>'Villa Serrano'!H21</f>
        <v>621</v>
      </c>
      <c r="I84" s="235">
        <f>'Villa Serrano'!I21</f>
        <v>0</v>
      </c>
      <c r="J84" s="235">
        <f>'Villa Serrano'!J21</f>
        <v>0</v>
      </c>
      <c r="K84" s="235">
        <f>'Villa Serrano'!K21</f>
        <v>621</v>
      </c>
      <c r="L84" s="235">
        <f>'Villa Serrano'!L21</f>
        <v>0</v>
      </c>
      <c r="M84" s="235">
        <f>'Villa Serrano'!M21</f>
        <v>0</v>
      </c>
      <c r="N84" s="235">
        <f>'Villa Serrano'!N21</f>
        <v>621</v>
      </c>
      <c r="O84" s="235">
        <f>'Villa Serrano'!O21</f>
        <v>10</v>
      </c>
      <c r="P84" s="235">
        <f>'Villa Serrano'!P21</f>
        <v>0</v>
      </c>
      <c r="Q84" s="235">
        <f>'Villa Serrano'!Q21</f>
        <v>0</v>
      </c>
      <c r="R84" s="235">
        <f>'Villa Serrano'!R21</f>
        <v>0</v>
      </c>
      <c r="S84" s="235">
        <f>'Villa Serrano'!S21</f>
        <v>5</v>
      </c>
      <c r="T84" s="235">
        <f>'Villa Serrano'!T21</f>
        <v>27</v>
      </c>
      <c r="U84" s="235">
        <f>'Villa Serrano'!U21</f>
        <v>2</v>
      </c>
      <c r="V84" s="235">
        <f>'Villa Serrano'!V21</f>
        <v>85</v>
      </c>
      <c r="W84" s="235">
        <f>'Villa Serrano'!W21</f>
        <v>101</v>
      </c>
      <c r="X84" s="235">
        <f>'Villa Serrano'!X21</f>
        <v>1</v>
      </c>
      <c r="Y84" s="235">
        <f>'Villa Serrano'!Y21</f>
        <v>0</v>
      </c>
      <c r="Z84" s="235">
        <f>'Villa Serrano'!Z21</f>
        <v>0</v>
      </c>
      <c r="AA84" s="235">
        <f>'Villa Serrano'!AA21</f>
        <v>0</v>
      </c>
      <c r="AB84" s="235">
        <f>'Villa Serrano'!AB21</f>
        <v>101</v>
      </c>
      <c r="AC84" s="235">
        <f>'Villa Serrano'!AC21</f>
        <v>145</v>
      </c>
      <c r="AD84" s="235">
        <f>'Villa Serrano'!AD21</f>
        <v>2</v>
      </c>
      <c r="AE84" s="235">
        <f>'Villa Serrano'!AE21</f>
        <v>163</v>
      </c>
      <c r="AF84" s="235">
        <f>'Villa Serrano'!AF21</f>
        <v>204</v>
      </c>
      <c r="AG84" s="235">
        <f>'Villa Serrano'!AG21</f>
        <v>5</v>
      </c>
      <c r="AH84" s="235">
        <f>'Villa Serrano'!AH21</f>
        <v>0</v>
      </c>
      <c r="AI84" s="235">
        <f>'Villa Serrano'!AI21</f>
        <v>0</v>
      </c>
      <c r="AJ84" s="235">
        <f>'Villa Serrano'!AJ21</f>
        <v>0</v>
      </c>
      <c r="AK84" s="249">
        <f t="shared" si="365"/>
        <v>354</v>
      </c>
      <c r="AL84" s="249">
        <f t="shared" si="366"/>
        <v>477</v>
      </c>
      <c r="AM84" s="249">
        <f t="shared" si="367"/>
        <v>831</v>
      </c>
      <c r="AN84" s="284">
        <f t="shared" si="368"/>
        <v>10</v>
      </c>
      <c r="AO84" s="88">
        <f t="shared" si="369"/>
        <v>1.6103059581320449</v>
      </c>
      <c r="AP84" s="88">
        <f t="shared" si="370"/>
        <v>1.6103059581320449</v>
      </c>
      <c r="AQ84" s="88">
        <f t="shared" si="371"/>
        <v>1.2033694344163659</v>
      </c>
      <c r="AR84" s="285">
        <f t="shared" si="372"/>
        <v>42.599277978339352</v>
      </c>
      <c r="AS84" s="285">
        <f t="shared" si="373"/>
        <v>57.400722021660656</v>
      </c>
      <c r="AT84" s="280">
        <f t="shared" si="374"/>
        <v>0</v>
      </c>
      <c r="AU84" s="280">
        <f t="shared" si="375"/>
        <v>20</v>
      </c>
      <c r="AV84" s="280">
        <f t="shared" si="376"/>
        <v>10</v>
      </c>
      <c r="AW84" s="280">
        <f t="shared" si="377"/>
        <v>0</v>
      </c>
      <c r="AX84" s="280">
        <f t="shared" si="378"/>
        <v>20</v>
      </c>
      <c r="AY84" s="280">
        <f t="shared" si="379"/>
        <v>50</v>
      </c>
      <c r="AZ84" s="280">
        <f t="shared" si="380"/>
        <v>0</v>
      </c>
    </row>
    <row r="85" spans="1:52" s="40" customFormat="1" ht="20.25" customHeight="1">
      <c r="A85" s="207" t="s">
        <v>305</v>
      </c>
      <c r="B85" s="207">
        <f>SUM(B77:B84)</f>
        <v>22</v>
      </c>
      <c r="C85" s="207">
        <f>SUM(C77:C84)</f>
        <v>5643</v>
      </c>
      <c r="D85" s="124">
        <f>MIN(D77:D84)</f>
        <v>45993</v>
      </c>
      <c r="E85" s="124">
        <f>MAX(E77:E84)</f>
        <v>46022</v>
      </c>
      <c r="F85" s="207">
        <f>SUM(F77:F84)</f>
        <v>2006</v>
      </c>
      <c r="G85" s="207">
        <f t="shared" ref="G85:AJ85" si="381">SUM(G77:G84)</f>
        <v>0</v>
      </c>
      <c r="H85" s="207">
        <f t="shared" si="381"/>
        <v>2006</v>
      </c>
      <c r="I85" s="207">
        <f t="shared" si="381"/>
        <v>89</v>
      </c>
      <c r="J85" s="207">
        <f t="shared" si="381"/>
        <v>4</v>
      </c>
      <c r="K85" s="207">
        <f t="shared" si="381"/>
        <v>2099</v>
      </c>
      <c r="L85" s="207">
        <f t="shared" si="381"/>
        <v>0</v>
      </c>
      <c r="M85" s="207">
        <f t="shared" si="381"/>
        <v>0</v>
      </c>
      <c r="N85" s="207">
        <f t="shared" si="381"/>
        <v>2006</v>
      </c>
      <c r="O85" s="207">
        <f t="shared" si="381"/>
        <v>71</v>
      </c>
      <c r="P85" s="207">
        <f t="shared" si="381"/>
        <v>17</v>
      </c>
      <c r="Q85" s="207">
        <f t="shared" si="381"/>
        <v>73</v>
      </c>
      <c r="R85" s="207">
        <f t="shared" si="381"/>
        <v>0</v>
      </c>
      <c r="S85" s="207">
        <f t="shared" si="381"/>
        <v>57</v>
      </c>
      <c r="T85" s="207">
        <f t="shared" si="381"/>
        <v>759</v>
      </c>
      <c r="U85" s="207">
        <f t="shared" si="381"/>
        <v>44</v>
      </c>
      <c r="V85" s="207">
        <f t="shared" si="381"/>
        <v>357</v>
      </c>
      <c r="W85" s="207">
        <f t="shared" si="381"/>
        <v>404</v>
      </c>
      <c r="X85" s="207">
        <f t="shared" si="381"/>
        <v>8</v>
      </c>
      <c r="Y85" s="207">
        <f t="shared" si="381"/>
        <v>47</v>
      </c>
      <c r="Z85" s="207">
        <f t="shared" si="381"/>
        <v>169</v>
      </c>
      <c r="AA85" s="207">
        <f t="shared" si="381"/>
        <v>1</v>
      </c>
      <c r="AB85" s="207">
        <f t="shared" si="381"/>
        <v>279</v>
      </c>
      <c r="AC85" s="207">
        <f t="shared" si="381"/>
        <v>303</v>
      </c>
      <c r="AD85" s="207">
        <f t="shared" si="381"/>
        <v>11</v>
      </c>
      <c r="AE85" s="207">
        <f t="shared" si="381"/>
        <v>1529</v>
      </c>
      <c r="AF85" s="207">
        <f t="shared" si="381"/>
        <v>379</v>
      </c>
      <c r="AG85" s="207">
        <f t="shared" si="381"/>
        <v>8</v>
      </c>
      <c r="AH85" s="207">
        <f t="shared" si="381"/>
        <v>5</v>
      </c>
      <c r="AI85" s="207">
        <f t="shared" si="381"/>
        <v>2</v>
      </c>
      <c r="AJ85" s="207">
        <f t="shared" si="381"/>
        <v>0</v>
      </c>
      <c r="AK85" s="83">
        <f t="shared" si="365"/>
        <v>2291</v>
      </c>
      <c r="AL85" s="83">
        <f t="shared" si="366"/>
        <v>2089</v>
      </c>
      <c r="AM85" s="83">
        <f t="shared" si="367"/>
        <v>4380</v>
      </c>
      <c r="AN85" s="178">
        <f t="shared" si="368"/>
        <v>72</v>
      </c>
      <c r="AO85" s="85">
        <f t="shared" si="369"/>
        <v>3.53938185443669</v>
      </c>
      <c r="AP85" s="85">
        <f t="shared" si="370"/>
        <v>3.589232303090728</v>
      </c>
      <c r="AQ85" s="85">
        <f t="shared" si="371"/>
        <v>1.6438356164383561</v>
      </c>
      <c r="AR85" s="85">
        <f t="shared" si="372"/>
        <v>52.305936073059357</v>
      </c>
      <c r="AS85" s="85">
        <f t="shared" si="373"/>
        <v>47.694063926940636</v>
      </c>
      <c r="AT85" s="85">
        <f t="shared" si="374"/>
        <v>0</v>
      </c>
      <c r="AU85" s="85">
        <f t="shared" si="375"/>
        <v>61.111111111111114</v>
      </c>
      <c r="AV85" s="85">
        <f t="shared" si="376"/>
        <v>11.111111111111111</v>
      </c>
      <c r="AW85" s="85">
        <f t="shared" si="377"/>
        <v>1.3888888888888888</v>
      </c>
      <c r="AX85" s="85">
        <f t="shared" si="378"/>
        <v>15.277777777777779</v>
      </c>
      <c r="AY85" s="85">
        <f t="shared" si="379"/>
        <v>11.111111111111111</v>
      </c>
      <c r="AZ85" s="85">
        <f t="shared" si="380"/>
        <v>0</v>
      </c>
    </row>
    <row r="86" spans="1:52" s="40" customFormat="1" ht="20.25" customHeight="1">
      <c r="A86" s="82" t="s">
        <v>38</v>
      </c>
      <c r="B86" s="82">
        <f>B13+B24+B35+B46+B50+B53+B56+B59+B61+B67+B76+B85</f>
        <v>331</v>
      </c>
      <c r="C86" s="207">
        <f>C13+C24+C35+C46+C50+C53+C56+C59+C61+C67+C76+C85</f>
        <v>80042</v>
      </c>
      <c r="D86" s="138">
        <f>MIN(D6:D56)</f>
        <v>45659</v>
      </c>
      <c r="E86" s="124">
        <f>MAX(E6:E85)</f>
        <v>46022</v>
      </c>
      <c r="F86" s="207">
        <f>F13+F24+F35+F46+F50+F53+F56+F59+F61+F67+F76+F85</f>
        <v>24657</v>
      </c>
      <c r="G86" s="207">
        <f>G13+G24+G35+G46+G50+G53+G56+G59+G61+G67+G76+G85</f>
        <v>1</v>
      </c>
      <c r="H86" s="207">
        <f>H13+H24+H35+H46+H50+H53+H56+H59+H61+H67+H76+H85</f>
        <v>24658</v>
      </c>
      <c r="I86" s="207">
        <f t="shared" ref="I86:AJ86" si="382">I13+I24+I35+I46+I50+I53+I56+I59+I61+I67+I76+I85</f>
        <v>1048</v>
      </c>
      <c r="J86" s="207">
        <f t="shared" si="382"/>
        <v>4</v>
      </c>
      <c r="K86" s="207">
        <f t="shared" si="382"/>
        <v>27659</v>
      </c>
      <c r="L86" s="207">
        <f t="shared" si="382"/>
        <v>28</v>
      </c>
      <c r="M86" s="207">
        <f t="shared" si="382"/>
        <v>0</v>
      </c>
      <c r="N86" s="207">
        <f t="shared" si="382"/>
        <v>21077</v>
      </c>
      <c r="O86" s="207">
        <f t="shared" si="382"/>
        <v>1589</v>
      </c>
      <c r="P86" s="207">
        <f t="shared" si="382"/>
        <v>256</v>
      </c>
      <c r="Q86" s="207">
        <f t="shared" si="382"/>
        <v>1299</v>
      </c>
      <c r="R86" s="207">
        <f t="shared" si="382"/>
        <v>20</v>
      </c>
      <c r="S86" s="207">
        <f t="shared" si="382"/>
        <v>1480</v>
      </c>
      <c r="T86" s="207">
        <f t="shared" si="382"/>
        <v>10779</v>
      </c>
      <c r="U86" s="207">
        <f t="shared" si="382"/>
        <v>755</v>
      </c>
      <c r="V86" s="207">
        <f t="shared" si="382"/>
        <v>9091</v>
      </c>
      <c r="W86" s="207">
        <f t="shared" si="382"/>
        <v>7414</v>
      </c>
      <c r="X86" s="207">
        <f t="shared" si="382"/>
        <v>548</v>
      </c>
      <c r="Y86" s="207">
        <f t="shared" si="382"/>
        <v>906</v>
      </c>
      <c r="Z86" s="207">
        <f t="shared" si="382"/>
        <v>2235</v>
      </c>
      <c r="AA86" s="207">
        <f t="shared" si="382"/>
        <v>160</v>
      </c>
      <c r="AB86" s="207">
        <f t="shared" si="382"/>
        <v>4262</v>
      </c>
      <c r="AC86" s="207">
        <f t="shared" si="382"/>
        <v>4433</v>
      </c>
      <c r="AD86" s="207">
        <f t="shared" si="382"/>
        <v>658</v>
      </c>
      <c r="AE86" s="207">
        <f t="shared" si="382"/>
        <v>23378</v>
      </c>
      <c r="AF86" s="207">
        <f t="shared" si="382"/>
        <v>7766</v>
      </c>
      <c r="AG86" s="207">
        <f t="shared" si="382"/>
        <v>188</v>
      </c>
      <c r="AH86" s="207">
        <f t="shared" si="382"/>
        <v>30</v>
      </c>
      <c r="AI86" s="207">
        <f t="shared" si="382"/>
        <v>81</v>
      </c>
      <c r="AJ86" s="207">
        <f t="shared" si="382"/>
        <v>18</v>
      </c>
      <c r="AK86" s="83">
        <f>P86+S86+V86+Y86+AB86+AE86+AH86</f>
        <v>39403</v>
      </c>
      <c r="AL86" s="83">
        <f>Q86+T86+W86+Z86+AC86+AF86+AI86</f>
        <v>34007</v>
      </c>
      <c r="AM86" s="83">
        <f>AK86+AL86</f>
        <v>73410</v>
      </c>
      <c r="AN86" s="178">
        <f>R86+U86+X86+AA86+AD86+AG86+AJ86</f>
        <v>2347</v>
      </c>
      <c r="AO86" s="85">
        <f>O86/H86*100</f>
        <v>6.444156054830076</v>
      </c>
      <c r="AP86" s="85">
        <f>AN86/H86*100</f>
        <v>9.5182091004947686</v>
      </c>
      <c r="AQ86" s="85">
        <f t="shared" ref="AQ86" si="383">AN86/AM86*100</f>
        <v>3.1971121100667488</v>
      </c>
      <c r="AR86" s="85">
        <f t="shared" ref="AR86" si="384">AK86/AM86*100</f>
        <v>53.675248603732463</v>
      </c>
      <c r="AS86" s="85">
        <f t="shared" ref="AS86" si="385">AL86/AM86*100</f>
        <v>46.324751396267537</v>
      </c>
      <c r="AT86" s="85">
        <f t="shared" si="2"/>
        <v>0.85215168299957389</v>
      </c>
      <c r="AU86" s="85">
        <f t="shared" ref="AU86" si="386">U86/AN86*100</f>
        <v>32.168726033233916</v>
      </c>
      <c r="AV86" s="85">
        <f t="shared" ref="AV86" si="387">X86/AN86*100</f>
        <v>23.348956114188326</v>
      </c>
      <c r="AW86" s="85">
        <f t="shared" si="9"/>
        <v>6.8172134639965911</v>
      </c>
      <c r="AX86" s="85">
        <f t="shared" ref="AX86" si="388">AD86/AN86*100</f>
        <v>28.03579037068598</v>
      </c>
      <c r="AY86" s="85">
        <f t="shared" ref="AY86" si="389">AG86/AN86*100</f>
        <v>8.0102258201959948</v>
      </c>
      <c r="AZ86" s="85">
        <f t="shared" ref="AZ86" si="390">AJ86/AN86*100</f>
        <v>0.76693651469961654</v>
      </c>
    </row>
    <row r="87" spans="1:52" s="10" customFormat="1" ht="18">
      <c r="A87" s="9" t="s">
        <v>52</v>
      </c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57"/>
      <c r="N87" s="44"/>
      <c r="O87" s="57"/>
      <c r="P87" s="44"/>
      <c r="Q87" s="44"/>
      <c r="R87" s="57"/>
      <c r="S87" s="44"/>
      <c r="T87" s="44"/>
      <c r="U87" s="57"/>
      <c r="V87" s="44"/>
      <c r="W87" s="44"/>
      <c r="X87" s="57"/>
      <c r="Y87" s="44"/>
      <c r="Z87" s="44"/>
      <c r="AA87" s="57"/>
      <c r="AB87" s="44"/>
      <c r="AC87" s="44"/>
      <c r="AD87" s="57"/>
      <c r="AE87" s="44"/>
      <c r="AF87" s="44"/>
      <c r="AG87" s="57"/>
      <c r="AH87" s="44"/>
      <c r="AI87" s="44"/>
      <c r="AJ87" s="57"/>
      <c r="AK87" s="44"/>
      <c r="AL87" s="44"/>
      <c r="AM87" s="44"/>
      <c r="AN87" s="57"/>
      <c r="AO87" s="47"/>
      <c r="AP87" s="47"/>
      <c r="AQ87" s="47"/>
      <c r="AR87" s="47"/>
      <c r="AS87" s="47"/>
      <c r="AT87" s="73"/>
      <c r="AU87" s="73"/>
      <c r="AV87" s="73"/>
      <c r="AW87" s="73"/>
      <c r="AX87" s="73"/>
      <c r="AY87" s="73"/>
      <c r="AZ87" s="73"/>
    </row>
  </sheetData>
  <mergeCells count="47">
    <mergeCell ref="J4:J5"/>
    <mergeCell ref="A1:AP1"/>
    <mergeCell ref="A3:A5"/>
    <mergeCell ref="B3:B5"/>
    <mergeCell ref="C3:C5"/>
    <mergeCell ref="D3:E3"/>
    <mergeCell ref="F3:J3"/>
    <mergeCell ref="K3:K5"/>
    <mergeCell ref="L3:M3"/>
    <mergeCell ref="N3:O3"/>
    <mergeCell ref="P3:U3"/>
    <mergeCell ref="V3:X3"/>
    <mergeCell ref="Y3:AA3"/>
    <mergeCell ref="AB3:AG3"/>
    <mergeCell ref="AH3:AJ3"/>
    <mergeCell ref="AK3:AN3"/>
    <mergeCell ref="AO3:AS3"/>
    <mergeCell ref="AT3:AZ3"/>
    <mergeCell ref="D4:D5"/>
    <mergeCell ref="E4:E5"/>
    <mergeCell ref="F4:G4"/>
    <mergeCell ref="H4:H5"/>
    <mergeCell ref="I4:I5"/>
    <mergeCell ref="L4:L5"/>
    <mergeCell ref="M4:M5"/>
    <mergeCell ref="N4:N5"/>
    <mergeCell ref="O4:O5"/>
    <mergeCell ref="P4:R4"/>
    <mergeCell ref="S4:U4"/>
    <mergeCell ref="V4:X4"/>
    <mergeCell ref="Y4:AA4"/>
    <mergeCell ref="AB4:AD4"/>
    <mergeCell ref="AN4:AN5"/>
    <mergeCell ref="AZ4:AZ5"/>
    <mergeCell ref="AO4:AQ4"/>
    <mergeCell ref="AR4:AS4"/>
    <mergeCell ref="AT4:AT5"/>
    <mergeCell ref="AU4:AU5"/>
    <mergeCell ref="AV4:AV5"/>
    <mergeCell ref="AW4:AW5"/>
    <mergeCell ref="AX4:AX5"/>
    <mergeCell ref="AY4:AY5"/>
    <mergeCell ref="AE4:AG4"/>
    <mergeCell ref="AH4:AJ4"/>
    <mergeCell ref="AK4:AK5"/>
    <mergeCell ref="AL4:AL5"/>
    <mergeCell ref="AM4:AM5"/>
  </mergeCells>
  <pageMargins left="0.7" right="0.7" top="0.75" bottom="0.75" header="0.3" footer="0.3"/>
  <pageSetup paperSize="9" scale="95" orientation="portrait" verticalDpi="360" r:id="rId1"/>
  <ignoredErrors>
    <ignoredError sqref="AT44:AZ45 AT49:AZ49 AT34:AZ34 AT26:AZ26 AT23:AZ23" evalError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1:N95"/>
  <sheetViews>
    <sheetView zoomScaleNormal="100" workbookViewId="0">
      <pane xSplit="2" ySplit="4" topLeftCell="C5" activePane="bottomRight" state="frozen"/>
      <selection activeCell="C20" sqref="C20"/>
      <selection pane="topRight" activeCell="C20" sqref="C20"/>
      <selection pane="bottomLeft" activeCell="C20" sqref="C20"/>
      <selection pane="bottomRight" activeCell="K91" sqref="K91"/>
    </sheetView>
  </sheetViews>
  <sheetFormatPr baseColWidth="10" defaultRowHeight="15.75"/>
  <cols>
    <col min="1" max="1" width="3" style="7" customWidth="1"/>
    <col min="2" max="2" width="18.85546875" style="7" customWidth="1"/>
    <col min="3" max="3" width="13.5703125" style="7" customWidth="1"/>
    <col min="4" max="5" width="13" style="8" customWidth="1"/>
    <col min="6" max="9" width="16" style="7" customWidth="1"/>
    <col min="10" max="11" width="13.28515625" style="7" customWidth="1"/>
    <col min="12" max="12" width="16.140625" style="15" customWidth="1"/>
    <col min="13" max="13" width="16.85546875" style="16" customWidth="1"/>
    <col min="14" max="15" width="11.42578125" style="7"/>
    <col min="16" max="19" width="0" style="7" hidden="1" customWidth="1"/>
    <col min="20" max="16384" width="11.42578125" style="7"/>
  </cols>
  <sheetData>
    <row r="1" spans="2:13" s="6" customFormat="1" ht="44.25" customHeight="1">
      <c r="B1" s="435" t="s">
        <v>214</v>
      </c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</row>
    <row r="2" spans="2:13" ht="9" customHeight="1">
      <c r="B2" s="8"/>
      <c r="C2" s="8"/>
      <c r="F2" s="8"/>
      <c r="G2" s="8"/>
      <c r="H2" s="8"/>
      <c r="I2" s="8"/>
      <c r="J2" s="8"/>
      <c r="K2" s="8"/>
    </row>
    <row r="3" spans="2:13" s="39" customFormat="1" ht="33.75" customHeight="1">
      <c r="B3" s="437" t="s">
        <v>15</v>
      </c>
      <c r="C3" s="436" t="s">
        <v>63</v>
      </c>
      <c r="D3" s="440" t="s">
        <v>72</v>
      </c>
      <c r="E3" s="442"/>
      <c r="F3" s="440" t="s">
        <v>71</v>
      </c>
      <c r="G3" s="441"/>
      <c r="H3" s="441"/>
      <c r="I3" s="442"/>
      <c r="J3" s="438" t="s">
        <v>70</v>
      </c>
      <c r="K3" s="439"/>
      <c r="L3" s="443" t="s">
        <v>74</v>
      </c>
      <c r="M3" s="444"/>
    </row>
    <row r="4" spans="2:13" s="39" customFormat="1" ht="50.25" customHeight="1">
      <c r="B4" s="437"/>
      <c r="C4" s="436"/>
      <c r="D4" s="37" t="s">
        <v>10</v>
      </c>
      <c r="E4" s="37" t="s">
        <v>73</v>
      </c>
      <c r="F4" s="37" t="s">
        <v>18</v>
      </c>
      <c r="G4" s="37" t="s">
        <v>19</v>
      </c>
      <c r="H4" s="37" t="s">
        <v>17</v>
      </c>
      <c r="I4" s="37" t="s">
        <v>16</v>
      </c>
      <c r="J4" s="34" t="s">
        <v>20</v>
      </c>
      <c r="K4" s="34" t="s">
        <v>51</v>
      </c>
      <c r="L4" s="35" t="s">
        <v>67</v>
      </c>
      <c r="M4" s="35" t="s">
        <v>69</v>
      </c>
    </row>
    <row r="5" spans="2:13" s="27" customFormat="1" ht="14.25" customHeight="1">
      <c r="B5" s="26" t="s">
        <v>24</v>
      </c>
      <c r="C5" s="17">
        <f>DatosXMes!B6</f>
        <v>10</v>
      </c>
      <c r="D5" s="99">
        <f>DatosXMes!D6</f>
        <v>45659</v>
      </c>
      <c r="E5" s="99">
        <f>DatosXMes!E6</f>
        <v>45687</v>
      </c>
      <c r="F5" s="17">
        <f>DatosXMes!H6</f>
        <v>620</v>
      </c>
      <c r="G5" s="18">
        <f>DatosXMes!O6</f>
        <v>49</v>
      </c>
      <c r="H5" s="18">
        <f>DatosXMes!AN6</f>
        <v>71</v>
      </c>
      <c r="I5" s="19">
        <f>DatosXMes!AM6</f>
        <v>865</v>
      </c>
      <c r="J5" s="20">
        <f t="shared" ref="J5" si="0">G5/F5*100</f>
        <v>7.9032258064516121</v>
      </c>
      <c r="K5" s="20">
        <f t="shared" ref="K5" si="1">H5/F5*100</f>
        <v>11.451612903225806</v>
      </c>
      <c r="L5" s="22" t="s">
        <v>113</v>
      </c>
      <c r="M5" s="21" t="s">
        <v>68</v>
      </c>
    </row>
    <row r="6" spans="2:13" s="27" customFormat="1" ht="14.25" customHeight="1">
      <c r="B6" s="26" t="s">
        <v>105</v>
      </c>
      <c r="C6" s="17">
        <f>DatosXMes!B8</f>
        <v>7</v>
      </c>
      <c r="D6" s="99">
        <f>DatosXMes!D8</f>
        <v>45659</v>
      </c>
      <c r="E6" s="99">
        <f>DatosXMes!E8</f>
        <v>45688</v>
      </c>
      <c r="F6" s="17">
        <f>DatosXMes!H8</f>
        <v>662</v>
      </c>
      <c r="G6" s="18">
        <f>DatosXMes!O8</f>
        <v>121</v>
      </c>
      <c r="H6" s="18">
        <f>DatosXMes!AN8</f>
        <v>204</v>
      </c>
      <c r="I6" s="19">
        <f>DatosXMes!AM8</f>
        <v>2563</v>
      </c>
      <c r="J6" s="20">
        <f t="shared" ref="J6:J10" si="2">G6/F6*100</f>
        <v>18.277945619335348</v>
      </c>
      <c r="K6" s="20">
        <f t="shared" ref="K6:K10" si="3">H6/F6*100</f>
        <v>30.815709969788518</v>
      </c>
      <c r="L6" s="95" t="s">
        <v>117</v>
      </c>
      <c r="M6" s="95" t="s">
        <v>117</v>
      </c>
    </row>
    <row r="7" spans="2:13" s="27" customFormat="1" ht="14.25" customHeight="1">
      <c r="B7" s="26" t="s">
        <v>106</v>
      </c>
      <c r="C7" s="17">
        <f>DatosXMes!B7</f>
        <v>5</v>
      </c>
      <c r="D7" s="99">
        <f>DatosXMes!D7</f>
        <v>45672</v>
      </c>
      <c r="E7" s="99">
        <f>DatosXMes!E7</f>
        <v>45684</v>
      </c>
      <c r="F7" s="17">
        <f>DatosXMes!H7</f>
        <v>246</v>
      </c>
      <c r="G7" s="18">
        <f>DatosXMes!O7</f>
        <v>8</v>
      </c>
      <c r="H7" s="18">
        <f>DatosXMes!AN7</f>
        <v>8</v>
      </c>
      <c r="I7" s="19">
        <f>DatosXMes!AM7</f>
        <v>500</v>
      </c>
      <c r="J7" s="20">
        <f t="shared" si="2"/>
        <v>3.2520325203252036</v>
      </c>
      <c r="K7" s="20">
        <f t="shared" si="3"/>
        <v>3.2520325203252036</v>
      </c>
      <c r="L7" s="22" t="s">
        <v>113</v>
      </c>
      <c r="M7" s="21" t="s">
        <v>68</v>
      </c>
    </row>
    <row r="8" spans="2:13" s="27" customFormat="1" ht="14.25" customHeight="1">
      <c r="B8" s="28" t="s">
        <v>25</v>
      </c>
      <c r="C8" s="17">
        <f>DatosXMes!B9</f>
        <v>3</v>
      </c>
      <c r="D8" s="99">
        <f>DatosXMes!D9</f>
        <v>45672</v>
      </c>
      <c r="E8" s="99">
        <f>DatosXMes!E9</f>
        <v>45688</v>
      </c>
      <c r="F8" s="17">
        <f>DatosXMes!H9</f>
        <v>593</v>
      </c>
      <c r="G8" s="18">
        <f>DatosXMes!O9</f>
        <v>3</v>
      </c>
      <c r="H8" s="18">
        <f>DatosXMes!AN9</f>
        <v>7</v>
      </c>
      <c r="I8" s="19">
        <f>DatosXMes!AM9</f>
        <v>1066</v>
      </c>
      <c r="J8" s="20">
        <f t="shared" si="2"/>
        <v>0.50590219224283306</v>
      </c>
      <c r="K8" s="20">
        <f t="shared" si="3"/>
        <v>1.1804384485666104</v>
      </c>
      <c r="L8" s="21" t="s">
        <v>68</v>
      </c>
      <c r="M8" s="21" t="s">
        <v>68</v>
      </c>
    </row>
    <row r="9" spans="2:13" s="27" customFormat="1" ht="14.25" customHeight="1">
      <c r="B9" s="29" t="s">
        <v>23</v>
      </c>
      <c r="C9" s="17">
        <f>DatosXMes!B11</f>
        <v>1</v>
      </c>
      <c r="D9" s="99">
        <f>DatosXMes!D11</f>
        <v>45663</v>
      </c>
      <c r="E9" s="99">
        <f>DatosXMes!E11</f>
        <v>45673</v>
      </c>
      <c r="F9" s="17">
        <f>DatosXMes!H11</f>
        <v>129</v>
      </c>
      <c r="G9" s="18">
        <f>DatosXMes!O11</f>
        <v>0</v>
      </c>
      <c r="H9" s="18">
        <f>DatosXMes!AN11</f>
        <v>0</v>
      </c>
      <c r="I9" s="19">
        <f>DatosXMes!AM11</f>
        <v>91</v>
      </c>
      <c r="J9" s="20">
        <f t="shared" si="2"/>
        <v>0</v>
      </c>
      <c r="K9" s="20">
        <f t="shared" si="3"/>
        <v>0</v>
      </c>
      <c r="L9" s="21" t="s">
        <v>68</v>
      </c>
      <c r="M9" s="21" t="s">
        <v>68</v>
      </c>
    </row>
    <row r="10" spans="2:13" s="27" customFormat="1" ht="14.25" customHeight="1">
      <c r="B10" s="29" t="s">
        <v>49</v>
      </c>
      <c r="C10" s="17">
        <f>DatosXMes!B12</f>
        <v>2</v>
      </c>
      <c r="D10" s="99">
        <f>DatosXMes!D12</f>
        <v>45663</v>
      </c>
      <c r="E10" s="99">
        <f>DatosXMes!E12</f>
        <v>45688</v>
      </c>
      <c r="F10" s="17">
        <f>DatosXMes!H12</f>
        <v>262</v>
      </c>
      <c r="G10" s="18">
        <f>DatosXMes!O12</f>
        <v>61</v>
      </c>
      <c r="H10" s="18">
        <f>DatosXMes!AN12</f>
        <v>97</v>
      </c>
      <c r="I10" s="19">
        <f>DatosXMes!AM12</f>
        <v>1210</v>
      </c>
      <c r="J10" s="20">
        <f t="shared" si="2"/>
        <v>23.282442748091604</v>
      </c>
      <c r="K10" s="20">
        <f t="shared" si="3"/>
        <v>37.022900763358777</v>
      </c>
      <c r="L10" s="95" t="s">
        <v>117</v>
      </c>
      <c r="M10" s="95" t="s">
        <v>117</v>
      </c>
    </row>
    <row r="11" spans="2:13" s="31" customFormat="1" ht="15.75" customHeight="1">
      <c r="B11" s="30" t="s">
        <v>62</v>
      </c>
      <c r="C11" s="23">
        <f>SUM(C5:C10)</f>
        <v>28</v>
      </c>
      <c r="D11" s="100">
        <f>MIN(D5:D10)</f>
        <v>45659</v>
      </c>
      <c r="E11" s="100">
        <f>MAX(E5:E10)</f>
        <v>45688</v>
      </c>
      <c r="F11" s="23">
        <f>SUM(F5:F10)</f>
        <v>2512</v>
      </c>
      <c r="G11" s="24">
        <f>SUM(G5:G10)</f>
        <v>242</v>
      </c>
      <c r="H11" s="24">
        <f>SUM(H5:H10)</f>
        <v>387</v>
      </c>
      <c r="I11" s="23">
        <f>SUM(I5:I10)</f>
        <v>6295</v>
      </c>
      <c r="J11" s="25">
        <f t="shared" ref="J11:J12" si="4">G11/F11*100</f>
        <v>9.6337579617834397</v>
      </c>
      <c r="K11" s="25">
        <f t="shared" ref="K11:K12" si="5">H11/F11*100</f>
        <v>15.406050955414013</v>
      </c>
      <c r="L11" s="97" t="s">
        <v>117</v>
      </c>
      <c r="M11" s="96" t="s">
        <v>113</v>
      </c>
    </row>
    <row r="12" spans="2:13" s="27" customFormat="1" ht="15.75" customHeight="1">
      <c r="B12" s="152" t="s">
        <v>24</v>
      </c>
      <c r="C12" s="92">
        <f>DatosXMes!B14</f>
        <v>8</v>
      </c>
      <c r="D12" s="101">
        <f>DatosXMes!D14</f>
        <v>45693</v>
      </c>
      <c r="E12" s="101">
        <f>DatosXMes!E14</f>
        <v>45705</v>
      </c>
      <c r="F12" s="92">
        <f>DatosXMes!H14</f>
        <v>353</v>
      </c>
      <c r="G12" s="93">
        <f>DatosXMes!O14</f>
        <v>52</v>
      </c>
      <c r="H12" s="93">
        <f>DatosXMes!AN14</f>
        <v>83</v>
      </c>
      <c r="I12" s="92">
        <f>DatosXMes!AM14</f>
        <v>467</v>
      </c>
      <c r="J12" s="20">
        <f t="shared" si="4"/>
        <v>14.730878186968837</v>
      </c>
      <c r="K12" s="20">
        <f t="shared" si="5"/>
        <v>23.512747875354105</v>
      </c>
      <c r="L12" s="95" t="s">
        <v>117</v>
      </c>
      <c r="M12" s="95" t="s">
        <v>117</v>
      </c>
    </row>
    <row r="13" spans="2:13" s="27" customFormat="1" ht="15.75" customHeight="1">
      <c r="B13" s="152" t="s">
        <v>104</v>
      </c>
      <c r="C13" s="92">
        <f>DatosXMes!B15</f>
        <v>13</v>
      </c>
      <c r="D13" s="101">
        <f>DatosXMes!D15</f>
        <v>45692</v>
      </c>
      <c r="E13" s="101">
        <f>DatosXMes!E15</f>
        <v>45716</v>
      </c>
      <c r="F13" s="92">
        <f>DatosXMes!H15</f>
        <v>220</v>
      </c>
      <c r="G13" s="93">
        <f>DatosXMes!O15</f>
        <v>6</v>
      </c>
      <c r="H13" s="93">
        <f>DatosXMes!AN15</f>
        <v>6</v>
      </c>
      <c r="I13" s="92">
        <f>DatosXMes!AM15</f>
        <v>383</v>
      </c>
      <c r="J13" s="20">
        <f t="shared" ref="J13:J18" si="6">G13/F13*100</f>
        <v>2.7272727272727271</v>
      </c>
      <c r="K13" s="20">
        <f t="shared" ref="K13:K18" si="7">H13/F13*100</f>
        <v>2.7272727272727271</v>
      </c>
      <c r="L13" s="21" t="s">
        <v>68</v>
      </c>
      <c r="M13" s="21" t="s">
        <v>68</v>
      </c>
    </row>
    <row r="14" spans="2:13" s="27" customFormat="1" ht="15.75" customHeight="1">
      <c r="B14" s="152" t="s">
        <v>105</v>
      </c>
      <c r="C14" s="92">
        <f>DatosXMes!B16</f>
        <v>4</v>
      </c>
      <c r="D14" s="101">
        <f>DatosXMes!D16</f>
        <v>45693</v>
      </c>
      <c r="E14" s="101">
        <f>DatosXMes!E16</f>
        <v>45715</v>
      </c>
      <c r="F14" s="92">
        <f>DatosXMes!H16</f>
        <v>350</v>
      </c>
      <c r="G14" s="93">
        <f>DatosXMes!O16</f>
        <v>94</v>
      </c>
      <c r="H14" s="93">
        <f>DatosXMes!AN16</f>
        <v>159</v>
      </c>
      <c r="I14" s="92">
        <f>DatosXMes!AM16</f>
        <v>1534</v>
      </c>
      <c r="J14" s="20">
        <f t="shared" si="6"/>
        <v>26.857142857142858</v>
      </c>
      <c r="K14" s="20">
        <f t="shared" si="7"/>
        <v>45.428571428571431</v>
      </c>
      <c r="L14" s="95" t="s">
        <v>117</v>
      </c>
      <c r="M14" s="95" t="s">
        <v>117</v>
      </c>
    </row>
    <row r="15" spans="2:13" s="27" customFormat="1" ht="15.75" customHeight="1">
      <c r="B15" s="152" t="s">
        <v>25</v>
      </c>
      <c r="C15" s="92">
        <f>DatosXMes!B17</f>
        <v>2</v>
      </c>
      <c r="D15" s="101">
        <f>DatosXMes!D17</f>
        <v>45691</v>
      </c>
      <c r="E15" s="101">
        <f>DatosXMes!E17</f>
        <v>45714</v>
      </c>
      <c r="F15" s="92">
        <f>DatosXMes!H17</f>
        <v>538</v>
      </c>
      <c r="G15" s="93">
        <f>DatosXMes!O17</f>
        <v>6</v>
      </c>
      <c r="H15" s="93">
        <f>DatosXMes!AN17</f>
        <v>6</v>
      </c>
      <c r="I15" s="92">
        <f>DatosXMes!AM17</f>
        <v>816</v>
      </c>
      <c r="J15" s="20">
        <f t="shared" si="6"/>
        <v>1.1152416356877324</v>
      </c>
      <c r="K15" s="20">
        <f t="shared" si="7"/>
        <v>1.1152416356877324</v>
      </c>
      <c r="L15" s="21" t="s">
        <v>68</v>
      </c>
      <c r="M15" s="21" t="s">
        <v>68</v>
      </c>
    </row>
    <row r="16" spans="2:13" s="27" customFormat="1" ht="15.75" customHeight="1">
      <c r="B16" s="152" t="s">
        <v>140</v>
      </c>
      <c r="C16" s="92">
        <f>DatosXMes!B18</f>
        <v>2</v>
      </c>
      <c r="D16" s="101">
        <f>DatosXMes!D18</f>
        <v>45694</v>
      </c>
      <c r="E16" s="101">
        <f>DatosXMes!E18</f>
        <v>45713</v>
      </c>
      <c r="F16" s="92">
        <f>DatosXMes!H18</f>
        <v>97</v>
      </c>
      <c r="G16" s="93">
        <f>DatosXMes!O18</f>
        <v>9</v>
      </c>
      <c r="H16" s="93">
        <f>DatosXMes!AN18</f>
        <v>9</v>
      </c>
      <c r="I16" s="92">
        <f>DatosXMes!AM18</f>
        <v>638</v>
      </c>
      <c r="J16" s="20">
        <f t="shared" si="6"/>
        <v>9.2783505154639183</v>
      </c>
      <c r="K16" s="20">
        <f t="shared" si="7"/>
        <v>9.2783505154639183</v>
      </c>
      <c r="L16" s="95" t="s">
        <v>117</v>
      </c>
      <c r="M16" s="95" t="s">
        <v>117</v>
      </c>
    </row>
    <row r="17" spans="2:13" s="27" customFormat="1" ht="15.75" customHeight="1">
      <c r="B17" s="152" t="s">
        <v>50</v>
      </c>
      <c r="C17" s="92">
        <f>DatosXMes!B19</f>
        <v>17</v>
      </c>
      <c r="D17" s="101">
        <f>DatosXMes!D19</f>
        <v>45693</v>
      </c>
      <c r="E17" s="101">
        <f>DatosXMes!E19</f>
        <v>45712</v>
      </c>
      <c r="F17" s="92">
        <f>DatosXMes!H19</f>
        <v>1192</v>
      </c>
      <c r="G17" s="93">
        <f>DatosXMes!O19</f>
        <v>69</v>
      </c>
      <c r="H17" s="93">
        <f>DatosXMes!AN19</f>
        <v>75</v>
      </c>
      <c r="I17" s="92">
        <f>DatosXMes!AM19</f>
        <v>6039</v>
      </c>
      <c r="J17" s="20">
        <f t="shared" si="6"/>
        <v>5.7885906040268456</v>
      </c>
      <c r="K17" s="20">
        <f t="shared" si="7"/>
        <v>6.2919463087248326</v>
      </c>
      <c r="L17" s="21" t="s">
        <v>68</v>
      </c>
      <c r="M17" s="21" t="s">
        <v>68</v>
      </c>
    </row>
    <row r="18" spans="2:13" s="27" customFormat="1" ht="15.75" customHeight="1">
      <c r="B18" s="152" t="s">
        <v>23</v>
      </c>
      <c r="C18" s="92">
        <f>DatosXMes!B20</f>
        <v>1</v>
      </c>
      <c r="D18" s="101">
        <f>DatosXMes!D20</f>
        <v>45705</v>
      </c>
      <c r="E18" s="101">
        <f>DatosXMes!E20</f>
        <v>45716</v>
      </c>
      <c r="F18" s="92">
        <f>DatosXMes!H20</f>
        <v>473</v>
      </c>
      <c r="G18" s="93">
        <f>DatosXMes!O20</f>
        <v>1</v>
      </c>
      <c r="H18" s="93">
        <f>DatosXMes!AN20</f>
        <v>2</v>
      </c>
      <c r="I18" s="92">
        <f>DatosXMes!AM20</f>
        <v>434</v>
      </c>
      <c r="J18" s="20">
        <f t="shared" si="6"/>
        <v>0.21141649048625794</v>
      </c>
      <c r="K18" s="20">
        <f t="shared" si="7"/>
        <v>0.42283298097251587</v>
      </c>
      <c r="L18" s="21" t="s">
        <v>68</v>
      </c>
      <c r="M18" s="21" t="s">
        <v>68</v>
      </c>
    </row>
    <row r="19" spans="2:13" s="27" customFormat="1" ht="15.75" customHeight="1">
      <c r="B19" s="152" t="s">
        <v>49</v>
      </c>
      <c r="C19" s="92">
        <f>DatosXMes!B21</f>
        <v>2</v>
      </c>
      <c r="D19" s="101">
        <f>DatosXMes!D21</f>
        <v>45692</v>
      </c>
      <c r="E19" s="101">
        <f>DatosXMes!E21</f>
        <v>45701</v>
      </c>
      <c r="F19" s="92">
        <f>DatosXMes!H21</f>
        <v>185</v>
      </c>
      <c r="G19" s="93">
        <f>DatosXMes!O21</f>
        <v>24</v>
      </c>
      <c r="H19" s="93">
        <f>DatosXMes!AN21</f>
        <v>35</v>
      </c>
      <c r="I19" s="92">
        <f>DatosXMes!AM21</f>
        <v>1076</v>
      </c>
      <c r="J19" s="20">
        <f t="shared" ref="J19" si="8">G19/F19*100</f>
        <v>12.972972972972974</v>
      </c>
      <c r="K19" s="20">
        <f t="shared" ref="K19" si="9">H19/F19*100</f>
        <v>18.918918918918919</v>
      </c>
      <c r="L19" s="95" t="s">
        <v>117</v>
      </c>
      <c r="M19" s="95" t="s">
        <v>117</v>
      </c>
    </row>
    <row r="20" spans="2:13" s="27" customFormat="1" ht="15.75" customHeight="1">
      <c r="B20" s="152" t="s">
        <v>156</v>
      </c>
      <c r="C20" s="92">
        <f>DatosXMes!B22</f>
        <v>3</v>
      </c>
      <c r="D20" s="101">
        <f>DatosXMes!D22</f>
        <v>45692</v>
      </c>
      <c r="E20" s="101">
        <f>DatosXMes!E22</f>
        <v>45709</v>
      </c>
      <c r="F20" s="92">
        <f>DatosXMes!H22</f>
        <v>317</v>
      </c>
      <c r="G20" s="93">
        <f>DatosXMes!O22</f>
        <v>2</v>
      </c>
      <c r="H20" s="93">
        <f>DatosXMes!AN22</f>
        <v>3</v>
      </c>
      <c r="I20" s="92">
        <f>DatosXMes!AM22</f>
        <v>160</v>
      </c>
      <c r="J20" s="20">
        <f t="shared" ref="J20:J21" si="10">G20/F20*100</f>
        <v>0.63091482649842268</v>
      </c>
      <c r="K20" s="20">
        <f t="shared" ref="K20:K21" si="11">H20/F20*100</f>
        <v>0.94637223974763407</v>
      </c>
      <c r="L20" s="21" t="s">
        <v>68</v>
      </c>
      <c r="M20" s="21" t="s">
        <v>68</v>
      </c>
    </row>
    <row r="21" spans="2:13" s="27" customFormat="1" ht="15.75" customHeight="1">
      <c r="B21" s="152" t="s">
        <v>213</v>
      </c>
      <c r="C21" s="92">
        <f>DatosXMes!B23</f>
        <v>1</v>
      </c>
      <c r="D21" s="101">
        <f>DatosXMes!D23</f>
        <v>45699</v>
      </c>
      <c r="E21" s="101">
        <f>DatosXMes!E23</f>
        <v>45706</v>
      </c>
      <c r="F21" s="92">
        <f>DatosXMes!H23</f>
        <v>53</v>
      </c>
      <c r="G21" s="93">
        <f>DatosXMes!O23</f>
        <v>0</v>
      </c>
      <c r="H21" s="93">
        <f>DatosXMes!AN23</f>
        <v>0</v>
      </c>
      <c r="I21" s="92">
        <f>DatosXMes!AM23</f>
        <v>24</v>
      </c>
      <c r="J21" s="20">
        <f t="shared" si="10"/>
        <v>0</v>
      </c>
      <c r="K21" s="20">
        <f t="shared" si="11"/>
        <v>0</v>
      </c>
      <c r="L21" s="21" t="s">
        <v>68</v>
      </c>
      <c r="M21" s="21" t="s">
        <v>68</v>
      </c>
    </row>
    <row r="22" spans="2:13" s="31" customFormat="1" ht="18" customHeight="1">
      <c r="B22" s="36" t="s">
        <v>99</v>
      </c>
      <c r="C22" s="32">
        <f>SUM(C12:C21)</f>
        <v>53</v>
      </c>
      <c r="D22" s="102">
        <f>MIN(D12:D21)</f>
        <v>45691</v>
      </c>
      <c r="E22" s="102">
        <f>MAX(E12:E21)</f>
        <v>45716</v>
      </c>
      <c r="F22" s="32">
        <f>SUM(F12:F21)</f>
        <v>3778</v>
      </c>
      <c r="G22" s="33">
        <f>SUM(G12:G21)</f>
        <v>263</v>
      </c>
      <c r="H22" s="33">
        <f t="shared" ref="H22:I22" si="12">SUM(H12:H21)</f>
        <v>378</v>
      </c>
      <c r="I22" s="32">
        <f t="shared" si="12"/>
        <v>11571</v>
      </c>
      <c r="J22" s="25">
        <f>G22/F22*100</f>
        <v>6.9613552143991537</v>
      </c>
      <c r="K22" s="25">
        <f>H22/F22*100</f>
        <v>10.005293806246691</v>
      </c>
      <c r="L22" s="97" t="s">
        <v>117</v>
      </c>
      <c r="M22" s="97" t="s">
        <v>117</v>
      </c>
    </row>
    <row r="23" spans="2:13" s="242" customFormat="1" ht="18" customHeight="1">
      <c r="B23" s="240" t="s">
        <v>24</v>
      </c>
      <c r="C23" s="241">
        <f>DatosXMes!B25</f>
        <v>16</v>
      </c>
      <c r="D23" s="243">
        <f>DatosXMes!D25</f>
        <v>45717</v>
      </c>
      <c r="E23" s="243">
        <f>DatosXMes!E25</f>
        <v>45747</v>
      </c>
      <c r="F23" s="241">
        <f>DatosXMes!H25</f>
        <v>730</v>
      </c>
      <c r="G23" s="244">
        <f>DatosXMes!O25</f>
        <v>55</v>
      </c>
      <c r="H23" s="244">
        <f>DatosXMes!AN25</f>
        <v>81</v>
      </c>
      <c r="I23" s="241">
        <f>DatosXMes!AM25</f>
        <v>1088</v>
      </c>
      <c r="J23" s="20">
        <f t="shared" ref="J23" si="13">G23/F23*100</f>
        <v>7.5342465753424657</v>
      </c>
      <c r="K23" s="20">
        <f t="shared" ref="K23" si="14">H23/F23*100</f>
        <v>11.095890410958905</v>
      </c>
      <c r="L23" s="95" t="s">
        <v>117</v>
      </c>
      <c r="M23" s="95" t="s">
        <v>117</v>
      </c>
    </row>
    <row r="24" spans="2:13" s="242" customFormat="1" ht="18" customHeight="1">
      <c r="B24" s="240" t="s">
        <v>104</v>
      </c>
      <c r="C24" s="241">
        <f>DatosXMes!B26</f>
        <v>13</v>
      </c>
      <c r="D24" s="243">
        <f>DatosXMes!D26</f>
        <v>45721</v>
      </c>
      <c r="E24" s="243">
        <f>DatosXMes!E26</f>
        <v>45745</v>
      </c>
      <c r="F24" s="241">
        <f>DatosXMes!H26</f>
        <v>16</v>
      </c>
      <c r="G24" s="244">
        <f>DatosXMes!O26</f>
        <v>0</v>
      </c>
      <c r="H24" s="244">
        <f>DatosXMes!AN26</f>
        <v>0</v>
      </c>
      <c r="I24" s="241">
        <f>DatosXMes!AM26</f>
        <v>23</v>
      </c>
      <c r="J24" s="20">
        <f t="shared" ref="J24:J32" si="15">G24/F24*100</f>
        <v>0</v>
      </c>
      <c r="K24" s="20">
        <f t="shared" ref="K24:K32" si="16">H24/F24*100</f>
        <v>0</v>
      </c>
      <c r="L24" s="21" t="s">
        <v>68</v>
      </c>
      <c r="M24" s="21" t="s">
        <v>68</v>
      </c>
    </row>
    <row r="25" spans="2:13" s="242" customFormat="1" ht="18" customHeight="1">
      <c r="B25" s="240" t="s">
        <v>105</v>
      </c>
      <c r="C25" s="241">
        <f>DatosXMes!B27</f>
        <v>4</v>
      </c>
      <c r="D25" s="243">
        <f>DatosXMes!D27</f>
        <v>45724</v>
      </c>
      <c r="E25" s="243">
        <f>DatosXMes!E27</f>
        <v>45747</v>
      </c>
      <c r="F25" s="241">
        <f>DatosXMes!H27</f>
        <v>405</v>
      </c>
      <c r="G25" s="244">
        <f>DatosXMes!O27</f>
        <v>118</v>
      </c>
      <c r="H25" s="244">
        <f>DatosXMes!AN27</f>
        <v>203</v>
      </c>
      <c r="I25" s="241">
        <f>DatosXMes!AM27</f>
        <v>2321</v>
      </c>
      <c r="J25" s="20">
        <f t="shared" si="15"/>
        <v>29.1358024691358</v>
      </c>
      <c r="K25" s="20">
        <f t="shared" si="16"/>
        <v>50.123456790123456</v>
      </c>
      <c r="L25" s="95" t="s">
        <v>117</v>
      </c>
      <c r="M25" s="95" t="s">
        <v>117</v>
      </c>
    </row>
    <row r="26" spans="2:13" s="242" customFormat="1" ht="18" customHeight="1">
      <c r="B26" s="240" t="s">
        <v>25</v>
      </c>
      <c r="C26" s="241">
        <f>DatosXMes!B28</f>
        <v>2</v>
      </c>
      <c r="D26" s="243">
        <f>DatosXMes!D28</f>
        <v>45722</v>
      </c>
      <c r="E26" s="243">
        <f>DatosXMes!E28</f>
        <v>45744</v>
      </c>
      <c r="F26" s="241">
        <f>DatosXMes!H28</f>
        <v>542</v>
      </c>
      <c r="G26" s="244">
        <f>DatosXMes!O28</f>
        <v>9</v>
      </c>
      <c r="H26" s="244">
        <f>DatosXMes!AN28</f>
        <v>9</v>
      </c>
      <c r="I26" s="241">
        <f>DatosXMes!AM28</f>
        <v>1573</v>
      </c>
      <c r="J26" s="20">
        <f t="shared" si="15"/>
        <v>1.6605166051660518</v>
      </c>
      <c r="K26" s="20">
        <f t="shared" si="16"/>
        <v>1.6605166051660518</v>
      </c>
      <c r="L26" s="21" t="s">
        <v>68</v>
      </c>
      <c r="M26" s="21" t="s">
        <v>68</v>
      </c>
    </row>
    <row r="27" spans="2:13" s="242" customFormat="1" ht="18" customHeight="1">
      <c r="B27" s="240" t="s">
        <v>140</v>
      </c>
      <c r="C27" s="241">
        <f>DatosXMes!B29</f>
        <v>2</v>
      </c>
      <c r="D27" s="243">
        <f>DatosXMes!D29</f>
        <v>45730</v>
      </c>
      <c r="E27" s="243">
        <f>DatosXMes!E29</f>
        <v>45744</v>
      </c>
      <c r="F27" s="241">
        <f>DatosXMes!H29</f>
        <v>128</v>
      </c>
      <c r="G27" s="244">
        <f>DatosXMes!O29</f>
        <v>17</v>
      </c>
      <c r="H27" s="244">
        <f>DatosXMes!AN29</f>
        <v>17</v>
      </c>
      <c r="I27" s="241">
        <f>DatosXMes!AM29</f>
        <v>1216</v>
      </c>
      <c r="J27" s="20">
        <f t="shared" si="15"/>
        <v>13.28125</v>
      </c>
      <c r="K27" s="20">
        <f t="shared" si="16"/>
        <v>13.28125</v>
      </c>
      <c r="L27" s="95" t="s">
        <v>117</v>
      </c>
      <c r="M27" s="95" t="s">
        <v>117</v>
      </c>
    </row>
    <row r="28" spans="2:13" s="242" customFormat="1" ht="18" customHeight="1">
      <c r="B28" s="240" t="s">
        <v>50</v>
      </c>
      <c r="C28" s="241">
        <f>DatosXMes!B30</f>
        <v>21</v>
      </c>
      <c r="D28" s="243">
        <f>DatosXMes!D30</f>
        <v>45722</v>
      </c>
      <c r="E28" s="243">
        <f>DatosXMes!E30</f>
        <v>45742</v>
      </c>
      <c r="F28" s="241">
        <f>DatosXMes!H30</f>
        <v>306</v>
      </c>
      <c r="G28" s="244">
        <f>DatosXMes!O30</f>
        <v>116</v>
      </c>
      <c r="H28" s="244">
        <f>DatosXMes!AN30</f>
        <v>133</v>
      </c>
      <c r="I28" s="241">
        <f>DatosXMes!AM30</f>
        <v>14343</v>
      </c>
      <c r="J28" s="20">
        <f t="shared" si="15"/>
        <v>37.908496732026144</v>
      </c>
      <c r="K28" s="20">
        <f t="shared" si="16"/>
        <v>43.464052287581701</v>
      </c>
      <c r="L28" s="21" t="s">
        <v>68</v>
      </c>
      <c r="M28" s="21" t="s">
        <v>68</v>
      </c>
    </row>
    <row r="29" spans="2:13" s="242" customFormat="1" ht="18" customHeight="1">
      <c r="B29" s="240" t="s">
        <v>23</v>
      </c>
      <c r="C29" s="241">
        <f>DatosXMes!B31</f>
        <v>3</v>
      </c>
      <c r="D29" s="243">
        <f>DatosXMes!D31</f>
        <v>45726</v>
      </c>
      <c r="E29" s="243">
        <f>DatosXMes!E31</f>
        <v>45744</v>
      </c>
      <c r="F29" s="241">
        <f>DatosXMes!H31</f>
        <v>342</v>
      </c>
      <c r="G29" s="244">
        <f>DatosXMes!O31</f>
        <v>13</v>
      </c>
      <c r="H29" s="244">
        <f>DatosXMes!AN31</f>
        <v>20</v>
      </c>
      <c r="I29" s="241">
        <f>DatosXMes!AM31</f>
        <v>341</v>
      </c>
      <c r="J29" s="20">
        <f t="shared" si="15"/>
        <v>3.8011695906432745</v>
      </c>
      <c r="K29" s="20">
        <f t="shared" si="16"/>
        <v>5.8479532163742682</v>
      </c>
      <c r="L29" s="21" t="s">
        <v>68</v>
      </c>
      <c r="M29" s="21" t="s">
        <v>68</v>
      </c>
    </row>
    <row r="30" spans="2:13" s="242" customFormat="1" ht="18" customHeight="1">
      <c r="B30" s="240" t="s">
        <v>49</v>
      </c>
      <c r="C30" s="241">
        <f>DatosXMes!B32</f>
        <v>3</v>
      </c>
      <c r="D30" s="243">
        <f>DatosXMes!D32</f>
        <v>45706</v>
      </c>
      <c r="E30" s="243">
        <f>DatosXMes!E32</f>
        <v>45744</v>
      </c>
      <c r="F30" s="241">
        <f>DatosXMes!H32</f>
        <v>420</v>
      </c>
      <c r="G30" s="244">
        <f>DatosXMes!O32</f>
        <v>101</v>
      </c>
      <c r="H30" s="244">
        <f>DatosXMes!AN32</f>
        <v>198</v>
      </c>
      <c r="I30" s="241">
        <f>DatosXMes!AM32</f>
        <v>2684</v>
      </c>
      <c r="J30" s="20">
        <f t="shared" si="15"/>
        <v>24.047619047619047</v>
      </c>
      <c r="K30" s="20">
        <f t="shared" si="16"/>
        <v>47.142857142857139</v>
      </c>
      <c r="L30" s="95" t="s">
        <v>117</v>
      </c>
      <c r="M30" s="95" t="s">
        <v>117</v>
      </c>
    </row>
    <row r="31" spans="2:13" s="242" customFormat="1" ht="18" customHeight="1">
      <c r="B31" s="240" t="s">
        <v>156</v>
      </c>
      <c r="C31" s="241">
        <f>DatosXMes!B33</f>
        <v>3</v>
      </c>
      <c r="D31" s="243">
        <f>DatosXMes!D33</f>
        <v>45715</v>
      </c>
      <c r="E31" s="243">
        <f>DatosXMes!E33</f>
        <v>45742</v>
      </c>
      <c r="F31" s="241">
        <f>DatosXMes!H33</f>
        <v>365</v>
      </c>
      <c r="G31" s="244">
        <f>DatosXMes!O33</f>
        <v>4</v>
      </c>
      <c r="H31" s="244">
        <f>DatosXMes!AN33</f>
        <v>4</v>
      </c>
      <c r="I31" s="241">
        <f>DatosXMes!AM33</f>
        <v>275</v>
      </c>
      <c r="J31" s="20">
        <f t="shared" si="15"/>
        <v>1.095890410958904</v>
      </c>
      <c r="K31" s="20">
        <f t="shared" si="16"/>
        <v>1.095890410958904</v>
      </c>
      <c r="L31" s="21" t="s">
        <v>68</v>
      </c>
      <c r="M31" s="21" t="s">
        <v>68</v>
      </c>
    </row>
    <row r="32" spans="2:13" s="242" customFormat="1" ht="18" customHeight="1">
      <c r="B32" s="240" t="s">
        <v>213</v>
      </c>
      <c r="C32" s="241">
        <f>DatosXMes!B34</f>
        <v>2</v>
      </c>
      <c r="D32" s="243">
        <f>DatosXMes!D34</f>
        <v>45723</v>
      </c>
      <c r="E32" s="243" t="str">
        <f>DatosXMes!E34</f>
        <v>2803/2025</v>
      </c>
      <c r="F32" s="241">
        <f>DatosXMes!H34</f>
        <v>261</v>
      </c>
      <c r="G32" s="244">
        <f>DatosXMes!O34</f>
        <v>0</v>
      </c>
      <c r="H32" s="244">
        <f>DatosXMes!AN34</f>
        <v>0</v>
      </c>
      <c r="I32" s="241">
        <f>DatosXMes!AM34</f>
        <v>211</v>
      </c>
      <c r="J32" s="20">
        <f t="shared" si="15"/>
        <v>0</v>
      </c>
      <c r="K32" s="20">
        <f t="shared" si="16"/>
        <v>0</v>
      </c>
      <c r="L32" s="21" t="s">
        <v>68</v>
      </c>
      <c r="M32" s="21" t="s">
        <v>68</v>
      </c>
    </row>
    <row r="33" spans="2:13" s="31" customFormat="1" ht="18" customHeight="1">
      <c r="B33" s="206" t="s">
        <v>103</v>
      </c>
      <c r="C33" s="32">
        <f>SUM(C23:C32)</f>
        <v>69</v>
      </c>
      <c r="D33" s="102">
        <f>MIN(D23:D32)</f>
        <v>45706</v>
      </c>
      <c r="E33" s="102">
        <f>MAX(E23:E32)</f>
        <v>45747</v>
      </c>
      <c r="F33" s="32">
        <f>SUM(F23:F32)</f>
        <v>3515</v>
      </c>
      <c r="G33" s="33">
        <f t="shared" ref="G33:I33" si="17">SUM(G23:G32)</f>
        <v>433</v>
      </c>
      <c r="H33" s="33">
        <f t="shared" si="17"/>
        <v>665</v>
      </c>
      <c r="I33" s="32">
        <f t="shared" si="17"/>
        <v>24075</v>
      </c>
      <c r="J33" s="245">
        <f t="shared" ref="J33:J34" si="18">G33/F33*100</f>
        <v>12.318634423897581</v>
      </c>
      <c r="K33" s="245">
        <f t="shared" ref="K33:K34" si="19">H33/F33*100</f>
        <v>18.918918918918919</v>
      </c>
      <c r="L33" s="96" t="s">
        <v>113</v>
      </c>
      <c r="M33" s="96" t="s">
        <v>113</v>
      </c>
    </row>
    <row r="34" spans="2:13" s="242" customFormat="1" ht="18" customHeight="1">
      <c r="B34" s="202" t="s">
        <v>24</v>
      </c>
      <c r="C34" s="241">
        <f>DatosXMes!B36</f>
        <v>19</v>
      </c>
      <c r="D34" s="243">
        <f>DatosXMes!D36</f>
        <v>45748</v>
      </c>
      <c r="E34" s="243">
        <f>DatosXMes!E36</f>
        <v>45777</v>
      </c>
      <c r="F34" s="241">
        <f>DatosXMes!H36</f>
        <v>680</v>
      </c>
      <c r="G34" s="244">
        <f>DatosXMes!O36</f>
        <v>79</v>
      </c>
      <c r="H34" s="244">
        <f>DatosXMes!AN36</f>
        <v>99</v>
      </c>
      <c r="I34" s="241">
        <f>DatosXMes!AM36</f>
        <v>743</v>
      </c>
      <c r="J34" s="20">
        <f t="shared" si="18"/>
        <v>11.617647058823529</v>
      </c>
      <c r="K34" s="20">
        <f t="shared" si="19"/>
        <v>14.558823529411766</v>
      </c>
      <c r="L34" s="95" t="s">
        <v>117</v>
      </c>
      <c r="M34" s="95" t="s">
        <v>117</v>
      </c>
    </row>
    <row r="35" spans="2:13" s="242" customFormat="1" ht="18" customHeight="1">
      <c r="B35" s="202" t="s">
        <v>106</v>
      </c>
      <c r="C35" s="241">
        <f>DatosXMes!B37</f>
        <v>14</v>
      </c>
      <c r="D35" s="243">
        <f>DatosXMes!D37</f>
        <v>45761</v>
      </c>
      <c r="E35" s="243">
        <f>DatosXMes!E37</f>
        <v>45777</v>
      </c>
      <c r="F35" s="241">
        <f>DatosXMes!H37</f>
        <v>922</v>
      </c>
      <c r="G35" s="244">
        <f>DatosXMes!O37</f>
        <v>23</v>
      </c>
      <c r="H35" s="244">
        <f>DatosXMes!AN37</f>
        <v>27</v>
      </c>
      <c r="I35" s="241">
        <f>DatosXMes!AM37</f>
        <v>1141</v>
      </c>
      <c r="J35" s="20">
        <f t="shared" ref="J35:J45" si="20">G35/F35*100</f>
        <v>2.4945770065075923</v>
      </c>
      <c r="K35" s="20">
        <f t="shared" ref="K35:K45" si="21">H35/F35*100</f>
        <v>2.9284164859002169</v>
      </c>
      <c r="L35" s="21" t="s">
        <v>68</v>
      </c>
      <c r="M35" s="21" t="s">
        <v>68</v>
      </c>
    </row>
    <row r="36" spans="2:13" s="242" customFormat="1" ht="18" customHeight="1">
      <c r="B36" s="202" t="s">
        <v>105</v>
      </c>
      <c r="C36" s="241">
        <f>DatosXMes!B38</f>
        <v>6</v>
      </c>
      <c r="D36" s="243">
        <f>DatosXMes!D38</f>
        <v>45749</v>
      </c>
      <c r="E36" s="243">
        <f>DatosXMes!E38</f>
        <v>45777</v>
      </c>
      <c r="F36" s="241">
        <f>DatosXMes!H38</f>
        <v>372</v>
      </c>
      <c r="G36" s="244">
        <f>DatosXMes!O38</f>
        <v>112</v>
      </c>
      <c r="H36" s="244">
        <f>DatosXMes!AN38</f>
        <v>229</v>
      </c>
      <c r="I36" s="241">
        <f>DatosXMes!AM38</f>
        <v>2152</v>
      </c>
      <c r="J36" s="20">
        <f t="shared" si="20"/>
        <v>30.107526881720432</v>
      </c>
      <c r="K36" s="20">
        <f t="shared" si="21"/>
        <v>61.55913978494624</v>
      </c>
      <c r="L36" s="95" t="s">
        <v>117</v>
      </c>
      <c r="M36" s="95" t="s">
        <v>117</v>
      </c>
    </row>
    <row r="37" spans="2:13" s="242" customFormat="1" ht="18" customHeight="1">
      <c r="B37" s="202" t="s">
        <v>25</v>
      </c>
      <c r="C37" s="241">
        <f>DatosXMes!B39</f>
        <v>3</v>
      </c>
      <c r="D37" s="243">
        <f>DatosXMes!D39</f>
        <v>45748</v>
      </c>
      <c r="E37" s="243">
        <f>DatosXMes!E39</f>
        <v>45777</v>
      </c>
      <c r="F37" s="241">
        <f>DatosXMes!H39</f>
        <v>586</v>
      </c>
      <c r="G37" s="244">
        <f>DatosXMes!O39</f>
        <v>8</v>
      </c>
      <c r="H37" s="244">
        <f>DatosXMes!AN39</f>
        <v>9</v>
      </c>
      <c r="I37" s="241">
        <f>DatosXMes!AM39</f>
        <v>1079</v>
      </c>
      <c r="J37" s="20">
        <f t="shared" si="20"/>
        <v>1.3651877133105803</v>
      </c>
      <c r="K37" s="20">
        <f t="shared" si="21"/>
        <v>1.5358361774744027</v>
      </c>
      <c r="L37" s="21" t="s">
        <v>68</v>
      </c>
      <c r="M37" s="21" t="s">
        <v>68</v>
      </c>
    </row>
    <row r="38" spans="2:13" s="242" customFormat="1" ht="18" customHeight="1">
      <c r="B38" s="202" t="s">
        <v>140</v>
      </c>
      <c r="C38" s="241">
        <f>DatosXMes!B40</f>
        <v>4</v>
      </c>
      <c r="D38" s="243">
        <f>DatosXMes!D40</f>
        <v>45754</v>
      </c>
      <c r="E38" s="243">
        <f>DatosXMes!E40</f>
        <v>45771</v>
      </c>
      <c r="F38" s="241">
        <f>DatosXMes!H40</f>
        <v>274</v>
      </c>
      <c r="G38" s="244">
        <f>DatosXMes!O40</f>
        <v>17</v>
      </c>
      <c r="H38" s="244">
        <f>DatosXMes!AN40</f>
        <v>23</v>
      </c>
      <c r="I38" s="241">
        <f>DatosXMes!AM40</f>
        <v>932</v>
      </c>
      <c r="J38" s="20">
        <f t="shared" si="20"/>
        <v>6.2043795620437958</v>
      </c>
      <c r="K38" s="20">
        <f t="shared" si="21"/>
        <v>8.3941605839416056</v>
      </c>
      <c r="L38" s="22" t="s">
        <v>113</v>
      </c>
      <c r="M38" s="22" t="s">
        <v>113</v>
      </c>
    </row>
    <row r="39" spans="2:13" s="242" customFormat="1" ht="18" customHeight="1">
      <c r="B39" s="202" t="s">
        <v>50</v>
      </c>
      <c r="C39" s="241">
        <f>DatosXMes!B41</f>
        <v>3</v>
      </c>
      <c r="D39" s="243">
        <f>DatosXMes!D41</f>
        <v>45755</v>
      </c>
      <c r="E39" s="243">
        <f>DatosXMes!E41</f>
        <v>45772</v>
      </c>
      <c r="F39" s="241">
        <f>DatosXMes!H41</f>
        <v>391</v>
      </c>
      <c r="G39" s="244">
        <f>DatosXMes!O41</f>
        <v>12</v>
      </c>
      <c r="H39" s="244">
        <f>DatosXMes!AN41</f>
        <v>12</v>
      </c>
      <c r="I39" s="241">
        <f>DatosXMes!AM41</f>
        <v>1626</v>
      </c>
      <c r="J39" s="20">
        <f t="shared" si="20"/>
        <v>3.0690537084398977</v>
      </c>
      <c r="K39" s="20">
        <f t="shared" si="21"/>
        <v>3.0690537084398977</v>
      </c>
      <c r="L39" s="21" t="s">
        <v>68</v>
      </c>
      <c r="M39" s="21" t="s">
        <v>68</v>
      </c>
    </row>
    <row r="40" spans="2:13" s="242" customFormat="1" ht="18" customHeight="1">
      <c r="B40" s="202" t="s">
        <v>23</v>
      </c>
      <c r="C40" s="241">
        <f>DatosXMes!B42</f>
        <v>3</v>
      </c>
      <c r="D40" s="243">
        <f>DatosXMes!D42</f>
        <v>45744</v>
      </c>
      <c r="E40" s="243">
        <f>DatosXMes!E42</f>
        <v>45777</v>
      </c>
      <c r="F40" s="241">
        <f>DatosXMes!H42</f>
        <v>481</v>
      </c>
      <c r="G40" s="244">
        <f>DatosXMes!O42</f>
        <v>14</v>
      </c>
      <c r="H40" s="244">
        <f>DatosXMes!AN42</f>
        <v>24</v>
      </c>
      <c r="I40" s="241">
        <f>DatosXMes!AM42</f>
        <v>757</v>
      </c>
      <c r="J40" s="20">
        <f t="shared" si="20"/>
        <v>2.9106029106029108</v>
      </c>
      <c r="K40" s="20">
        <f t="shared" si="21"/>
        <v>4.9896049896049899</v>
      </c>
      <c r="L40" s="21" t="s">
        <v>68</v>
      </c>
      <c r="M40" s="21" t="s">
        <v>68</v>
      </c>
    </row>
    <row r="41" spans="2:13" s="242" customFormat="1" ht="18" customHeight="1">
      <c r="B41" s="202" t="s">
        <v>49</v>
      </c>
      <c r="C41" s="241">
        <f>DatosXMes!B43</f>
        <v>3</v>
      </c>
      <c r="D41" s="243">
        <f>DatosXMes!D43</f>
        <v>45706</v>
      </c>
      <c r="E41" s="243">
        <f>DatosXMes!E43</f>
        <v>45763</v>
      </c>
      <c r="F41" s="241">
        <f>DatosXMes!H43</f>
        <v>222</v>
      </c>
      <c r="G41" s="244">
        <f>DatosXMes!O43</f>
        <v>49</v>
      </c>
      <c r="H41" s="244">
        <f>DatosXMes!AN43</f>
        <v>92</v>
      </c>
      <c r="I41" s="241">
        <f>DatosXMes!AM43</f>
        <v>1270</v>
      </c>
      <c r="J41" s="20">
        <f t="shared" si="20"/>
        <v>22.072072072072071</v>
      </c>
      <c r="K41" s="20">
        <f t="shared" si="21"/>
        <v>41.441441441441441</v>
      </c>
      <c r="L41" s="95" t="s">
        <v>117</v>
      </c>
      <c r="M41" s="95" t="s">
        <v>117</v>
      </c>
    </row>
    <row r="42" spans="2:13" s="242" customFormat="1" ht="18" customHeight="1">
      <c r="B42" s="202" t="s">
        <v>156</v>
      </c>
      <c r="C42" s="241">
        <f>DatosXMes!B44</f>
        <v>5</v>
      </c>
      <c r="D42" s="243">
        <f>DatosXMes!D44</f>
        <v>45748</v>
      </c>
      <c r="E42" s="243">
        <f>DatosXMes!E44</f>
        <v>45771</v>
      </c>
      <c r="F42" s="241">
        <f>DatosXMes!H44</f>
        <v>361</v>
      </c>
      <c r="G42" s="244">
        <f>DatosXMes!O44</f>
        <v>0</v>
      </c>
      <c r="H42" s="244">
        <f>DatosXMes!AN44</f>
        <v>0</v>
      </c>
      <c r="I42" s="241">
        <f>DatosXMes!AM44</f>
        <v>763</v>
      </c>
      <c r="J42" s="20">
        <f t="shared" si="20"/>
        <v>0</v>
      </c>
      <c r="K42" s="20">
        <f t="shared" si="21"/>
        <v>0</v>
      </c>
      <c r="L42" s="21" t="s">
        <v>68</v>
      </c>
      <c r="M42" s="21" t="s">
        <v>68</v>
      </c>
    </row>
    <row r="43" spans="2:13" s="242" customFormat="1" ht="18" customHeight="1">
      <c r="B43" s="202" t="s">
        <v>277</v>
      </c>
      <c r="C43" s="241">
        <f>DatosXMes!B45</f>
        <v>1</v>
      </c>
      <c r="D43" s="243">
        <f>DatosXMes!D45</f>
        <v>45757</v>
      </c>
      <c r="E43" s="243">
        <f>DatosXMes!E45</f>
        <v>45776</v>
      </c>
      <c r="F43" s="241">
        <f>DatosXMes!H45</f>
        <v>86</v>
      </c>
      <c r="G43" s="244">
        <f>DatosXMes!O45</f>
        <v>0</v>
      </c>
      <c r="H43" s="244">
        <f>DatosXMes!AN45</f>
        <v>0</v>
      </c>
      <c r="I43" s="241">
        <f>DatosXMes!AM45</f>
        <v>1954</v>
      </c>
      <c r="J43" s="20">
        <f t="shared" ref="J43" si="22">G43/F43*100</f>
        <v>0</v>
      </c>
      <c r="K43" s="20">
        <f t="shared" ref="K43" si="23">H43/F43*100</f>
        <v>0</v>
      </c>
      <c r="L43" s="21" t="s">
        <v>68</v>
      </c>
      <c r="M43" s="21" t="s">
        <v>68</v>
      </c>
    </row>
    <row r="44" spans="2:13" s="31" customFormat="1" ht="18" customHeight="1">
      <c r="B44" s="248" t="s">
        <v>254</v>
      </c>
      <c r="C44" s="32">
        <f>SUM(C34:C42)</f>
        <v>60</v>
      </c>
      <c r="D44" s="102">
        <f>MIN(D34:D42)</f>
        <v>45706</v>
      </c>
      <c r="E44" s="102">
        <f>MAX(E34:E42)</f>
        <v>45777</v>
      </c>
      <c r="F44" s="32">
        <f>SUM(F34:F42)</f>
        <v>4289</v>
      </c>
      <c r="G44" s="33">
        <f t="shared" ref="G44:I44" si="24">SUM(G34:G42)</f>
        <v>314</v>
      </c>
      <c r="H44" s="33">
        <f t="shared" si="24"/>
        <v>515</v>
      </c>
      <c r="I44" s="32">
        <f t="shared" si="24"/>
        <v>10463</v>
      </c>
      <c r="J44" s="245">
        <f t="shared" si="20"/>
        <v>7.3210538587083231</v>
      </c>
      <c r="K44" s="245">
        <f t="shared" si="21"/>
        <v>12.007460946607601</v>
      </c>
      <c r="L44" s="96" t="s">
        <v>113</v>
      </c>
      <c r="M44" s="96" t="s">
        <v>113</v>
      </c>
    </row>
    <row r="45" spans="2:13" s="31" customFormat="1" ht="18" customHeight="1">
      <c r="B45" s="202" t="s">
        <v>24</v>
      </c>
      <c r="C45" s="241">
        <f>DatosXMes!B47</f>
        <v>2</v>
      </c>
      <c r="D45" s="243">
        <f>DatosXMes!D47</f>
        <v>45779</v>
      </c>
      <c r="E45" s="243">
        <f>DatosXMes!E47</f>
        <v>45786</v>
      </c>
      <c r="F45" s="241">
        <f>DatosXMes!H47</f>
        <v>120</v>
      </c>
      <c r="G45" s="244">
        <f>DatosXMes!O47</f>
        <v>8</v>
      </c>
      <c r="H45" s="244">
        <f>DatosXMes!AN47</f>
        <v>8</v>
      </c>
      <c r="I45" s="241">
        <f>DatosXMes!AM47</f>
        <v>141</v>
      </c>
      <c r="J45" s="20">
        <f t="shared" si="20"/>
        <v>6.666666666666667</v>
      </c>
      <c r="K45" s="20">
        <f t="shared" si="21"/>
        <v>6.666666666666667</v>
      </c>
      <c r="L45" s="22" t="s">
        <v>113</v>
      </c>
      <c r="M45" s="22" t="s">
        <v>113</v>
      </c>
    </row>
    <row r="46" spans="2:13" s="31" customFormat="1" ht="18" customHeight="1">
      <c r="B46" s="202" t="s">
        <v>105</v>
      </c>
      <c r="C46" s="241">
        <f>DatosXMes!B48</f>
        <v>2</v>
      </c>
      <c r="D46" s="243">
        <f>DatosXMes!D48</f>
        <v>45797</v>
      </c>
      <c r="E46" s="243">
        <f>DatosXMes!E48</f>
        <v>45805</v>
      </c>
      <c r="F46" s="241">
        <f>DatosXMes!H48</f>
        <v>113</v>
      </c>
      <c r="G46" s="244">
        <f>DatosXMes!O48</f>
        <v>25</v>
      </c>
      <c r="H46" s="244">
        <f>DatosXMes!AN48</f>
        <v>37</v>
      </c>
      <c r="I46" s="241">
        <f>DatosXMes!AM48</f>
        <v>362</v>
      </c>
      <c r="J46" s="20">
        <f t="shared" ref="J46:J48" si="25">G46/F46*100</f>
        <v>22.123893805309734</v>
      </c>
      <c r="K46" s="20">
        <f t="shared" ref="K46:K48" si="26">H46/F46*100</f>
        <v>32.743362831858406</v>
      </c>
      <c r="L46" s="95" t="s">
        <v>117</v>
      </c>
      <c r="M46" s="95" t="s">
        <v>117</v>
      </c>
    </row>
    <row r="47" spans="2:13" s="31" customFormat="1" ht="18" customHeight="1">
      <c r="B47" s="202" t="s">
        <v>25</v>
      </c>
      <c r="C47" s="241">
        <f>DatosXMes!B49</f>
        <v>2</v>
      </c>
      <c r="D47" s="243">
        <f>DatosXMes!D49</f>
        <v>45782</v>
      </c>
      <c r="E47" s="243">
        <f>DatosXMes!E49</f>
        <v>45808</v>
      </c>
      <c r="F47" s="241">
        <f>DatosXMes!H49</f>
        <v>545</v>
      </c>
      <c r="G47" s="244">
        <f>DatosXMes!O49</f>
        <v>0</v>
      </c>
      <c r="H47" s="244">
        <f>DatosXMes!AN49</f>
        <v>0</v>
      </c>
      <c r="I47" s="241">
        <f>DatosXMes!AM49</f>
        <v>999</v>
      </c>
      <c r="J47" s="20">
        <f t="shared" si="25"/>
        <v>0</v>
      </c>
      <c r="K47" s="20">
        <f t="shared" si="26"/>
        <v>0</v>
      </c>
      <c r="L47" s="21" t="s">
        <v>68</v>
      </c>
      <c r="M47" s="21" t="s">
        <v>68</v>
      </c>
    </row>
    <row r="48" spans="2:13" s="31" customFormat="1" ht="18" customHeight="1">
      <c r="B48" s="263" t="s">
        <v>275</v>
      </c>
      <c r="C48" s="32">
        <f>SUM(C45:C47)</f>
        <v>6</v>
      </c>
      <c r="D48" s="102">
        <f>MIN(D45:D47)</f>
        <v>45779</v>
      </c>
      <c r="E48" s="102">
        <f>MAX(E45:E47)</f>
        <v>45808</v>
      </c>
      <c r="F48" s="32">
        <f>SUM(F45:F47)</f>
        <v>778</v>
      </c>
      <c r="G48" s="33">
        <f t="shared" ref="G48:I48" si="27">SUM(G45:G47)</f>
        <v>33</v>
      </c>
      <c r="H48" s="33">
        <f t="shared" si="27"/>
        <v>45</v>
      </c>
      <c r="I48" s="32">
        <f t="shared" si="27"/>
        <v>1502</v>
      </c>
      <c r="J48" s="245">
        <f t="shared" si="25"/>
        <v>4.2416452442159382</v>
      </c>
      <c r="K48" s="245">
        <f t="shared" si="26"/>
        <v>5.7840616966580978</v>
      </c>
      <c r="L48" s="96" t="s">
        <v>113</v>
      </c>
      <c r="M48" s="96" t="s">
        <v>113</v>
      </c>
    </row>
    <row r="49" spans="2:13" s="31" customFormat="1" ht="18" customHeight="1">
      <c r="B49" s="202" t="s">
        <v>24</v>
      </c>
      <c r="C49" s="241">
        <f>DatosXMes!B51</f>
        <v>14</v>
      </c>
      <c r="D49" s="243">
        <f>DatosXMes!D51</f>
        <v>45811</v>
      </c>
      <c r="E49" s="243">
        <f>DatosXMes!E51</f>
        <v>45835</v>
      </c>
      <c r="F49" s="241">
        <f>DatosXMes!H51</f>
        <v>725</v>
      </c>
      <c r="G49" s="244">
        <f>DatosXMes!O51</f>
        <v>17</v>
      </c>
      <c r="H49" s="244">
        <f>DatosXMes!AN51</f>
        <v>18</v>
      </c>
      <c r="I49" s="241">
        <f>DatosXMes!AM51</f>
        <v>692</v>
      </c>
      <c r="J49" s="20">
        <f t="shared" ref="J49" si="28">G49/F49*100</f>
        <v>2.3448275862068968</v>
      </c>
      <c r="K49" s="20">
        <f t="shared" ref="K49" si="29">H49/F49*100</f>
        <v>2.4827586206896552</v>
      </c>
      <c r="L49" s="21" t="s">
        <v>68</v>
      </c>
      <c r="M49" s="21" t="s">
        <v>68</v>
      </c>
    </row>
    <row r="50" spans="2:13" s="31" customFormat="1" ht="18" customHeight="1">
      <c r="B50" s="202" t="s">
        <v>105</v>
      </c>
      <c r="C50" s="241">
        <f>DatosXMes!B52</f>
        <v>2</v>
      </c>
      <c r="D50" s="243">
        <f>DatosXMes!D52</f>
        <v>45811</v>
      </c>
      <c r="E50" s="243">
        <f>DatosXMes!E52</f>
        <v>45834</v>
      </c>
      <c r="F50" s="241">
        <f>DatosXMes!H52</f>
        <v>173</v>
      </c>
      <c r="G50" s="244">
        <f>DatosXMes!O52</f>
        <v>18</v>
      </c>
      <c r="H50" s="244">
        <f>DatosXMes!AN52</f>
        <v>21</v>
      </c>
      <c r="I50" s="241">
        <f>DatosXMes!AM52</f>
        <v>307</v>
      </c>
      <c r="J50" s="20">
        <f t="shared" ref="J50:J51" si="30">G50/F50*100</f>
        <v>10.404624277456648</v>
      </c>
      <c r="K50" s="20">
        <f t="shared" ref="K50:K51" si="31">H50/F50*100</f>
        <v>12.138728323699421</v>
      </c>
      <c r="L50" s="22" t="s">
        <v>113</v>
      </c>
      <c r="M50" s="22" t="s">
        <v>113</v>
      </c>
    </row>
    <row r="51" spans="2:13" s="31" customFormat="1" ht="18" customHeight="1">
      <c r="B51" s="279" t="s">
        <v>287</v>
      </c>
      <c r="C51" s="32">
        <f>SUM(C49:C50)</f>
        <v>16</v>
      </c>
      <c r="D51" s="102">
        <f>MIN(D49:D50)</f>
        <v>45811</v>
      </c>
      <c r="E51" s="102">
        <f>MAX(E49:E50)</f>
        <v>45835</v>
      </c>
      <c r="F51" s="32">
        <f>SUM(F49:F50)</f>
        <v>898</v>
      </c>
      <c r="G51" s="33">
        <f t="shared" ref="G51:I51" si="32">SUM(G49:G50)</f>
        <v>35</v>
      </c>
      <c r="H51" s="33">
        <f t="shared" si="32"/>
        <v>39</v>
      </c>
      <c r="I51" s="32">
        <f t="shared" si="32"/>
        <v>999</v>
      </c>
      <c r="J51" s="245">
        <f t="shared" si="30"/>
        <v>3.8975501113585747</v>
      </c>
      <c r="K51" s="245">
        <f t="shared" si="31"/>
        <v>4.3429844097995547</v>
      </c>
      <c r="L51" s="21" t="s">
        <v>68</v>
      </c>
      <c r="M51" s="21" t="s">
        <v>68</v>
      </c>
    </row>
    <row r="52" spans="2:13" s="31" customFormat="1" ht="18" customHeight="1">
      <c r="B52" s="202" t="s">
        <v>24</v>
      </c>
      <c r="C52" s="241">
        <f>DatosXMes!B54</f>
        <v>12</v>
      </c>
      <c r="D52" s="243">
        <f>DatosXMes!D54</f>
        <v>45839</v>
      </c>
      <c r="E52" s="243">
        <f>DatosXMes!E54</f>
        <v>45862</v>
      </c>
      <c r="F52" s="241">
        <f>DatosXMes!K54</f>
        <v>985</v>
      </c>
      <c r="G52" s="244">
        <f>DatosXMes!O54</f>
        <v>16</v>
      </c>
      <c r="H52" s="244">
        <f>DatosXMes!AN54</f>
        <v>17</v>
      </c>
      <c r="I52" s="241">
        <f>DatosXMes!AM54</f>
        <v>776</v>
      </c>
      <c r="J52" s="20">
        <f t="shared" ref="J52" si="33">G52/F52*100</f>
        <v>1.6243654822335025</v>
      </c>
      <c r="K52" s="20">
        <f t="shared" ref="K52" si="34">H52/F52*100</f>
        <v>1.7258883248730965</v>
      </c>
      <c r="L52" s="21" t="s">
        <v>68</v>
      </c>
      <c r="M52" s="21" t="s">
        <v>68</v>
      </c>
    </row>
    <row r="53" spans="2:13" s="31" customFormat="1" ht="18" customHeight="1">
      <c r="B53" s="202" t="s">
        <v>105</v>
      </c>
      <c r="C53" s="241">
        <f>DatosXMes!B55</f>
        <v>2</v>
      </c>
      <c r="D53" s="243">
        <f>DatosXMes!D55</f>
        <v>45842</v>
      </c>
      <c r="E53" s="243">
        <f>DatosXMes!E55</f>
        <v>45869</v>
      </c>
      <c r="F53" s="241">
        <f>DatosXMes!K55</f>
        <v>230</v>
      </c>
      <c r="G53" s="244">
        <f>DatosXMes!O55</f>
        <v>21</v>
      </c>
      <c r="H53" s="244">
        <f>DatosXMes!AN55</f>
        <v>23</v>
      </c>
      <c r="I53" s="241">
        <f>DatosXMes!AM55</f>
        <v>507</v>
      </c>
      <c r="J53" s="20">
        <f t="shared" ref="J53" si="35">G53/F53*100</f>
        <v>9.1304347826086953</v>
      </c>
      <c r="K53" s="20">
        <f t="shared" ref="K53" si="36">H53/F53*100</f>
        <v>10</v>
      </c>
      <c r="L53" s="22" t="s">
        <v>113</v>
      </c>
      <c r="M53" s="22" t="s">
        <v>113</v>
      </c>
    </row>
    <row r="54" spans="2:13" s="31" customFormat="1" ht="18" customHeight="1">
      <c r="B54" s="279" t="s">
        <v>288</v>
      </c>
      <c r="C54" s="32">
        <f>SUM(C52:C53)</f>
        <v>14</v>
      </c>
      <c r="D54" s="102">
        <f>MIN(D52:D53)</f>
        <v>45839</v>
      </c>
      <c r="E54" s="102">
        <f>MAX(E52:E53)</f>
        <v>45869</v>
      </c>
      <c r="F54" s="32">
        <f>SUM(F52:F53)</f>
        <v>1215</v>
      </c>
      <c r="G54" s="33">
        <f t="shared" ref="G54:I54" si="37">SUM(G52:G53)</f>
        <v>37</v>
      </c>
      <c r="H54" s="33">
        <f t="shared" si="37"/>
        <v>40</v>
      </c>
      <c r="I54" s="32">
        <f t="shared" si="37"/>
        <v>1283</v>
      </c>
      <c r="J54" s="245">
        <f>G54/F54*100</f>
        <v>3.0452674897119345</v>
      </c>
      <c r="K54" s="245">
        <f>H54/F54*100</f>
        <v>3.2921810699588478</v>
      </c>
      <c r="L54" s="21" t="s">
        <v>68</v>
      </c>
      <c r="M54" s="21" t="s">
        <v>68</v>
      </c>
    </row>
    <row r="55" spans="2:13" s="242" customFormat="1" ht="18" customHeight="1">
      <c r="B55" s="202" t="s">
        <v>24</v>
      </c>
      <c r="C55" s="241">
        <f>DatosXMes!B57</f>
        <v>11</v>
      </c>
      <c r="D55" s="243">
        <f>DatosXMes!D57</f>
        <v>45870</v>
      </c>
      <c r="E55" s="243">
        <f>DatosXMes!E57</f>
        <v>45898</v>
      </c>
      <c r="F55" s="241">
        <f>DatosXMes!H57</f>
        <v>1020</v>
      </c>
      <c r="G55" s="244">
        <f>DatosXMes!O57</f>
        <v>10</v>
      </c>
      <c r="H55" s="244">
        <f>DatosXMes!AN57</f>
        <v>10</v>
      </c>
      <c r="I55" s="241">
        <f>DatosXMes!AM57</f>
        <v>770</v>
      </c>
      <c r="J55" s="20">
        <f t="shared" ref="J55" si="38">G55/F55*100</f>
        <v>0.98039215686274506</v>
      </c>
      <c r="K55" s="20">
        <f t="shared" ref="K55" si="39">H55/F55*100</f>
        <v>0.98039215686274506</v>
      </c>
      <c r="L55" s="21" t="s">
        <v>68</v>
      </c>
      <c r="M55" s="21" t="s">
        <v>68</v>
      </c>
    </row>
    <row r="56" spans="2:13" s="242" customFormat="1" ht="18" customHeight="1">
      <c r="B56" s="202" t="s">
        <v>105</v>
      </c>
      <c r="C56" s="241">
        <f>DatosXMes!B58</f>
        <v>1</v>
      </c>
      <c r="D56" s="243">
        <f>DatosXMes!D58</f>
        <v>45873</v>
      </c>
      <c r="E56" s="243">
        <f>DatosXMes!E58</f>
        <v>45888</v>
      </c>
      <c r="F56" s="241">
        <f>DatosXMes!H58</f>
        <v>114</v>
      </c>
      <c r="G56" s="244">
        <f>DatosXMes!O58</f>
        <v>6</v>
      </c>
      <c r="H56" s="244">
        <f>DatosXMes!AN58</f>
        <v>7</v>
      </c>
      <c r="I56" s="241">
        <f>DatosXMes!AM58</f>
        <v>269</v>
      </c>
      <c r="J56" s="20">
        <f t="shared" ref="J56" si="40">G56/F56*100</f>
        <v>5.2631578947368416</v>
      </c>
      <c r="K56" s="20">
        <f t="shared" ref="K56" si="41">H56/F56*100</f>
        <v>6.140350877192982</v>
      </c>
      <c r="L56" s="22" t="s">
        <v>113</v>
      </c>
      <c r="M56" s="22" t="s">
        <v>113</v>
      </c>
    </row>
    <row r="57" spans="2:13" s="31" customFormat="1" ht="18" customHeight="1">
      <c r="B57" s="288" t="s">
        <v>289</v>
      </c>
      <c r="C57" s="32">
        <f>SUM(C55:C56)</f>
        <v>12</v>
      </c>
      <c r="D57" s="102">
        <f>MIN(D55:D56)</f>
        <v>45870</v>
      </c>
      <c r="E57" s="102">
        <f>MAX(E55:E56)</f>
        <v>45898</v>
      </c>
      <c r="F57" s="32">
        <f>SUM(F55:F56)</f>
        <v>1134</v>
      </c>
      <c r="G57" s="33">
        <f t="shared" ref="G57:I57" si="42">SUM(G55:G56)</f>
        <v>16</v>
      </c>
      <c r="H57" s="33">
        <f t="shared" si="42"/>
        <v>17</v>
      </c>
      <c r="I57" s="32">
        <f t="shared" si="42"/>
        <v>1039</v>
      </c>
      <c r="J57" s="245">
        <f>G57/F57*100</f>
        <v>1.4109347442680775</v>
      </c>
      <c r="K57" s="245">
        <f>H57/F57*100</f>
        <v>1.4991181657848323</v>
      </c>
      <c r="L57" s="289" t="s">
        <v>68</v>
      </c>
      <c r="M57" s="289" t="s">
        <v>68</v>
      </c>
    </row>
    <row r="58" spans="2:13" s="242" customFormat="1" ht="18" customHeight="1">
      <c r="B58" s="293" t="s">
        <v>105</v>
      </c>
      <c r="C58" s="241">
        <f>DatosXMes!B61</f>
        <v>1</v>
      </c>
      <c r="D58" s="243">
        <f>DatosXMes!D61</f>
        <v>45916</v>
      </c>
      <c r="E58" s="243">
        <f>DatosXMes!E61</f>
        <v>45918</v>
      </c>
      <c r="F58" s="241">
        <f>DatosXMes!H61</f>
        <v>115</v>
      </c>
      <c r="G58" s="244">
        <f>DatosXMes!O61</f>
        <v>0</v>
      </c>
      <c r="H58" s="244">
        <f>DatosXMes!AN61</f>
        <v>0</v>
      </c>
      <c r="I58" s="241">
        <f>DatosXMes!AM61</f>
        <v>207</v>
      </c>
      <c r="J58" s="20">
        <f t="shared" ref="J58" si="43">G58/F58*100</f>
        <v>0</v>
      </c>
      <c r="K58" s="20">
        <f t="shared" ref="K58" si="44">H58/F58*100</f>
        <v>0</v>
      </c>
      <c r="L58" s="292"/>
      <c r="M58" s="292"/>
    </row>
    <row r="59" spans="2:13" s="31" customFormat="1" ht="18" customHeight="1">
      <c r="B59" s="288" t="s">
        <v>290</v>
      </c>
      <c r="C59" s="32">
        <f>C58</f>
        <v>1</v>
      </c>
      <c r="D59" s="32">
        <f t="shared" ref="D59:I59" si="45">D58</f>
        <v>45916</v>
      </c>
      <c r="E59" s="32">
        <f t="shared" si="45"/>
        <v>45918</v>
      </c>
      <c r="F59" s="32">
        <f t="shared" si="45"/>
        <v>115</v>
      </c>
      <c r="G59" s="32">
        <f t="shared" si="45"/>
        <v>0</v>
      </c>
      <c r="H59" s="32">
        <f t="shared" si="45"/>
        <v>0</v>
      </c>
      <c r="I59" s="32">
        <f t="shared" si="45"/>
        <v>207</v>
      </c>
      <c r="J59" s="245">
        <f>G59/F59*100</f>
        <v>0</v>
      </c>
      <c r="K59" s="245">
        <f>H59/F59*100</f>
        <v>0</v>
      </c>
      <c r="L59" s="294"/>
      <c r="M59" s="294"/>
    </row>
    <row r="60" spans="2:13" s="242" customFormat="1" ht="18" customHeight="1">
      <c r="B60" s="240" t="s">
        <v>24</v>
      </c>
      <c r="C60" s="241">
        <f>DatosXMes!B62</f>
        <v>7</v>
      </c>
      <c r="D60" s="243">
        <f>DatosXMes!D62</f>
        <v>45936</v>
      </c>
      <c r="E60" s="243">
        <f>DatosXMes!E62</f>
        <v>45961</v>
      </c>
      <c r="F60" s="241">
        <f>DatosXMes!H62</f>
        <v>442</v>
      </c>
      <c r="G60" s="244">
        <f>DatosXMes!O62</f>
        <v>13</v>
      </c>
      <c r="H60" s="244">
        <f>DatosXMes!AN62</f>
        <v>14</v>
      </c>
      <c r="I60" s="241">
        <f>DatosXMes!AM62</f>
        <v>365</v>
      </c>
      <c r="J60" s="20">
        <f t="shared" ref="J60" si="46">G60/F60*100</f>
        <v>2.9411764705882351</v>
      </c>
      <c r="K60" s="20">
        <f t="shared" ref="K60" si="47">H60/F60*100</f>
        <v>3.1674208144796379</v>
      </c>
      <c r="L60" s="289" t="s">
        <v>68</v>
      </c>
      <c r="M60" s="289" t="s">
        <v>68</v>
      </c>
    </row>
    <row r="61" spans="2:13" s="242" customFormat="1" ht="18" customHeight="1">
      <c r="B61" s="240" t="s">
        <v>106</v>
      </c>
      <c r="C61" s="241">
        <f>DatosXMes!B63</f>
        <v>5</v>
      </c>
      <c r="D61" s="243">
        <f>DatosXMes!D63</f>
        <v>45951</v>
      </c>
      <c r="E61" s="243">
        <f>DatosXMes!E63</f>
        <v>45961</v>
      </c>
      <c r="F61" s="241">
        <f>DatosXMes!H63</f>
        <v>185</v>
      </c>
      <c r="G61" s="244">
        <f>DatosXMes!O63</f>
        <v>0</v>
      </c>
      <c r="H61" s="244">
        <f>DatosXMes!AN63</f>
        <v>0</v>
      </c>
      <c r="I61" s="241">
        <f>DatosXMes!AM63</f>
        <v>246</v>
      </c>
      <c r="J61" s="20">
        <f t="shared" ref="J61:J64" si="48">G61/F61*100</f>
        <v>0</v>
      </c>
      <c r="K61" s="20">
        <f t="shared" ref="K61:K64" si="49">H61/F61*100</f>
        <v>0</v>
      </c>
      <c r="L61" s="294"/>
      <c r="M61" s="294"/>
    </row>
    <row r="62" spans="2:13" s="242" customFormat="1" ht="18" customHeight="1">
      <c r="B62" s="240" t="s">
        <v>105</v>
      </c>
      <c r="C62" s="241">
        <f>DatosXMes!B64</f>
        <v>1</v>
      </c>
      <c r="D62" s="243">
        <f>DatosXMes!D64</f>
        <v>45953</v>
      </c>
      <c r="E62" s="243">
        <f>DatosXMes!E64</f>
        <v>45954</v>
      </c>
      <c r="F62" s="241">
        <f>DatosXMes!H64</f>
        <v>30</v>
      </c>
      <c r="G62" s="244">
        <f>DatosXMes!O64</f>
        <v>1</v>
      </c>
      <c r="H62" s="244">
        <f>DatosXMes!AN64</f>
        <v>1</v>
      </c>
      <c r="I62" s="241">
        <f>DatosXMes!AM64</f>
        <v>27</v>
      </c>
      <c r="J62" s="20">
        <f t="shared" si="48"/>
        <v>3.3333333333333335</v>
      </c>
      <c r="K62" s="20">
        <f t="shared" si="49"/>
        <v>3.3333333333333335</v>
      </c>
      <c r="L62" s="289" t="s">
        <v>68</v>
      </c>
      <c r="M62" s="289" t="s">
        <v>68</v>
      </c>
    </row>
    <row r="63" spans="2:13" s="242" customFormat="1" ht="18" customHeight="1">
      <c r="B63" s="240" t="s">
        <v>25</v>
      </c>
      <c r="C63" s="241">
        <f>DatosXMes!B65</f>
        <v>1</v>
      </c>
      <c r="D63" s="243">
        <f>DatosXMes!D65</f>
        <v>45945</v>
      </c>
      <c r="E63" s="243">
        <f>DatosXMes!E65</f>
        <v>45959</v>
      </c>
      <c r="F63" s="241">
        <f>DatosXMes!H65</f>
        <v>338</v>
      </c>
      <c r="G63" s="244">
        <f>DatosXMes!O65</f>
        <v>0</v>
      </c>
      <c r="H63" s="244">
        <f>DatosXMes!AN65</f>
        <v>0</v>
      </c>
      <c r="I63" s="241">
        <f>DatosXMes!AM65</f>
        <v>349</v>
      </c>
      <c r="J63" s="20">
        <f t="shared" si="48"/>
        <v>0</v>
      </c>
      <c r="K63" s="20">
        <f t="shared" si="49"/>
        <v>0</v>
      </c>
      <c r="L63" s="294"/>
      <c r="M63" s="294"/>
    </row>
    <row r="64" spans="2:13" s="242" customFormat="1" ht="18" customHeight="1">
      <c r="B64" s="240" t="s">
        <v>50</v>
      </c>
      <c r="C64" s="241">
        <f>DatosXMes!B66</f>
        <v>2</v>
      </c>
      <c r="D64" s="243">
        <f>DatosXMes!D66</f>
        <v>45952</v>
      </c>
      <c r="E64" s="243">
        <f>DatosXMes!E66</f>
        <v>45953</v>
      </c>
      <c r="F64" s="241">
        <f>DatosXMes!H66</f>
        <v>147</v>
      </c>
      <c r="G64" s="244">
        <f>DatosXMes!O66</f>
        <v>2</v>
      </c>
      <c r="H64" s="244">
        <f>DatosXMes!AN66</f>
        <v>2</v>
      </c>
      <c r="I64" s="241">
        <f>DatosXMes!AM66</f>
        <v>748</v>
      </c>
      <c r="J64" s="20">
        <f t="shared" si="48"/>
        <v>1.3605442176870748</v>
      </c>
      <c r="K64" s="20">
        <f t="shared" si="49"/>
        <v>1.3605442176870748</v>
      </c>
      <c r="L64" s="289" t="s">
        <v>68</v>
      </c>
      <c r="M64" s="289" t="s">
        <v>68</v>
      </c>
    </row>
    <row r="65" spans="2:13" s="31" customFormat="1" ht="18" customHeight="1">
      <c r="B65" s="32" t="s">
        <v>291</v>
      </c>
      <c r="C65" s="32">
        <f>SUM(C60:C64)</f>
        <v>16</v>
      </c>
      <c r="D65" s="102">
        <f>MIN(D60:D64)</f>
        <v>45936</v>
      </c>
      <c r="E65" s="102">
        <f>MAX(E60:E64)</f>
        <v>45961</v>
      </c>
      <c r="F65" s="32">
        <f>SUM(F60:F64)</f>
        <v>1142</v>
      </c>
      <c r="G65" s="33">
        <f t="shared" ref="G65:I65" si="50">SUM(G60:G64)</f>
        <v>16</v>
      </c>
      <c r="H65" s="33">
        <f t="shared" si="50"/>
        <v>17</v>
      </c>
      <c r="I65" s="32">
        <f t="shared" si="50"/>
        <v>1735</v>
      </c>
      <c r="J65" s="245">
        <f>G65/F65*100</f>
        <v>1.4010507880910683</v>
      </c>
      <c r="K65" s="245">
        <f>H65/F65*100</f>
        <v>1.4886164623467601</v>
      </c>
      <c r="L65" s="289" t="s">
        <v>68</v>
      </c>
      <c r="M65" s="289" t="s">
        <v>68</v>
      </c>
    </row>
    <row r="66" spans="2:13" s="242" customFormat="1" ht="18" customHeight="1">
      <c r="B66" s="202" t="s">
        <v>24</v>
      </c>
      <c r="C66" s="241">
        <f>DatosXMes!B68</f>
        <v>9</v>
      </c>
      <c r="D66" s="300">
        <f>DatosXMes!D68</f>
        <v>45968</v>
      </c>
      <c r="E66" s="300">
        <f>DatosXMes!E68</f>
        <v>45989</v>
      </c>
      <c r="F66" s="241">
        <f>DatosXMes!H68</f>
        <v>343</v>
      </c>
      <c r="G66" s="244">
        <f>DatosXMes!O68</f>
        <v>10</v>
      </c>
      <c r="H66" s="244">
        <f>DatosXMes!AN68</f>
        <v>11</v>
      </c>
      <c r="I66" s="241">
        <f>DatosXMes!AM68</f>
        <v>301</v>
      </c>
      <c r="J66" s="20">
        <f t="shared" ref="J66" si="51">G66/F66*100</f>
        <v>2.9154518950437316</v>
      </c>
      <c r="K66" s="20">
        <f t="shared" ref="K66" si="52">H66/F66*100</f>
        <v>3.2069970845481048</v>
      </c>
      <c r="L66" s="289" t="s">
        <v>68</v>
      </c>
      <c r="M66" s="289" t="s">
        <v>68</v>
      </c>
    </row>
    <row r="67" spans="2:13" s="242" customFormat="1" ht="18" customHeight="1">
      <c r="B67" s="202" t="s">
        <v>106</v>
      </c>
      <c r="C67" s="241">
        <f>DatosXMes!B69</f>
        <v>5</v>
      </c>
      <c r="D67" s="300">
        <f>DatosXMes!D69</f>
        <v>45985</v>
      </c>
      <c r="E67" s="300">
        <f>DatosXMes!E69</f>
        <v>45988</v>
      </c>
      <c r="F67" s="241">
        <f>DatosXMes!H69</f>
        <v>239</v>
      </c>
      <c r="G67" s="244">
        <f>DatosXMes!O69</f>
        <v>5</v>
      </c>
      <c r="H67" s="244">
        <f>DatosXMes!AN69</f>
        <v>5</v>
      </c>
      <c r="I67" s="241">
        <f>DatosXMes!AM69</f>
        <v>390</v>
      </c>
      <c r="J67" s="20">
        <f t="shared" ref="J67:J73" si="53">G67/F67*100</f>
        <v>2.0920502092050208</v>
      </c>
      <c r="K67" s="20">
        <f t="shared" ref="K67:K73" si="54">H67/F67*100</f>
        <v>2.0920502092050208</v>
      </c>
      <c r="L67" s="289" t="s">
        <v>68</v>
      </c>
      <c r="M67" s="289" t="s">
        <v>68</v>
      </c>
    </row>
    <row r="68" spans="2:13" s="242" customFormat="1" ht="18" customHeight="1">
      <c r="B68" s="202" t="s">
        <v>105</v>
      </c>
      <c r="C68" s="241">
        <f>DatosXMes!B70</f>
        <v>3</v>
      </c>
      <c r="D68" s="300">
        <f>DatosXMes!D70</f>
        <v>45966</v>
      </c>
      <c r="E68" s="300">
        <f>DatosXMes!E70</f>
        <v>45988</v>
      </c>
      <c r="F68" s="241">
        <f>DatosXMes!H70</f>
        <v>524</v>
      </c>
      <c r="G68" s="244">
        <f>DatosXMes!O70</f>
        <v>50</v>
      </c>
      <c r="H68" s="244">
        <f>DatosXMes!AN70</f>
        <v>71</v>
      </c>
      <c r="I68" s="241">
        <f>DatosXMes!AM70</f>
        <v>1794</v>
      </c>
      <c r="J68" s="20">
        <f t="shared" si="53"/>
        <v>9.5419847328244281</v>
      </c>
      <c r="K68" s="20">
        <f t="shared" si="54"/>
        <v>13.549618320610687</v>
      </c>
      <c r="L68" s="95" t="s">
        <v>117</v>
      </c>
      <c r="M68" s="95" t="s">
        <v>117</v>
      </c>
    </row>
    <row r="69" spans="2:13" s="242" customFormat="1" ht="18" customHeight="1">
      <c r="B69" s="240" t="s">
        <v>25</v>
      </c>
      <c r="C69" s="241">
        <f>DatosXMes!B71</f>
        <v>4</v>
      </c>
      <c r="D69" s="300">
        <f>DatosXMes!D71</f>
        <v>45973</v>
      </c>
      <c r="E69" s="300">
        <f>DatosXMes!E71</f>
        <v>45988</v>
      </c>
      <c r="F69" s="241">
        <f>DatosXMes!H71</f>
        <v>355</v>
      </c>
      <c r="G69" s="244">
        <f>DatosXMes!O71</f>
        <v>6</v>
      </c>
      <c r="H69" s="244">
        <f>DatosXMes!AN71</f>
        <v>10</v>
      </c>
      <c r="I69" s="241">
        <f>DatosXMes!AM71</f>
        <v>718</v>
      </c>
      <c r="J69" s="20">
        <f t="shared" si="53"/>
        <v>1.6901408450704223</v>
      </c>
      <c r="K69" s="20">
        <f t="shared" si="54"/>
        <v>2.8169014084507045</v>
      </c>
      <c r="L69" s="289" t="s">
        <v>68</v>
      </c>
      <c r="M69" s="289" t="s">
        <v>68</v>
      </c>
    </row>
    <row r="70" spans="2:13" s="242" customFormat="1" ht="18" customHeight="1">
      <c r="B70" s="240" t="s">
        <v>140</v>
      </c>
      <c r="C70" s="241">
        <f>DatosXMes!B72</f>
        <v>4</v>
      </c>
      <c r="D70" s="300">
        <f>DatosXMes!D72</f>
        <v>45966</v>
      </c>
      <c r="E70" s="300">
        <f>DatosXMes!E72</f>
        <v>45986</v>
      </c>
      <c r="F70" s="241">
        <f>DatosXMes!H72</f>
        <v>482</v>
      </c>
      <c r="G70" s="244">
        <f>DatosXMes!O72</f>
        <v>23</v>
      </c>
      <c r="H70" s="244">
        <f>DatosXMes!AN72</f>
        <v>29</v>
      </c>
      <c r="I70" s="241">
        <f>DatosXMes!AM72</f>
        <v>1521</v>
      </c>
      <c r="J70" s="20">
        <f t="shared" si="53"/>
        <v>4.7717842323651452</v>
      </c>
      <c r="K70" s="20">
        <f t="shared" si="54"/>
        <v>6.0165975103734439</v>
      </c>
      <c r="L70" s="22" t="s">
        <v>113</v>
      </c>
      <c r="M70" s="22" t="s">
        <v>113</v>
      </c>
    </row>
    <row r="71" spans="2:13" s="242" customFormat="1" ht="18" customHeight="1">
      <c r="B71" s="240" t="s">
        <v>50</v>
      </c>
      <c r="C71" s="241">
        <f>DatosXMes!B73</f>
        <v>2</v>
      </c>
      <c r="D71" s="300">
        <f>DatosXMes!D73</f>
        <v>45967</v>
      </c>
      <c r="E71" s="300">
        <f>DatosXMes!E73</f>
        <v>45986</v>
      </c>
      <c r="F71" s="241">
        <f>DatosXMes!H73</f>
        <v>510</v>
      </c>
      <c r="G71" s="244">
        <f>DatosXMes!O73</f>
        <v>19</v>
      </c>
      <c r="H71" s="244">
        <f>DatosXMes!AN73</f>
        <v>21</v>
      </c>
      <c r="I71" s="241">
        <f>DatosXMes!AM73</f>
        <v>2886</v>
      </c>
      <c r="J71" s="20">
        <f t="shared" si="53"/>
        <v>3.7254901960784315</v>
      </c>
      <c r="K71" s="20">
        <f t="shared" si="54"/>
        <v>4.117647058823529</v>
      </c>
      <c r="L71" s="289" t="s">
        <v>68</v>
      </c>
      <c r="M71" s="289" t="s">
        <v>68</v>
      </c>
    </row>
    <row r="72" spans="2:13" s="242" customFormat="1" ht="18" customHeight="1">
      <c r="B72" s="240" t="s">
        <v>49</v>
      </c>
      <c r="C72" s="241">
        <f>DatosXMes!B74</f>
        <v>3</v>
      </c>
      <c r="D72" s="300">
        <f>DatosXMes!D74</f>
        <v>45974</v>
      </c>
      <c r="E72" s="300">
        <f>DatosXMes!E74</f>
        <v>45989</v>
      </c>
      <c r="F72" s="241">
        <f>DatosXMes!H74</f>
        <v>207</v>
      </c>
      <c r="G72" s="244">
        <f>DatosXMes!O74</f>
        <v>3</v>
      </c>
      <c r="H72" s="244">
        <f>DatosXMes!AN74</f>
        <v>5</v>
      </c>
      <c r="I72" s="241">
        <f>DatosXMes!AM74</f>
        <v>876</v>
      </c>
      <c r="J72" s="20">
        <f t="shared" si="53"/>
        <v>1.4492753623188406</v>
      </c>
      <c r="K72" s="20">
        <f t="shared" si="54"/>
        <v>2.4154589371980677</v>
      </c>
      <c r="L72" s="289" t="s">
        <v>68</v>
      </c>
      <c r="M72" s="289" t="s">
        <v>68</v>
      </c>
    </row>
    <row r="73" spans="2:13" s="242" customFormat="1" ht="18" customHeight="1">
      <c r="B73" s="240" t="s">
        <v>23</v>
      </c>
      <c r="C73" s="241">
        <f>DatosXMes!B75</f>
        <v>3</v>
      </c>
      <c r="D73" s="300">
        <f>DatosXMes!D75</f>
        <v>45965</v>
      </c>
      <c r="E73" s="300">
        <f>DatosXMes!E75</f>
        <v>45980</v>
      </c>
      <c r="F73" s="241">
        <f>DatosXMes!H75</f>
        <v>492</v>
      </c>
      <c r="G73" s="244">
        <f>DatosXMes!O75</f>
        <v>3</v>
      </c>
      <c r="H73" s="244">
        <f>DatosXMes!AN75</f>
        <v>5</v>
      </c>
      <c r="I73" s="241">
        <f>DatosXMes!AM75</f>
        <v>617</v>
      </c>
      <c r="J73" s="20">
        <f t="shared" si="53"/>
        <v>0.6097560975609756</v>
      </c>
      <c r="K73" s="20">
        <f t="shared" si="54"/>
        <v>1.0162601626016259</v>
      </c>
      <c r="L73" s="289" t="s">
        <v>68</v>
      </c>
      <c r="M73" s="289" t="s">
        <v>68</v>
      </c>
    </row>
    <row r="74" spans="2:13" s="31" customFormat="1" ht="18" customHeight="1">
      <c r="B74" s="32" t="s">
        <v>295</v>
      </c>
      <c r="C74" s="32">
        <f>SUM(C66:C73)</f>
        <v>33</v>
      </c>
      <c r="D74" s="102">
        <f>MIN(D66:D73)</f>
        <v>45965</v>
      </c>
      <c r="E74" s="102">
        <f>MAX(E66:E73)</f>
        <v>45989</v>
      </c>
      <c r="F74" s="32">
        <f>SUM(F66:F73)</f>
        <v>3152</v>
      </c>
      <c r="G74" s="33">
        <f t="shared" ref="G74:I74" si="55">SUM(G66:G73)</f>
        <v>119</v>
      </c>
      <c r="H74" s="33">
        <f t="shared" si="55"/>
        <v>157</v>
      </c>
      <c r="I74" s="32">
        <f t="shared" si="55"/>
        <v>9103</v>
      </c>
      <c r="J74" s="25">
        <f>G74/F74*100</f>
        <v>3.7753807106598987</v>
      </c>
      <c r="K74" s="25">
        <f>H74/F74*100</f>
        <v>4.9809644670050757</v>
      </c>
      <c r="L74" s="289" t="s">
        <v>68</v>
      </c>
      <c r="M74" s="289" t="s">
        <v>68</v>
      </c>
    </row>
    <row r="75" spans="2:13" s="242" customFormat="1" ht="18" customHeight="1">
      <c r="B75" s="202" t="s">
        <v>24</v>
      </c>
      <c r="C75" s="241">
        <f>DatosXMes!B77</f>
        <v>1</v>
      </c>
      <c r="D75" s="243">
        <f>DatosXMes!D77</f>
        <v>45993</v>
      </c>
      <c r="E75" s="243">
        <f>DatosXMes!E77</f>
        <v>46010</v>
      </c>
      <c r="F75" s="241">
        <f>DatosXMes!H77</f>
        <v>220</v>
      </c>
      <c r="G75" s="244">
        <f>DatosXMes!O77</f>
        <v>15</v>
      </c>
      <c r="H75" s="244">
        <f>DatosXMes!AN77</f>
        <v>15</v>
      </c>
      <c r="I75" s="241">
        <f>DatosXMes!AM77</f>
        <v>158</v>
      </c>
      <c r="J75" s="20">
        <f>G75/F75*100</f>
        <v>6.8181818181818175</v>
      </c>
      <c r="K75" s="20">
        <f t="shared" ref="K75" si="56">H75/F75*100</f>
        <v>6.8181818181818175</v>
      </c>
      <c r="L75" s="22" t="s">
        <v>113</v>
      </c>
      <c r="M75" s="22" t="s">
        <v>113</v>
      </c>
    </row>
    <row r="76" spans="2:13" s="242" customFormat="1" ht="18" customHeight="1">
      <c r="B76" s="202" t="s">
        <v>106</v>
      </c>
      <c r="C76" s="241">
        <f>DatosXMes!B78</f>
        <v>5</v>
      </c>
      <c r="D76" s="243">
        <f>DatosXMes!D78</f>
        <v>46010</v>
      </c>
      <c r="E76" s="243">
        <f>DatosXMes!E78</f>
        <v>46022</v>
      </c>
      <c r="F76" s="241">
        <f>DatosXMes!H78</f>
        <v>178</v>
      </c>
      <c r="G76" s="244">
        <f>DatosXMes!O78</f>
        <v>5</v>
      </c>
      <c r="H76" s="244">
        <f>DatosXMes!AN78</f>
        <v>5</v>
      </c>
      <c r="I76" s="241">
        <f>DatosXMes!AM78</f>
        <v>255</v>
      </c>
      <c r="J76" s="20">
        <f t="shared" ref="J76:J82" si="57">G76/F76*100</f>
        <v>2.8089887640449436</v>
      </c>
      <c r="K76" s="20">
        <f t="shared" ref="K76:K82" si="58">H76/F76*100</f>
        <v>2.8089887640449436</v>
      </c>
      <c r="L76" s="289" t="s">
        <v>68</v>
      </c>
      <c r="M76" s="289" t="s">
        <v>68</v>
      </c>
    </row>
    <row r="77" spans="2:13" s="242" customFormat="1" ht="18" customHeight="1">
      <c r="B77" s="202" t="s">
        <v>105</v>
      </c>
      <c r="C77" s="241">
        <f>DatosXMes!B79</f>
        <v>3</v>
      </c>
      <c r="D77" s="243">
        <f>DatosXMes!D79</f>
        <v>45996</v>
      </c>
      <c r="E77" s="243">
        <f>DatosXMes!E79</f>
        <v>46021</v>
      </c>
      <c r="F77" s="241">
        <f>DatosXMes!H79</f>
        <v>170</v>
      </c>
      <c r="G77" s="244">
        <f>DatosXMes!O79</f>
        <v>25</v>
      </c>
      <c r="H77" s="244">
        <f>DatosXMes!AN79</f>
        <v>26</v>
      </c>
      <c r="I77" s="241">
        <f>DatosXMes!AM79</f>
        <v>435</v>
      </c>
      <c r="J77" s="20">
        <f t="shared" si="57"/>
        <v>14.705882352941178</v>
      </c>
      <c r="K77" s="20">
        <f t="shared" si="58"/>
        <v>15.294117647058824</v>
      </c>
      <c r="L77" s="95" t="s">
        <v>117</v>
      </c>
      <c r="M77" s="95" t="s">
        <v>117</v>
      </c>
    </row>
    <row r="78" spans="2:13" s="242" customFormat="1" ht="18" customHeight="1">
      <c r="B78" s="240" t="s">
        <v>25</v>
      </c>
      <c r="C78" s="241">
        <f>DatosXMes!B80</f>
        <v>4</v>
      </c>
      <c r="D78" s="243">
        <f>DatosXMes!D80</f>
        <v>45993</v>
      </c>
      <c r="E78" s="243">
        <f>DatosXMes!E80</f>
        <v>46015</v>
      </c>
      <c r="F78" s="241">
        <f>DatosXMes!H80</f>
        <v>244</v>
      </c>
      <c r="G78" s="244">
        <f>DatosXMes!O80</f>
        <v>0</v>
      </c>
      <c r="H78" s="244">
        <f>DatosXMes!AN80</f>
        <v>0</v>
      </c>
      <c r="I78" s="241">
        <f>DatosXMes!AM80</f>
        <v>418</v>
      </c>
      <c r="J78" s="20">
        <f t="shared" si="57"/>
        <v>0</v>
      </c>
      <c r="K78" s="20">
        <f t="shared" si="58"/>
        <v>0</v>
      </c>
      <c r="L78" s="292"/>
      <c r="M78" s="292"/>
    </row>
    <row r="79" spans="2:13" s="242" customFormat="1" ht="18" customHeight="1">
      <c r="B79" s="240" t="s">
        <v>140</v>
      </c>
      <c r="C79" s="241">
        <f>DatosXMes!B81</f>
        <v>4</v>
      </c>
      <c r="D79" s="243">
        <f>DatosXMes!D81</f>
        <v>45999</v>
      </c>
      <c r="E79" s="243">
        <f>DatosXMes!E81</f>
        <v>46010</v>
      </c>
      <c r="F79" s="241">
        <f>DatosXMes!H81</f>
        <v>224</v>
      </c>
      <c r="G79" s="244">
        <f>DatosXMes!O81</f>
        <v>7</v>
      </c>
      <c r="H79" s="244">
        <f>DatosXMes!AN81</f>
        <v>7</v>
      </c>
      <c r="I79" s="241">
        <f>DatosXMes!AM81</f>
        <v>501</v>
      </c>
      <c r="J79" s="20">
        <f t="shared" si="57"/>
        <v>3.125</v>
      </c>
      <c r="K79" s="20">
        <f t="shared" si="58"/>
        <v>3.125</v>
      </c>
      <c r="L79" s="289" t="s">
        <v>68</v>
      </c>
      <c r="M79" s="289" t="s">
        <v>68</v>
      </c>
    </row>
    <row r="80" spans="2:13" s="242" customFormat="1" ht="18" customHeight="1">
      <c r="B80" s="240" t="s">
        <v>50</v>
      </c>
      <c r="C80" s="241">
        <f>DatosXMes!B82</f>
        <v>1</v>
      </c>
      <c r="D80" s="243">
        <f>DatosXMes!D82</f>
        <v>45994</v>
      </c>
      <c r="E80" s="243">
        <f>DatosXMes!E82</f>
        <v>46007</v>
      </c>
      <c r="F80" s="241">
        <f>DatosXMes!H82</f>
        <v>248</v>
      </c>
      <c r="G80" s="244">
        <f>DatosXMes!O82</f>
        <v>7</v>
      </c>
      <c r="H80" s="244">
        <f>DatosXMes!AN82</f>
        <v>7</v>
      </c>
      <c r="I80" s="241">
        <f>DatosXMes!AM82</f>
        <v>1278</v>
      </c>
      <c r="J80" s="20">
        <f t="shared" si="57"/>
        <v>2.82258064516129</v>
      </c>
      <c r="K80" s="20">
        <f t="shared" si="58"/>
        <v>2.82258064516129</v>
      </c>
      <c r="L80" s="289" t="s">
        <v>68</v>
      </c>
      <c r="M80" s="289" t="s">
        <v>68</v>
      </c>
    </row>
    <row r="81" spans="2:14" s="242" customFormat="1" ht="18" customHeight="1">
      <c r="B81" s="240" t="s">
        <v>49</v>
      </c>
      <c r="C81" s="241">
        <f>DatosXMes!B83</f>
        <v>1</v>
      </c>
      <c r="D81" s="243">
        <f>DatosXMes!D83</f>
        <v>46006</v>
      </c>
      <c r="E81" s="243">
        <f>DatosXMes!E83</f>
        <v>46014</v>
      </c>
      <c r="F81" s="241">
        <f>DatosXMes!H83</f>
        <v>101</v>
      </c>
      <c r="G81" s="244">
        <f>DatosXMes!O83</f>
        <v>2</v>
      </c>
      <c r="H81" s="244">
        <f>DatosXMes!AN83</f>
        <v>2</v>
      </c>
      <c r="I81" s="241">
        <f>DatosXMes!AM83</f>
        <v>504</v>
      </c>
      <c r="J81" s="20">
        <f t="shared" si="57"/>
        <v>1.9801980198019802</v>
      </c>
      <c r="K81" s="20">
        <f t="shared" si="58"/>
        <v>1.9801980198019802</v>
      </c>
      <c r="L81" s="289" t="s">
        <v>68</v>
      </c>
      <c r="M81" s="289" t="s">
        <v>68</v>
      </c>
    </row>
    <row r="82" spans="2:14" s="242" customFormat="1" ht="18" customHeight="1">
      <c r="B82" s="240" t="s">
        <v>23</v>
      </c>
      <c r="C82" s="241">
        <f>DatosXMes!B84</f>
        <v>3</v>
      </c>
      <c r="D82" s="243">
        <f>DatosXMes!D84</f>
        <v>45993</v>
      </c>
      <c r="E82" s="243">
        <f>DatosXMes!E84</f>
        <v>46015</v>
      </c>
      <c r="F82" s="241">
        <f>DatosXMes!H84</f>
        <v>621</v>
      </c>
      <c r="G82" s="244">
        <f>DatosXMes!O84</f>
        <v>10</v>
      </c>
      <c r="H82" s="244">
        <f>DatosXMes!AN84</f>
        <v>10</v>
      </c>
      <c r="I82" s="241">
        <f>DatosXMes!AM84</f>
        <v>831</v>
      </c>
      <c r="J82" s="20">
        <f t="shared" si="57"/>
        <v>1.6103059581320449</v>
      </c>
      <c r="K82" s="20">
        <f t="shared" si="58"/>
        <v>1.6103059581320449</v>
      </c>
      <c r="L82" s="289" t="s">
        <v>68</v>
      </c>
      <c r="M82" s="289" t="s">
        <v>68</v>
      </c>
    </row>
    <row r="83" spans="2:14" s="31" customFormat="1" ht="18" customHeight="1">
      <c r="B83" s="32" t="s">
        <v>312</v>
      </c>
      <c r="C83" s="32">
        <f>SUM(C75:C82)</f>
        <v>22</v>
      </c>
      <c r="D83" s="102">
        <f>MIN(D75:D82)</f>
        <v>45993</v>
      </c>
      <c r="E83" s="102">
        <f>MAX(E75:E82)</f>
        <v>46022</v>
      </c>
      <c r="F83" s="32">
        <f>SUM(F75:F82)</f>
        <v>2006</v>
      </c>
      <c r="G83" s="33">
        <f t="shared" ref="G83:I83" si="59">SUM(G75:G82)</f>
        <v>71</v>
      </c>
      <c r="H83" s="33">
        <f t="shared" si="59"/>
        <v>72</v>
      </c>
      <c r="I83" s="32">
        <f t="shared" si="59"/>
        <v>4380</v>
      </c>
      <c r="J83" s="25">
        <f>G83/F83*100</f>
        <v>3.53938185443669</v>
      </c>
      <c r="K83" s="25">
        <f>H83/F83*100</f>
        <v>3.589232303090728</v>
      </c>
      <c r="L83" s="289" t="s">
        <v>68</v>
      </c>
      <c r="M83" s="289" t="s">
        <v>68</v>
      </c>
    </row>
    <row r="84" spans="2:14" s="31" customFormat="1" ht="18" customHeight="1">
      <c r="B84" s="36" t="s">
        <v>38</v>
      </c>
      <c r="C84" s="32">
        <f>C11+C22+C33+C44+C48+C51+C54+C59+C65+C74+C83</f>
        <v>318</v>
      </c>
      <c r="D84" s="102">
        <f>MIN(D5:D83)</f>
        <v>45659</v>
      </c>
      <c r="E84" s="102">
        <f>MAX(E5:E83)</f>
        <v>46022</v>
      </c>
      <c r="F84" s="32">
        <f>F11+F22+F33+F44+F48+F51+F54+F59+F65+F74+F83</f>
        <v>23400</v>
      </c>
      <c r="G84" s="33">
        <f t="shared" ref="G84:I84" si="60">G11+G22+G33+G44+G48+G51+G54+G59+G65+G74+G83</f>
        <v>1563</v>
      </c>
      <c r="H84" s="33">
        <f t="shared" si="60"/>
        <v>2315</v>
      </c>
      <c r="I84" s="32">
        <f t="shared" si="60"/>
        <v>71613</v>
      </c>
      <c r="J84" s="25">
        <f>G84/F84*100</f>
        <v>6.6794871794871797</v>
      </c>
      <c r="K84" s="25">
        <f>H84/F84*100</f>
        <v>9.8931623931623935</v>
      </c>
      <c r="L84" s="96" t="s">
        <v>113</v>
      </c>
      <c r="M84" s="96" t="s">
        <v>113</v>
      </c>
    </row>
    <row r="85" spans="2:14" s="113" customFormat="1">
      <c r="B85" s="113" t="s">
        <v>75</v>
      </c>
      <c r="D85" s="133"/>
      <c r="E85" s="133"/>
      <c r="L85" s="114"/>
      <c r="M85" s="115"/>
    </row>
    <row r="86" spans="2:14" s="116" customFormat="1">
      <c r="D86" s="134"/>
      <c r="E86" s="134"/>
      <c r="L86" s="117"/>
      <c r="M86" s="118"/>
    </row>
    <row r="87" spans="2:14" s="116" customFormat="1">
      <c r="D87" s="134"/>
      <c r="E87" s="134"/>
      <c r="L87" s="117"/>
      <c r="M87" s="118"/>
    </row>
    <row r="88" spans="2:14" s="116" customFormat="1">
      <c r="D88" s="134"/>
      <c r="E88" s="134"/>
      <c r="L88" s="117"/>
      <c r="M88" s="118"/>
    </row>
    <row r="89" spans="2:14" s="116" customFormat="1">
      <c r="D89" s="134"/>
      <c r="E89" s="134"/>
      <c r="L89" s="117"/>
      <c r="M89" s="118"/>
    </row>
    <row r="90" spans="2:14" s="116" customFormat="1">
      <c r="D90" s="134"/>
      <c r="E90" s="134"/>
      <c r="L90" s="117"/>
      <c r="M90" s="118"/>
    </row>
    <row r="91" spans="2:14" s="135" customFormat="1" ht="12.75">
      <c r="C91" s="135" t="s">
        <v>21</v>
      </c>
      <c r="D91" s="136" t="s">
        <v>22</v>
      </c>
      <c r="E91" s="136" t="s">
        <v>26</v>
      </c>
      <c r="F91" s="135" t="s">
        <v>27</v>
      </c>
      <c r="G91" s="135" t="s">
        <v>28</v>
      </c>
      <c r="H91" s="135" t="s">
        <v>29</v>
      </c>
      <c r="I91" s="135" t="s">
        <v>30</v>
      </c>
      <c r="J91" s="135" t="s">
        <v>39</v>
      </c>
      <c r="K91" s="135" t="s">
        <v>54</v>
      </c>
      <c r="L91" s="137" t="s">
        <v>65</v>
      </c>
      <c r="M91" s="137" t="s">
        <v>55</v>
      </c>
      <c r="N91" s="135" t="s">
        <v>61</v>
      </c>
    </row>
    <row r="95" spans="2:14" hidden="1">
      <c r="B95" s="7" t="s">
        <v>44</v>
      </c>
      <c r="D95" s="8" t="s">
        <v>45</v>
      </c>
      <c r="E95" s="8" t="s">
        <v>40</v>
      </c>
      <c r="F95" s="7" t="s">
        <v>64</v>
      </c>
      <c r="G95" s="7" t="s">
        <v>41</v>
      </c>
      <c r="H95" s="7" t="s">
        <v>42</v>
      </c>
      <c r="I95" s="7" t="s">
        <v>43</v>
      </c>
      <c r="J95" s="7" t="s">
        <v>53</v>
      </c>
    </row>
  </sheetData>
  <mergeCells count="7">
    <mergeCell ref="B1:M1"/>
    <mergeCell ref="C3:C4"/>
    <mergeCell ref="B3:B4"/>
    <mergeCell ref="J3:K3"/>
    <mergeCell ref="F3:I3"/>
    <mergeCell ref="D3:E3"/>
    <mergeCell ref="L3:M3"/>
  </mergeCells>
  <pageMargins left="0.47244094488188981" right="0.23622047244094491" top="0.54" bottom="0.62" header="0.23622047244094491" footer="0.23622047244094491"/>
  <pageSetup scale="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C13"/>
  <sheetViews>
    <sheetView workbookViewId="0">
      <selection activeCell="H22" sqref="H22"/>
    </sheetView>
  </sheetViews>
  <sheetFormatPr baseColWidth="10" defaultRowHeight="12.75"/>
  <sheetData>
    <row r="1" spans="1:3" ht="13.5" thickBot="1"/>
    <row r="2" spans="1:3" ht="39" thickBot="1">
      <c r="B2" s="13" t="s">
        <v>20</v>
      </c>
      <c r="C2" s="14" t="s">
        <v>51</v>
      </c>
    </row>
    <row r="3" spans="1:3">
      <c r="A3">
        <v>2015</v>
      </c>
      <c r="B3" s="5">
        <v>8.6999999999999993</v>
      </c>
      <c r="C3" s="5">
        <v>10.3</v>
      </c>
    </row>
    <row r="4" spans="1:3">
      <c r="A4">
        <v>2016</v>
      </c>
      <c r="B4" s="5">
        <v>6.3</v>
      </c>
      <c r="C4" s="5">
        <v>9.4</v>
      </c>
    </row>
    <row r="5" spans="1:3">
      <c r="A5">
        <v>2017</v>
      </c>
      <c r="B5" s="5">
        <v>7.1</v>
      </c>
      <c r="C5" s="5">
        <v>10</v>
      </c>
    </row>
    <row r="6" spans="1:3">
      <c r="A6">
        <v>2018</v>
      </c>
      <c r="B6" s="5">
        <v>10.199999999999999</v>
      </c>
      <c r="C6" s="5">
        <v>15.5</v>
      </c>
    </row>
    <row r="7" spans="1:3">
      <c r="A7">
        <v>2019</v>
      </c>
      <c r="B7" s="5">
        <v>7.8</v>
      </c>
      <c r="C7" s="5">
        <v>12.1</v>
      </c>
    </row>
    <row r="8" spans="1:3">
      <c r="A8">
        <v>2020</v>
      </c>
      <c r="B8" s="5">
        <v>4.4000000000000004</v>
      </c>
      <c r="C8" s="5">
        <v>6.1</v>
      </c>
    </row>
    <row r="9" spans="1:3">
      <c r="A9">
        <v>2021</v>
      </c>
      <c r="B9" s="5">
        <v>3.4</v>
      </c>
      <c r="C9" s="5">
        <v>4.4000000000000004</v>
      </c>
    </row>
    <row r="10" spans="1:3">
      <c r="A10">
        <v>2022</v>
      </c>
      <c r="B10" s="5">
        <v>5.2</v>
      </c>
      <c r="C10" s="5">
        <v>7.8</v>
      </c>
    </row>
    <row r="11" spans="1:3">
      <c r="A11">
        <v>2023</v>
      </c>
      <c r="B11" s="5">
        <v>6.3</v>
      </c>
      <c r="C11" s="5">
        <v>9.1999999999999993</v>
      </c>
    </row>
    <row r="12" spans="1:3">
      <c r="A12">
        <v>2024</v>
      </c>
      <c r="B12" s="94">
        <v>5.5476759735786363</v>
      </c>
      <c r="C12" s="94">
        <v>8.1452364549985816</v>
      </c>
    </row>
    <row r="13" spans="1:3">
      <c r="A13">
        <v>2025</v>
      </c>
      <c r="B13" s="5">
        <f>Consolidado!J84</f>
        <v>6.6794871794871797</v>
      </c>
      <c r="C13" s="5">
        <f>Consolidado!K84</f>
        <v>9.8931623931623935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14</vt:i4>
      </vt:variant>
      <vt:variant>
        <vt:lpstr>Gráficos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20" baseType="lpstr">
      <vt:lpstr>Camargo</vt:lpstr>
      <vt:lpstr>Machareti</vt:lpstr>
      <vt:lpstr>Monteagudo</vt:lpstr>
      <vt:lpstr>Huacaya</vt:lpstr>
      <vt:lpstr>Huacareta</vt:lpstr>
      <vt:lpstr>Muyupampa</vt:lpstr>
      <vt:lpstr>Padilla</vt:lpstr>
      <vt:lpstr>Sucre</vt:lpstr>
      <vt:lpstr>Villa Serrano</vt:lpstr>
      <vt:lpstr>Yamparaez</vt:lpstr>
      <vt:lpstr>El Villar</vt:lpstr>
      <vt:lpstr>DatosXMes</vt:lpstr>
      <vt:lpstr>Consolidado</vt:lpstr>
      <vt:lpstr>Ind_Gestiones_IIV_IB</vt:lpstr>
      <vt:lpstr>Gráf_Indice_IV_IB</vt:lpstr>
      <vt:lpstr>Gráf_Indice_IV_IB_gestiones</vt:lpstr>
      <vt:lpstr>Consolidado!Área_de_impresión</vt:lpstr>
      <vt:lpstr>Monteagudo!Área_de_impresión</vt:lpstr>
      <vt:lpstr>Sucre!Área_de_impresión</vt:lpstr>
      <vt:lpstr>Consolidado!Títulos_a_imprimir</vt:lpstr>
    </vt:vector>
  </TitlesOfParts>
  <Company>entomologia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plaza</dc:creator>
  <cp:lastModifiedBy>Dengue</cp:lastModifiedBy>
  <cp:lastPrinted>2026-01-30T16:54:49Z</cp:lastPrinted>
  <dcterms:created xsi:type="dcterms:W3CDTF">2010-08-26T20:34:03Z</dcterms:created>
  <dcterms:modified xsi:type="dcterms:W3CDTF">2026-01-30T17:00:23Z</dcterms:modified>
</cp:coreProperties>
</file>