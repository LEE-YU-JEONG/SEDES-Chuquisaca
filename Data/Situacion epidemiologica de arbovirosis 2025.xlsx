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3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4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5.xml" ContentType="application/vnd.openxmlformats-officedocument.themeOverrid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6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7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2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3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3"/>
  <workbookPr/>
  <mc:AlternateContent xmlns:mc="http://schemas.openxmlformats.org/markup-compatibility/2006">
    <mc:Choice Requires="x15">
      <x15ac:absPath xmlns:x15ac="http://schemas.microsoft.com/office/spreadsheetml/2010/11/ac" url="C:\Users\HP\Desktop\SEDES-Chuquisaca\Data\"/>
    </mc:Choice>
  </mc:AlternateContent>
  <xr:revisionPtr revIDLastSave="0" documentId="13_ncr:1_{67495030-6BA7-4CDB-B2D0-4792121A8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_Epi_gestion 2025" sheetId="4" r:id="rId1"/>
    <sheet name="Gráf_CANAL_ENDEMICO_CUARTIL CHQ" sheetId="68" r:id="rId2"/>
    <sheet name="Gráf_CANAL_ENDEMICO_SUCRE" sheetId="65" state="hidden" r:id="rId3"/>
    <sheet name="Graf_Pos_SE_periodo_dengue" sheetId="25" state="hidden" r:id="rId4"/>
    <sheet name="TI-Dengue" sheetId="11" r:id="rId5"/>
    <sheet name="TI_Chikungunya" sheetId="12" r:id="rId6"/>
    <sheet name="TI_ZIka" sheetId="13" r:id="rId7"/>
    <sheet name="Datos Gestiones" sheetId="5" r:id="rId8"/>
    <sheet name="Hoja1" sheetId="69" state="hidden" r:id="rId9"/>
    <sheet name="Datos 2025" sheetId="60" state="hidden" r:id="rId10"/>
    <sheet name="Hoja2" sheetId="67" state="hidden" r:id="rId11"/>
    <sheet name="Datos Semana" sheetId="3" r:id="rId12"/>
    <sheet name="Datos 2021-2022" sheetId="58" state="hidden" r:id="rId13"/>
  </sheets>
  <definedNames>
    <definedName name="_xlnm.Print_Area" localSheetId="0">'Reporte_Epi_gestion 2025'!$A$1:$Y$211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60" l="1"/>
  <c r="D33" i="60"/>
  <c r="T160" i="3"/>
  <c r="T161" i="3"/>
  <c r="P235" i="3" l="1"/>
  <c r="Q235" i="3"/>
  <c r="R235" i="3"/>
  <c r="S235" i="3"/>
  <c r="P236" i="3"/>
  <c r="Q236" i="3"/>
  <c r="R236" i="3"/>
  <c r="S236" i="3"/>
  <c r="P160" i="3"/>
  <c r="Q160" i="3"/>
  <c r="R160" i="3"/>
  <c r="S160" i="3"/>
  <c r="P161" i="3"/>
  <c r="Q161" i="3"/>
  <c r="R161" i="3"/>
  <c r="S161" i="3"/>
  <c r="P78" i="3" l="1"/>
  <c r="Q78" i="3"/>
  <c r="R78" i="3"/>
  <c r="S78" i="3"/>
  <c r="P79" i="3"/>
  <c r="Q79" i="3"/>
  <c r="R79" i="3"/>
  <c r="S79" i="3"/>
  <c r="BD41" i="3"/>
  <c r="BC40" i="3"/>
  <c r="BD40" i="3"/>
  <c r="D144" i="60" l="1"/>
  <c r="E144" i="60"/>
  <c r="E21" i="60" l="1"/>
  <c r="D21" i="60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B236" i="3"/>
  <c r="B235" i="3"/>
  <c r="B78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B161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B160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B79" i="3"/>
  <c r="AW74" i="3" l="1"/>
  <c r="AX74" i="3"/>
  <c r="AY74" i="3"/>
  <c r="AZ74" i="3"/>
  <c r="BA74" i="3"/>
  <c r="AW75" i="3"/>
  <c r="AX75" i="3"/>
  <c r="AY75" i="3"/>
  <c r="AZ75" i="3"/>
  <c r="BA75" i="3"/>
  <c r="AW155" i="3"/>
  <c r="AX155" i="3"/>
  <c r="AY155" i="3"/>
  <c r="AZ155" i="3"/>
  <c r="BA155" i="3"/>
  <c r="AW156" i="3"/>
  <c r="AX156" i="3"/>
  <c r="AY156" i="3"/>
  <c r="AZ156" i="3"/>
  <c r="BA156" i="3"/>
  <c r="AW231" i="3"/>
  <c r="AX231" i="3"/>
  <c r="AY231" i="3"/>
  <c r="AZ231" i="3"/>
  <c r="BA231" i="3"/>
  <c r="AW232" i="3"/>
  <c r="AX232" i="3"/>
  <c r="AY232" i="3"/>
  <c r="AZ232" i="3"/>
  <c r="BA232" i="3"/>
  <c r="D106" i="60" l="1"/>
  <c r="D105" i="60"/>
  <c r="D103" i="60"/>
  <c r="AD301" i="3" l="1"/>
  <c r="AE301" i="3"/>
  <c r="AU231" i="3"/>
  <c r="AV231" i="3"/>
  <c r="AU232" i="3"/>
  <c r="AV232" i="3"/>
  <c r="AV74" i="3"/>
  <c r="AV75" i="3"/>
  <c r="AU155" i="3"/>
  <c r="AV155" i="3"/>
  <c r="AU156" i="3"/>
  <c r="AV156" i="3"/>
  <c r="Y301" i="3" l="1"/>
  <c r="Z301" i="3"/>
  <c r="AA301" i="3"/>
  <c r="AB301" i="3"/>
  <c r="AC301" i="3"/>
  <c r="AP231" i="3"/>
  <c r="AQ231" i="3"/>
  <c r="AR231" i="3"/>
  <c r="AS231" i="3"/>
  <c r="AT231" i="3"/>
  <c r="AP232" i="3"/>
  <c r="AQ232" i="3"/>
  <c r="AR232" i="3"/>
  <c r="AS232" i="3"/>
  <c r="AT232" i="3"/>
  <c r="AP155" i="3"/>
  <c r="AQ155" i="3"/>
  <c r="AR155" i="3"/>
  <c r="AS155" i="3"/>
  <c r="AT155" i="3"/>
  <c r="AP156" i="3"/>
  <c r="AQ156" i="3"/>
  <c r="AR156" i="3"/>
  <c r="AS156" i="3"/>
  <c r="AT156" i="3"/>
  <c r="AU74" i="3"/>
  <c r="AU75" i="3"/>
  <c r="AS74" i="3"/>
  <c r="AT74" i="3"/>
  <c r="AS75" i="3"/>
  <c r="AT75" i="3"/>
  <c r="AP74" i="3"/>
  <c r="AQ74" i="3"/>
  <c r="AR74" i="3"/>
  <c r="AP75" i="3"/>
  <c r="AQ75" i="3"/>
  <c r="AR75" i="3"/>
  <c r="C301" i="3" l="1"/>
  <c r="S301" i="3" l="1"/>
  <c r="T301" i="3"/>
  <c r="U301" i="3"/>
  <c r="V301" i="3"/>
  <c r="W301" i="3"/>
  <c r="X301" i="3"/>
  <c r="AI231" i="3"/>
  <c r="AJ231" i="3"/>
  <c r="AK231" i="3"/>
  <c r="AL231" i="3"/>
  <c r="AM231" i="3"/>
  <c r="AN231" i="3"/>
  <c r="AO231" i="3"/>
  <c r="AI232" i="3"/>
  <c r="AJ232" i="3"/>
  <c r="AK232" i="3"/>
  <c r="AL232" i="3"/>
  <c r="AM232" i="3"/>
  <c r="AN232" i="3"/>
  <c r="AO232" i="3"/>
  <c r="AI155" i="3"/>
  <c r="AJ155" i="3"/>
  <c r="AK155" i="3"/>
  <c r="AL155" i="3"/>
  <c r="AM155" i="3"/>
  <c r="AN155" i="3"/>
  <c r="AO155" i="3"/>
  <c r="AI156" i="3"/>
  <c r="AJ156" i="3"/>
  <c r="AK156" i="3"/>
  <c r="AL156" i="3"/>
  <c r="AM156" i="3"/>
  <c r="AN156" i="3"/>
  <c r="AO156" i="3"/>
  <c r="AJ74" i="3"/>
  <c r="AK74" i="3"/>
  <c r="AL74" i="3"/>
  <c r="AM74" i="3"/>
  <c r="AN74" i="3"/>
  <c r="AO74" i="3"/>
  <c r="AJ75" i="3"/>
  <c r="AK75" i="3"/>
  <c r="AL75" i="3"/>
  <c r="AM75" i="3"/>
  <c r="AN75" i="3"/>
  <c r="AO75" i="3"/>
  <c r="D70" i="60"/>
  <c r="Q301" i="3" l="1"/>
  <c r="R301" i="3"/>
  <c r="AH155" i="3"/>
  <c r="AH156" i="3"/>
  <c r="AH231" i="3"/>
  <c r="AH232" i="3"/>
  <c r="AH74" i="3" l="1"/>
  <c r="AI74" i="3"/>
  <c r="AH75" i="3"/>
  <c r="AI75" i="3"/>
  <c r="P301" i="3" l="1"/>
  <c r="AG231" i="3" l="1"/>
  <c r="AG232" i="3"/>
  <c r="AG155" i="3"/>
  <c r="AG156" i="3"/>
  <c r="AG74" i="3"/>
  <c r="AG75" i="3"/>
  <c r="AE231" i="3" l="1"/>
  <c r="AF231" i="3"/>
  <c r="AE232" i="3"/>
  <c r="AF232" i="3"/>
  <c r="N301" i="3"/>
  <c r="O301" i="3"/>
  <c r="AE155" i="3"/>
  <c r="AF155" i="3"/>
  <c r="AE156" i="3"/>
  <c r="AF156" i="3"/>
  <c r="AE74" i="3"/>
  <c r="AF74" i="3"/>
  <c r="AE75" i="3"/>
  <c r="AF75" i="3"/>
  <c r="BC41" i="3"/>
  <c r="L301" i="3" l="1"/>
  <c r="M301" i="3"/>
  <c r="AC231" i="3"/>
  <c r="AD231" i="3"/>
  <c r="AC232" i="3"/>
  <c r="AD232" i="3"/>
  <c r="AC74" i="3"/>
  <c r="AD74" i="3"/>
  <c r="AC75" i="3"/>
  <c r="AD75" i="3"/>
  <c r="AC155" i="3"/>
  <c r="AD155" i="3"/>
  <c r="AC156" i="3"/>
  <c r="AD156" i="3"/>
  <c r="K301" i="3" l="1"/>
  <c r="AB74" i="3"/>
  <c r="AB75" i="3"/>
  <c r="AB231" i="3"/>
  <c r="AB232" i="3"/>
  <c r="AB155" i="3"/>
  <c r="AB156" i="3"/>
  <c r="F106" i="60"/>
  <c r="F105" i="60"/>
  <c r="F101" i="60"/>
  <c r="G91" i="60"/>
  <c r="F91" i="60"/>
  <c r="D91" i="60"/>
  <c r="C91" i="60"/>
  <c r="H90" i="60"/>
  <c r="E90" i="60"/>
  <c r="H89" i="60"/>
  <c r="E89" i="60"/>
  <c r="H88" i="60"/>
  <c r="E88" i="60"/>
  <c r="H87" i="60"/>
  <c r="E87" i="60"/>
  <c r="E43" i="60"/>
  <c r="D43" i="60"/>
  <c r="G106" i="60" l="1"/>
  <c r="F98" i="60"/>
  <c r="H91" i="60"/>
  <c r="D107" i="60"/>
  <c r="G105" i="60"/>
  <c r="E91" i="60"/>
  <c r="C92" i="60" s="1"/>
  <c r="D301" i="3"/>
  <c r="E301" i="3"/>
  <c r="F301" i="3"/>
  <c r="G301" i="3"/>
  <c r="H301" i="3"/>
  <c r="I301" i="3"/>
  <c r="J301" i="3"/>
  <c r="BD250" i="3"/>
  <c r="U231" i="3"/>
  <c r="V231" i="3"/>
  <c r="W231" i="3"/>
  <c r="X231" i="3"/>
  <c r="Y231" i="3"/>
  <c r="Z231" i="3"/>
  <c r="AA231" i="3"/>
  <c r="U232" i="3"/>
  <c r="V232" i="3"/>
  <c r="W232" i="3"/>
  <c r="X232" i="3"/>
  <c r="Y232" i="3"/>
  <c r="Z232" i="3"/>
  <c r="AA232" i="3"/>
  <c r="T232" i="3"/>
  <c r="T231" i="3"/>
  <c r="U155" i="3"/>
  <c r="V155" i="3"/>
  <c r="W155" i="3"/>
  <c r="X155" i="3"/>
  <c r="Y155" i="3"/>
  <c r="Z155" i="3"/>
  <c r="AA155" i="3"/>
  <c r="U156" i="3"/>
  <c r="V156" i="3"/>
  <c r="W156" i="3"/>
  <c r="X156" i="3"/>
  <c r="Y156" i="3"/>
  <c r="Z156" i="3"/>
  <c r="AA156" i="3"/>
  <c r="T156" i="3"/>
  <c r="T155" i="3"/>
  <c r="U74" i="3"/>
  <c r="V74" i="3"/>
  <c r="W74" i="3"/>
  <c r="X74" i="3"/>
  <c r="Y74" i="3"/>
  <c r="Z74" i="3"/>
  <c r="AA74" i="3"/>
  <c r="U75" i="3"/>
  <c r="V75" i="3"/>
  <c r="W75" i="3"/>
  <c r="X75" i="3"/>
  <c r="Y75" i="3"/>
  <c r="Z75" i="3"/>
  <c r="AA75" i="3"/>
  <c r="T75" i="3"/>
  <c r="T74" i="3"/>
  <c r="BD301" i="3" l="1"/>
  <c r="D92" i="60"/>
  <c r="F67" i="60"/>
  <c r="S5" i="5"/>
  <c r="S4" i="5"/>
  <c r="BD128" i="3"/>
  <c r="M11" i="5" s="1"/>
  <c r="M12" i="5" s="1"/>
  <c r="BC128" i="3"/>
  <c r="BD127" i="3"/>
  <c r="M10" i="5" s="1"/>
  <c r="BC127" i="3"/>
  <c r="BC203" i="3"/>
  <c r="BD204" i="3"/>
  <c r="BC204" i="3"/>
  <c r="BD203" i="3"/>
  <c r="L17" i="5" s="1"/>
  <c r="S6" i="5" l="1"/>
  <c r="L18" i="5"/>
  <c r="L19" i="5" s="1"/>
  <c r="AY294" i="3"/>
  <c r="AZ294" i="3"/>
  <c r="BA294" i="3"/>
  <c r="BB294" i="3"/>
  <c r="S231" i="3"/>
  <c r="S232" i="3"/>
  <c r="S155" i="3"/>
  <c r="S156" i="3"/>
  <c r="S74" i="3"/>
  <c r="S75" i="3"/>
  <c r="P231" i="3" l="1"/>
  <c r="Q231" i="3"/>
  <c r="R231" i="3"/>
  <c r="P232" i="3"/>
  <c r="Q232" i="3"/>
  <c r="R232" i="3"/>
  <c r="P155" i="3"/>
  <c r="Q155" i="3"/>
  <c r="R155" i="3"/>
  <c r="P156" i="3"/>
  <c r="Q156" i="3"/>
  <c r="R156" i="3"/>
  <c r="P74" i="3"/>
  <c r="Q74" i="3"/>
  <c r="R74" i="3"/>
  <c r="P75" i="3"/>
  <c r="Q75" i="3"/>
  <c r="R75" i="3"/>
  <c r="BD36" i="3"/>
  <c r="BC37" i="3"/>
  <c r="BC36" i="3"/>
  <c r="AT294" i="3" l="1"/>
  <c r="AU294" i="3"/>
  <c r="AV294" i="3"/>
  <c r="AW294" i="3"/>
  <c r="AX294" i="3"/>
  <c r="K231" i="3"/>
  <c r="L231" i="3"/>
  <c r="M231" i="3"/>
  <c r="N231" i="3"/>
  <c r="O231" i="3"/>
  <c r="K232" i="3"/>
  <c r="L232" i="3"/>
  <c r="M232" i="3"/>
  <c r="N232" i="3"/>
  <c r="O232" i="3"/>
  <c r="K155" i="3"/>
  <c r="L155" i="3"/>
  <c r="M155" i="3"/>
  <c r="N155" i="3"/>
  <c r="O155" i="3"/>
  <c r="K156" i="3"/>
  <c r="L156" i="3"/>
  <c r="M156" i="3"/>
  <c r="N156" i="3"/>
  <c r="O156" i="3"/>
  <c r="O74" i="3"/>
  <c r="O75" i="3"/>
  <c r="K74" i="3" l="1"/>
  <c r="L74" i="3"/>
  <c r="M74" i="3"/>
  <c r="N74" i="3"/>
  <c r="K75" i="3"/>
  <c r="L75" i="3"/>
  <c r="M75" i="3"/>
  <c r="N75" i="3"/>
  <c r="G74" i="3" l="1"/>
  <c r="H74" i="3"/>
  <c r="I74" i="3"/>
  <c r="J74" i="3"/>
  <c r="G75" i="3"/>
  <c r="H75" i="3"/>
  <c r="I75" i="3"/>
  <c r="J75" i="3"/>
  <c r="C231" i="3"/>
  <c r="D231" i="3"/>
  <c r="E231" i="3"/>
  <c r="F231" i="3"/>
  <c r="G231" i="3"/>
  <c r="H231" i="3"/>
  <c r="I231" i="3"/>
  <c r="J231" i="3"/>
  <c r="C232" i="3"/>
  <c r="D232" i="3"/>
  <c r="E232" i="3"/>
  <c r="F232" i="3"/>
  <c r="G232" i="3"/>
  <c r="H232" i="3"/>
  <c r="I232" i="3"/>
  <c r="J232" i="3"/>
  <c r="B232" i="3"/>
  <c r="B231" i="3"/>
  <c r="C155" i="3"/>
  <c r="D155" i="3"/>
  <c r="E155" i="3"/>
  <c r="F155" i="3"/>
  <c r="G155" i="3"/>
  <c r="H155" i="3"/>
  <c r="I155" i="3"/>
  <c r="J155" i="3"/>
  <c r="C156" i="3"/>
  <c r="D156" i="3"/>
  <c r="E156" i="3"/>
  <c r="F156" i="3"/>
  <c r="G156" i="3"/>
  <c r="H156" i="3"/>
  <c r="I156" i="3"/>
  <c r="J156" i="3"/>
  <c r="B156" i="3"/>
  <c r="B155" i="3"/>
  <c r="AP294" i="3"/>
  <c r="AQ294" i="3"/>
  <c r="AR294" i="3"/>
  <c r="AS294" i="3"/>
  <c r="BD37" i="3"/>
  <c r="AL294" i="3" l="1"/>
  <c r="AM294" i="3"/>
  <c r="AN294" i="3"/>
  <c r="AO294" i="3"/>
  <c r="C74" i="3"/>
  <c r="D74" i="3"/>
  <c r="E74" i="3"/>
  <c r="F74" i="3"/>
  <c r="C75" i="3"/>
  <c r="D75" i="3"/>
  <c r="E75" i="3"/>
  <c r="F75" i="3"/>
  <c r="B75" i="3"/>
  <c r="B74" i="3"/>
  <c r="AH294" i="3" l="1"/>
  <c r="AI294" i="3"/>
  <c r="AJ294" i="3"/>
  <c r="AK294" i="3"/>
  <c r="AY227" i="3"/>
  <c r="AZ227" i="3"/>
  <c r="BA227" i="3"/>
  <c r="AY228" i="3"/>
  <c r="AZ228" i="3"/>
  <c r="BA228" i="3"/>
  <c r="AY151" i="3"/>
  <c r="AZ151" i="3"/>
  <c r="BA151" i="3"/>
  <c r="AY152" i="3"/>
  <c r="AZ152" i="3"/>
  <c r="BA152" i="3"/>
  <c r="AY70" i="3"/>
  <c r="AZ70" i="3"/>
  <c r="BA70" i="3"/>
  <c r="AY71" i="3"/>
  <c r="AZ71" i="3"/>
  <c r="BA71" i="3"/>
  <c r="AE294" i="3" l="1"/>
  <c r="AF294" i="3"/>
  <c r="AG294" i="3"/>
  <c r="AV227" i="3"/>
  <c r="AW227" i="3"/>
  <c r="AX227" i="3"/>
  <c r="AV228" i="3"/>
  <c r="AW228" i="3"/>
  <c r="AX228" i="3"/>
  <c r="AV151" i="3"/>
  <c r="AW151" i="3"/>
  <c r="AX151" i="3"/>
  <c r="AV152" i="3"/>
  <c r="AW152" i="3"/>
  <c r="AX152" i="3"/>
  <c r="AV70" i="3"/>
  <c r="AW70" i="3"/>
  <c r="AX70" i="3"/>
  <c r="AV71" i="3"/>
  <c r="AW71" i="3"/>
  <c r="AX71" i="3"/>
  <c r="AN70" i="3" l="1"/>
  <c r="AO70" i="3"/>
  <c r="AP70" i="3"/>
  <c r="AQ70" i="3"/>
  <c r="AR70" i="3"/>
  <c r="AS70" i="3"/>
  <c r="AT70" i="3"/>
  <c r="AU70" i="3"/>
  <c r="AN71" i="3"/>
  <c r="AO71" i="3"/>
  <c r="AP71" i="3"/>
  <c r="AQ71" i="3"/>
  <c r="AR71" i="3"/>
  <c r="AS71" i="3"/>
  <c r="AT71" i="3"/>
  <c r="AU71" i="3"/>
  <c r="AN151" i="3"/>
  <c r="AO151" i="3"/>
  <c r="AP151" i="3"/>
  <c r="AQ151" i="3"/>
  <c r="AR151" i="3"/>
  <c r="AS151" i="3"/>
  <c r="AT151" i="3"/>
  <c r="AU151" i="3"/>
  <c r="AN152" i="3"/>
  <c r="AO152" i="3"/>
  <c r="AP152" i="3"/>
  <c r="AQ152" i="3"/>
  <c r="AR152" i="3"/>
  <c r="AS152" i="3"/>
  <c r="AT152" i="3"/>
  <c r="AU152" i="3"/>
  <c r="AN227" i="3"/>
  <c r="AO227" i="3"/>
  <c r="AP227" i="3"/>
  <c r="AQ227" i="3"/>
  <c r="AR227" i="3"/>
  <c r="AS227" i="3"/>
  <c r="AT227" i="3"/>
  <c r="AU227" i="3"/>
  <c r="AN228" i="3"/>
  <c r="AO228" i="3"/>
  <c r="AP228" i="3"/>
  <c r="AQ228" i="3"/>
  <c r="AR228" i="3"/>
  <c r="AS228" i="3"/>
  <c r="AT228" i="3"/>
  <c r="AU228" i="3"/>
  <c r="W294" i="3"/>
  <c r="X294" i="3"/>
  <c r="Y294" i="3"/>
  <c r="Z294" i="3"/>
  <c r="AA294" i="3"/>
  <c r="AB294" i="3"/>
  <c r="AC294" i="3"/>
  <c r="AD294" i="3"/>
  <c r="BC200" i="3"/>
  <c r="BC199" i="3"/>
  <c r="BD123" i="3"/>
  <c r="BC124" i="3"/>
  <c r="BC123" i="3"/>
  <c r="U294" i="3" l="1"/>
  <c r="V294" i="3"/>
  <c r="AL227" i="3"/>
  <c r="AM227" i="3"/>
  <c r="AL228" i="3"/>
  <c r="AM228" i="3"/>
  <c r="BD199" i="3"/>
  <c r="AL151" i="3"/>
  <c r="AM151" i="3"/>
  <c r="AL152" i="3"/>
  <c r="AM152" i="3"/>
  <c r="AL70" i="3"/>
  <c r="AM70" i="3"/>
  <c r="AL71" i="3"/>
  <c r="AM71" i="3"/>
  <c r="F64" i="60" l="1"/>
  <c r="AK151" i="3"/>
  <c r="AK152" i="3"/>
  <c r="AK227" i="3"/>
  <c r="AK228" i="3"/>
  <c r="T294" i="3"/>
  <c r="AK70" i="3"/>
  <c r="AK71" i="3"/>
  <c r="AJ227" i="3" l="1"/>
  <c r="AJ228" i="3"/>
  <c r="S294" i="3"/>
  <c r="AJ151" i="3"/>
  <c r="AJ152" i="3"/>
  <c r="MK85" i="3"/>
  <c r="MK86" i="3"/>
  <c r="AJ70" i="3"/>
  <c r="AJ71" i="3"/>
  <c r="MA85" i="3" l="1"/>
  <c r="MB85" i="3"/>
  <c r="MC85" i="3"/>
  <c r="MD85" i="3"/>
  <c r="ME85" i="3"/>
  <c r="MF85" i="3"/>
  <c r="MG85" i="3"/>
  <c r="MH85" i="3"/>
  <c r="MI85" i="3"/>
  <c r="MJ85" i="3"/>
  <c r="MA86" i="3"/>
  <c r="MB86" i="3"/>
  <c r="MC86" i="3"/>
  <c r="MD86" i="3"/>
  <c r="ME86" i="3"/>
  <c r="MF86" i="3"/>
  <c r="MG86" i="3"/>
  <c r="MH86" i="3"/>
  <c r="MI86" i="3"/>
  <c r="MJ86" i="3"/>
  <c r="R294" i="3" l="1"/>
  <c r="AI227" i="3"/>
  <c r="AI228" i="3"/>
  <c r="AI151" i="3"/>
  <c r="AI152" i="3"/>
  <c r="AI70" i="3"/>
  <c r="AI71" i="3"/>
  <c r="D71" i="60" l="1"/>
  <c r="Q294" i="3"/>
  <c r="AH227" i="3"/>
  <c r="AH228" i="3"/>
  <c r="AH151" i="3"/>
  <c r="AH152" i="3"/>
  <c r="AH70" i="3"/>
  <c r="AH71" i="3"/>
  <c r="F63" i="60" l="1"/>
  <c r="P294" i="3"/>
  <c r="AG227" i="3"/>
  <c r="AG228" i="3"/>
  <c r="AG151" i="3"/>
  <c r="AG152" i="3"/>
  <c r="AG70" i="3"/>
  <c r="AG71" i="3"/>
  <c r="O294" i="3" l="1"/>
  <c r="AF70" i="3"/>
  <c r="AF71" i="3"/>
  <c r="AF151" i="3"/>
  <c r="AF152" i="3"/>
  <c r="AF227" i="3"/>
  <c r="AF228" i="3"/>
  <c r="D68" i="60"/>
  <c r="J311" i="3" l="1"/>
  <c r="K311" i="3"/>
  <c r="L311" i="3"/>
  <c r="M311" i="3"/>
  <c r="N311" i="3"/>
  <c r="O311" i="3"/>
  <c r="F53" i="60" l="1"/>
  <c r="F54" i="60"/>
  <c r="F55" i="60"/>
  <c r="F56" i="60"/>
  <c r="U227" i="3"/>
  <c r="V227" i="3"/>
  <c r="W227" i="3"/>
  <c r="X227" i="3"/>
  <c r="Y227" i="3"/>
  <c r="Z227" i="3"/>
  <c r="AA227" i="3"/>
  <c r="AB227" i="3"/>
  <c r="AC227" i="3"/>
  <c r="AD227" i="3"/>
  <c r="AE227" i="3"/>
  <c r="U228" i="3"/>
  <c r="V228" i="3"/>
  <c r="W228" i="3"/>
  <c r="X228" i="3"/>
  <c r="Y228" i="3"/>
  <c r="Z228" i="3"/>
  <c r="AA228" i="3"/>
  <c r="AB228" i="3"/>
  <c r="AC228" i="3"/>
  <c r="AD228" i="3"/>
  <c r="AE228" i="3"/>
  <c r="T228" i="3"/>
  <c r="T227" i="3"/>
  <c r="U151" i="3"/>
  <c r="V151" i="3"/>
  <c r="W151" i="3"/>
  <c r="X151" i="3"/>
  <c r="Y151" i="3"/>
  <c r="Z151" i="3"/>
  <c r="AA151" i="3"/>
  <c r="AB151" i="3"/>
  <c r="AC151" i="3"/>
  <c r="AD151" i="3"/>
  <c r="AE151" i="3"/>
  <c r="U152" i="3"/>
  <c r="V152" i="3"/>
  <c r="W152" i="3"/>
  <c r="X152" i="3"/>
  <c r="Y152" i="3"/>
  <c r="Z152" i="3"/>
  <c r="AA152" i="3"/>
  <c r="AB152" i="3"/>
  <c r="AC152" i="3"/>
  <c r="AD152" i="3"/>
  <c r="AE152" i="3"/>
  <c r="T152" i="3"/>
  <c r="T151" i="3"/>
  <c r="AA70" i="3"/>
  <c r="AB70" i="3"/>
  <c r="AC70" i="3"/>
  <c r="AD70" i="3"/>
  <c r="AE70" i="3"/>
  <c r="AA71" i="3"/>
  <c r="AB71" i="3"/>
  <c r="AC71" i="3"/>
  <c r="AD71" i="3"/>
  <c r="AE71" i="3"/>
  <c r="K294" i="3"/>
  <c r="L294" i="3"/>
  <c r="M294" i="3"/>
  <c r="N294" i="3"/>
  <c r="I294" i="3" l="1"/>
  <c r="J294" i="3"/>
  <c r="Z70" i="3" l="1"/>
  <c r="Z71" i="3"/>
  <c r="I311" i="3" l="1"/>
  <c r="D311" i="3"/>
  <c r="E311" i="3"/>
  <c r="F311" i="3"/>
  <c r="G311" i="3"/>
  <c r="H311" i="3"/>
  <c r="C311" i="3"/>
  <c r="C310" i="3"/>
  <c r="C309" i="3"/>
  <c r="C308" i="3"/>
  <c r="BD260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Y308" i="3"/>
  <c r="AZ308" i="3"/>
  <c r="BA308" i="3"/>
  <c r="BB308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Y310" i="3"/>
  <c r="AZ310" i="3"/>
  <c r="BA310" i="3"/>
  <c r="BB310" i="3"/>
  <c r="BD311" i="3" l="1"/>
  <c r="U71" i="3"/>
  <c r="V71" i="3"/>
  <c r="W71" i="3"/>
  <c r="X71" i="3"/>
  <c r="Y71" i="3"/>
  <c r="T71" i="3"/>
  <c r="U70" i="3"/>
  <c r="V70" i="3"/>
  <c r="W70" i="3"/>
  <c r="X70" i="3"/>
  <c r="Y70" i="3"/>
  <c r="T70" i="3"/>
  <c r="LV85" i="3"/>
  <c r="LW85" i="3"/>
  <c r="LX85" i="3"/>
  <c r="LY85" i="3"/>
  <c r="LZ85" i="3"/>
  <c r="LV86" i="3"/>
  <c r="LW86" i="3"/>
  <c r="LX86" i="3"/>
  <c r="LY86" i="3"/>
  <c r="LZ86" i="3"/>
  <c r="LU86" i="3"/>
  <c r="LU85" i="3"/>
  <c r="L12" i="5"/>
  <c r="C294" i="3"/>
  <c r="D294" i="3"/>
  <c r="E294" i="3"/>
  <c r="F294" i="3"/>
  <c r="G294" i="3"/>
  <c r="H294" i="3"/>
  <c r="R4" i="5" l="1"/>
  <c r="C287" i="3"/>
  <c r="BD249" i="3"/>
  <c r="BD294" i="3"/>
  <c r="BD200" i="3"/>
  <c r="K18" i="5" s="1"/>
  <c r="K19" i="5" s="1"/>
  <c r="K17" i="5"/>
  <c r="BD124" i="3"/>
  <c r="L10" i="5"/>
  <c r="R5" i="5"/>
  <c r="R6" i="5" s="1"/>
  <c r="BB287" i="3" l="1"/>
  <c r="S227" i="3"/>
  <c r="S228" i="3"/>
  <c r="BC196" i="3"/>
  <c r="BC195" i="3"/>
  <c r="BC33" i="3"/>
  <c r="BC32" i="3"/>
  <c r="S151" i="3"/>
  <c r="S152" i="3"/>
  <c r="BC120" i="3"/>
  <c r="BC119" i="3"/>
  <c r="LT85" i="3"/>
  <c r="LT86" i="3"/>
  <c r="S70" i="3"/>
  <c r="S71" i="3"/>
  <c r="BA287" i="3" l="1"/>
  <c r="R227" i="3"/>
  <c r="R228" i="3"/>
  <c r="R151" i="3"/>
  <c r="R152" i="3"/>
  <c r="LS85" i="3"/>
  <c r="LS86" i="3"/>
  <c r="R70" i="3"/>
  <c r="R71" i="3"/>
  <c r="LR85" i="3" l="1"/>
  <c r="LR86" i="3"/>
  <c r="Q70" i="3"/>
  <c r="Q71" i="3"/>
  <c r="Q151" i="3"/>
  <c r="Q152" i="3"/>
  <c r="Q227" i="3"/>
  <c r="Q228" i="3"/>
  <c r="AZ287" i="3"/>
  <c r="LQ85" i="3" l="1"/>
  <c r="LQ86" i="3"/>
  <c r="AY287" i="3"/>
  <c r="P227" i="3"/>
  <c r="P228" i="3"/>
  <c r="P151" i="3"/>
  <c r="P152" i="3"/>
  <c r="P70" i="3"/>
  <c r="P71" i="3"/>
  <c r="AW287" i="3" l="1"/>
  <c r="AX287" i="3"/>
  <c r="N227" i="3"/>
  <c r="O227" i="3"/>
  <c r="BD195" i="3"/>
  <c r="N228" i="3"/>
  <c r="O228" i="3"/>
  <c r="N151" i="3"/>
  <c r="O151" i="3"/>
  <c r="N152" i="3"/>
  <c r="O152" i="3"/>
  <c r="BD119" i="3"/>
  <c r="LO85" i="3"/>
  <c r="LP85" i="3"/>
  <c r="LO86" i="3"/>
  <c r="LP86" i="3"/>
  <c r="N70" i="3"/>
  <c r="O70" i="3"/>
  <c r="N71" i="3"/>
  <c r="O71" i="3"/>
  <c r="BD32" i="3"/>
  <c r="AV287" i="3" l="1"/>
  <c r="M227" i="3"/>
  <c r="M228" i="3"/>
  <c r="BD196" i="3"/>
  <c r="M151" i="3"/>
  <c r="M152" i="3"/>
  <c r="LN85" i="3"/>
  <c r="LN86" i="3"/>
  <c r="M70" i="3"/>
  <c r="M71" i="3"/>
  <c r="BD33" i="3"/>
  <c r="G4" i="67" l="1"/>
  <c r="G5" i="67"/>
  <c r="G6" i="67"/>
  <c r="G7" i="67"/>
  <c r="G8" i="67"/>
  <c r="G9" i="67"/>
  <c r="G10" i="67"/>
  <c r="G11" i="67"/>
  <c r="G12" i="67"/>
  <c r="G13" i="67"/>
  <c r="G14" i="67"/>
  <c r="G15" i="67"/>
  <c r="G16" i="67"/>
  <c r="G17" i="67"/>
  <c r="G18" i="67"/>
  <c r="G19" i="67"/>
  <c r="G20" i="67"/>
  <c r="G21" i="67"/>
  <c r="G22" i="67"/>
  <c r="G23" i="67"/>
  <c r="G24" i="67"/>
  <c r="G25" i="67"/>
  <c r="G26" i="67"/>
  <c r="G27" i="67"/>
  <c r="G28" i="67"/>
  <c r="G29" i="67"/>
  <c r="G30" i="67"/>
  <c r="G31" i="67"/>
  <c r="G3" i="67"/>
  <c r="E4" i="67"/>
  <c r="E5" i="67"/>
  <c r="E6" i="67"/>
  <c r="E7" i="67"/>
  <c r="E8" i="67"/>
  <c r="E9" i="67"/>
  <c r="E10" i="67"/>
  <c r="E11" i="67"/>
  <c r="E12" i="67"/>
  <c r="E13" i="67"/>
  <c r="E14" i="67"/>
  <c r="E15" i="67"/>
  <c r="E16" i="67"/>
  <c r="E17" i="67"/>
  <c r="E18" i="67"/>
  <c r="E19" i="67"/>
  <c r="E20" i="67"/>
  <c r="E21" i="67"/>
  <c r="E22" i="67"/>
  <c r="E23" i="67"/>
  <c r="E24" i="67"/>
  <c r="E25" i="67"/>
  <c r="E26" i="67"/>
  <c r="E27" i="67"/>
  <c r="E28" i="67"/>
  <c r="E29" i="67"/>
  <c r="E30" i="67"/>
  <c r="E31" i="67"/>
  <c r="E3" i="67"/>
  <c r="D32" i="67"/>
  <c r="E32" i="67" l="1"/>
  <c r="F32" i="67" l="1"/>
  <c r="G32" i="67"/>
  <c r="LK85" i="3"/>
  <c r="LL85" i="3"/>
  <c r="LM85" i="3"/>
  <c r="LK86" i="3"/>
  <c r="LL86" i="3"/>
  <c r="LM86" i="3"/>
  <c r="AQ287" i="3"/>
  <c r="AR287" i="3"/>
  <c r="AS287" i="3"/>
  <c r="AT287" i="3"/>
  <c r="AU287" i="3"/>
  <c r="J227" i="3"/>
  <c r="K227" i="3"/>
  <c r="L227" i="3"/>
  <c r="J228" i="3"/>
  <c r="K228" i="3"/>
  <c r="L228" i="3"/>
  <c r="L151" i="3"/>
  <c r="L152" i="3"/>
  <c r="J151" i="3"/>
  <c r="K151" i="3"/>
  <c r="J152" i="3"/>
  <c r="K152" i="3"/>
  <c r="J70" i="3"/>
  <c r="K70" i="3"/>
  <c r="L70" i="3"/>
  <c r="J71" i="3"/>
  <c r="K71" i="3"/>
  <c r="L71" i="3"/>
  <c r="H70" i="3" l="1"/>
  <c r="I70" i="3"/>
  <c r="H71" i="3"/>
  <c r="I71" i="3"/>
  <c r="H151" i="3"/>
  <c r="I151" i="3"/>
  <c r="H152" i="3"/>
  <c r="I152" i="3"/>
  <c r="H227" i="3"/>
  <c r="I227" i="3"/>
  <c r="H228" i="3"/>
  <c r="I228" i="3"/>
  <c r="LI85" i="3"/>
  <c r="LJ85" i="3"/>
  <c r="LI86" i="3"/>
  <c r="LJ86" i="3"/>
  <c r="AP287" i="3" l="1"/>
  <c r="G227" i="3"/>
  <c r="G228" i="3"/>
  <c r="G151" i="3"/>
  <c r="G152" i="3"/>
  <c r="BD120" i="3"/>
  <c r="LH85" i="3"/>
  <c r="LH86" i="3"/>
  <c r="G70" i="3"/>
  <c r="G71" i="3"/>
  <c r="AJ287" i="3" l="1"/>
  <c r="AK287" i="3"/>
  <c r="AL287" i="3"/>
  <c r="AM287" i="3"/>
  <c r="AN287" i="3"/>
  <c r="AO287" i="3"/>
  <c r="E151" i="3"/>
  <c r="F151" i="3"/>
  <c r="E152" i="3"/>
  <c r="F152" i="3"/>
  <c r="E227" i="3"/>
  <c r="F227" i="3"/>
  <c r="E228" i="3"/>
  <c r="F228" i="3"/>
  <c r="LF85" i="3"/>
  <c r="LG85" i="3"/>
  <c r="LF86" i="3"/>
  <c r="LG86" i="3"/>
  <c r="E70" i="3"/>
  <c r="F70" i="3"/>
  <c r="E71" i="3"/>
  <c r="F71" i="3"/>
  <c r="LB85" i="3" l="1"/>
  <c r="LC85" i="3"/>
  <c r="LD85" i="3"/>
  <c r="LE85" i="3"/>
  <c r="LB86" i="3"/>
  <c r="LC86" i="3"/>
  <c r="LD86" i="3"/>
  <c r="LE86" i="3"/>
  <c r="C227" i="3"/>
  <c r="D227" i="3"/>
  <c r="C228" i="3"/>
  <c r="D228" i="3"/>
  <c r="B228" i="3"/>
  <c r="B227" i="3"/>
  <c r="C151" i="3"/>
  <c r="D151" i="3"/>
  <c r="C152" i="3"/>
  <c r="D152" i="3"/>
  <c r="B152" i="3"/>
  <c r="B151" i="3"/>
  <c r="B71" i="3"/>
  <c r="C71" i="3"/>
  <c r="D71" i="3"/>
  <c r="C70" i="3"/>
  <c r="D70" i="3"/>
  <c r="B70" i="3"/>
  <c r="Q5" i="5"/>
  <c r="Q4" i="5"/>
  <c r="BA223" i="3" l="1"/>
  <c r="BA224" i="3"/>
  <c r="BA147" i="3"/>
  <c r="BA148" i="3"/>
  <c r="BA65" i="3"/>
  <c r="BA66" i="3"/>
  <c r="AE287" i="3" l="1"/>
  <c r="AF287" i="3"/>
  <c r="AG287" i="3"/>
  <c r="AH287" i="3"/>
  <c r="AI287" i="3"/>
  <c r="AV223" i="3"/>
  <c r="AW223" i="3"/>
  <c r="AX223" i="3"/>
  <c r="AY223" i="3"/>
  <c r="AZ223" i="3"/>
  <c r="AV224" i="3"/>
  <c r="AW224" i="3"/>
  <c r="AX224" i="3"/>
  <c r="AY224" i="3"/>
  <c r="AZ224" i="3"/>
  <c r="AV147" i="3"/>
  <c r="AW147" i="3"/>
  <c r="AX147" i="3"/>
  <c r="AY147" i="3"/>
  <c r="AZ147" i="3"/>
  <c r="AV148" i="3"/>
  <c r="AW148" i="3"/>
  <c r="AX148" i="3"/>
  <c r="AY148" i="3"/>
  <c r="AZ148" i="3"/>
  <c r="KW85" i="3"/>
  <c r="KX85" i="3"/>
  <c r="KY85" i="3"/>
  <c r="KZ85" i="3"/>
  <c r="LA85" i="3"/>
  <c r="KW86" i="3"/>
  <c r="KX86" i="3"/>
  <c r="KY86" i="3"/>
  <c r="KZ86" i="3"/>
  <c r="LA86" i="3"/>
  <c r="AV65" i="3"/>
  <c r="AW65" i="3"/>
  <c r="AX65" i="3"/>
  <c r="AY65" i="3"/>
  <c r="AZ65" i="3"/>
  <c r="AV66" i="3"/>
  <c r="AW66" i="3"/>
  <c r="AX66" i="3"/>
  <c r="AY66" i="3"/>
  <c r="AZ66" i="3"/>
  <c r="AD287" i="3" l="1"/>
  <c r="AU223" i="3"/>
  <c r="AU224" i="3"/>
  <c r="AU147" i="3"/>
  <c r="AU148" i="3"/>
  <c r="AU65" i="3"/>
  <c r="AU66" i="3"/>
  <c r="KV85" i="3"/>
  <c r="KV86" i="3"/>
  <c r="AC287" i="3" l="1"/>
  <c r="AT223" i="3"/>
  <c r="AT224" i="3"/>
  <c r="AT147" i="3"/>
  <c r="AT148" i="3"/>
  <c r="KU85" i="3"/>
  <c r="KU86" i="3"/>
  <c r="AT65" i="3"/>
  <c r="AT66" i="3"/>
  <c r="AA287" i="3" l="1"/>
  <c r="AB287" i="3"/>
  <c r="AR223" i="3"/>
  <c r="AS223" i="3"/>
  <c r="AR224" i="3"/>
  <c r="AS224" i="3"/>
  <c r="AR147" i="3"/>
  <c r="AS147" i="3"/>
  <c r="AR148" i="3"/>
  <c r="AS148" i="3"/>
  <c r="KS85" i="3"/>
  <c r="KT85" i="3"/>
  <c r="KS86" i="3"/>
  <c r="KT86" i="3"/>
  <c r="AR65" i="3" l="1"/>
  <c r="AS65" i="3"/>
  <c r="AR66" i="3"/>
  <c r="AS66" i="3"/>
  <c r="Y287" i="3" l="1"/>
  <c r="Z287" i="3"/>
  <c r="KQ85" i="3"/>
  <c r="KR85" i="3"/>
  <c r="KQ86" i="3"/>
  <c r="KR86" i="3"/>
  <c r="AP65" i="3"/>
  <c r="AQ65" i="3"/>
  <c r="AP66" i="3"/>
  <c r="AQ66" i="3"/>
  <c r="AP147" i="3"/>
  <c r="AQ147" i="3"/>
  <c r="AP148" i="3"/>
  <c r="AQ148" i="3"/>
  <c r="AP223" i="3"/>
  <c r="AQ223" i="3"/>
  <c r="AP224" i="3"/>
  <c r="AQ224" i="3"/>
  <c r="X287" i="3" l="1"/>
  <c r="AO223" i="3"/>
  <c r="AO224" i="3"/>
  <c r="AO147" i="3"/>
  <c r="AO148" i="3"/>
  <c r="AO65" i="3"/>
  <c r="AO66" i="3"/>
  <c r="KP85" i="3"/>
  <c r="KP86" i="3"/>
  <c r="KO85" i="3" l="1"/>
  <c r="KO86" i="3"/>
  <c r="W287" i="3"/>
  <c r="AN147" i="3"/>
  <c r="AN148" i="3"/>
  <c r="AN223" i="3"/>
  <c r="AN224" i="3"/>
  <c r="AN65" i="3"/>
  <c r="AN66" i="3"/>
  <c r="KM85" i="3" l="1"/>
  <c r="KN85" i="3"/>
  <c r="KM86" i="3"/>
  <c r="KN86" i="3"/>
  <c r="U287" i="3"/>
  <c r="V287" i="3"/>
  <c r="AL223" i="3"/>
  <c r="AM223" i="3"/>
  <c r="AL224" i="3"/>
  <c r="AM224" i="3"/>
  <c r="AL147" i="3"/>
  <c r="AM147" i="3"/>
  <c r="AL148" i="3"/>
  <c r="AM148" i="3"/>
  <c r="AL65" i="3"/>
  <c r="AM65" i="3"/>
  <c r="AL66" i="3"/>
  <c r="AM66" i="3"/>
  <c r="S287" i="3" l="1"/>
  <c r="T287" i="3"/>
  <c r="KK85" i="3"/>
  <c r="KL85" i="3"/>
  <c r="KK86" i="3"/>
  <c r="KL86" i="3"/>
  <c r="AJ65" i="3"/>
  <c r="AK65" i="3"/>
  <c r="AJ66" i="3"/>
  <c r="AK66" i="3"/>
  <c r="AK147" i="3"/>
  <c r="AK148" i="3"/>
  <c r="AK223" i="3"/>
  <c r="AK224" i="3"/>
  <c r="AJ147" i="3"/>
  <c r="AJ148" i="3"/>
  <c r="AJ223" i="3"/>
  <c r="AJ224" i="3"/>
  <c r="F71" i="60" l="1"/>
  <c r="R287" i="3"/>
  <c r="AI223" i="3"/>
  <c r="AI224" i="3"/>
  <c r="AI147" i="3"/>
  <c r="AI148" i="3"/>
  <c r="AI65" i="3"/>
  <c r="AI66" i="3"/>
  <c r="KJ85" i="3" l="1"/>
  <c r="KJ86" i="3"/>
  <c r="Q287" i="3" l="1"/>
  <c r="AH223" i="3"/>
  <c r="AH224" i="3"/>
  <c r="AH147" i="3"/>
  <c r="AH148" i="3"/>
  <c r="KI85" i="3"/>
  <c r="KI86" i="3"/>
  <c r="AH65" i="3"/>
  <c r="AH66" i="3"/>
  <c r="F70" i="60" l="1"/>
  <c r="D72" i="60"/>
  <c r="P287" i="3"/>
  <c r="AG147" i="3"/>
  <c r="AG148" i="3"/>
  <c r="AG223" i="3"/>
  <c r="AG224" i="3"/>
  <c r="KH85" i="3"/>
  <c r="KH86" i="3"/>
  <c r="AG65" i="3"/>
  <c r="AG66" i="3"/>
  <c r="AF147" i="3" l="1"/>
  <c r="AF148" i="3"/>
  <c r="AF223" i="3"/>
  <c r="AF224" i="3"/>
  <c r="KG85" i="3"/>
  <c r="KG86" i="3"/>
  <c r="O287" i="3"/>
  <c r="AF65" i="3"/>
  <c r="AF66" i="3"/>
  <c r="C55" i="58" l="1"/>
  <c r="C52" i="58"/>
  <c r="D46" i="58"/>
  <c r="C46" i="58"/>
  <c r="E45" i="58"/>
  <c r="E44" i="58"/>
  <c r="E43" i="58"/>
  <c r="E42" i="58"/>
  <c r="D37" i="58"/>
  <c r="C37" i="58"/>
  <c r="D30" i="58"/>
  <c r="C30" i="58"/>
  <c r="D22" i="58"/>
  <c r="C22" i="58"/>
  <c r="D11" i="58"/>
  <c r="C11" i="58"/>
  <c r="H57" i="60"/>
  <c r="G57" i="60"/>
  <c r="E57" i="60"/>
  <c r="D57" i="60"/>
  <c r="I56" i="60"/>
  <c r="I55" i="60"/>
  <c r="I54" i="60"/>
  <c r="I53" i="60"/>
  <c r="E49" i="60"/>
  <c r="D49" i="60"/>
  <c r="N287" i="3"/>
  <c r="M287" i="3"/>
  <c r="L287" i="3"/>
  <c r="K287" i="3"/>
  <c r="J287" i="3"/>
  <c r="I287" i="3"/>
  <c r="H287" i="3"/>
  <c r="G287" i="3"/>
  <c r="F287" i="3"/>
  <c r="E287" i="3"/>
  <c r="D287" i="3"/>
  <c r="BB281" i="3"/>
  <c r="BA281" i="3"/>
  <c r="AZ281" i="3"/>
  <c r="AY281" i="3"/>
  <c r="AX281" i="3"/>
  <c r="AW281" i="3"/>
  <c r="AV281" i="3"/>
  <c r="AU281" i="3"/>
  <c r="AT281" i="3"/>
  <c r="AS281" i="3"/>
  <c r="AR281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B275" i="3"/>
  <c r="BA275" i="3"/>
  <c r="AZ275" i="3"/>
  <c r="AY275" i="3"/>
  <c r="AX275" i="3"/>
  <c r="AW275" i="3"/>
  <c r="AV275" i="3"/>
  <c r="AU275" i="3"/>
  <c r="AT275" i="3"/>
  <c r="AS275" i="3"/>
  <c r="AR275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C274" i="3"/>
  <c r="BC273" i="3"/>
  <c r="BC272" i="3"/>
  <c r="BC271" i="3"/>
  <c r="BC245" i="3"/>
  <c r="BB245" i="3"/>
  <c r="BA245" i="3"/>
  <c r="AZ245" i="3"/>
  <c r="AY245" i="3"/>
  <c r="AX245" i="3"/>
  <c r="AW245" i="3"/>
  <c r="AV245" i="3"/>
  <c r="AU245" i="3"/>
  <c r="AT245" i="3"/>
  <c r="AS245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BA219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BN224" i="3" s="1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BN223" i="3" s="1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BB214" i="3"/>
  <c r="BA214" i="3"/>
  <c r="AZ214" i="3"/>
  <c r="AY214" i="3"/>
  <c r="AX214" i="3"/>
  <c r="AW214" i="3"/>
  <c r="AV214" i="3"/>
  <c r="AU214" i="3"/>
  <c r="AT214" i="3"/>
  <c r="AS214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BN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BN210" i="3"/>
  <c r="BA210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J18" i="5"/>
  <c r="J19" i="5" s="1"/>
  <c r="J17" i="5"/>
  <c r="BD192" i="3"/>
  <c r="BC192" i="3"/>
  <c r="BD191" i="3"/>
  <c r="BC191" i="3"/>
  <c r="BD188" i="3"/>
  <c r="BC188" i="3"/>
  <c r="BD187" i="3"/>
  <c r="H17" i="5" s="1"/>
  <c r="BC187" i="3"/>
  <c r="BD183" i="3"/>
  <c r="G18" i="5" s="1"/>
  <c r="G19" i="5" s="1"/>
  <c r="BC183" i="3"/>
  <c r="BD182" i="3"/>
  <c r="G17" i="5" s="1"/>
  <c r="BC182" i="3"/>
  <c r="BC179" i="3"/>
  <c r="BD179" i="3" s="1"/>
  <c r="F18" i="5" s="1"/>
  <c r="F19" i="5" s="1"/>
  <c r="BC178" i="3"/>
  <c r="BD178" i="3" s="1"/>
  <c r="F17" i="5" s="1"/>
  <c r="BD174" i="3"/>
  <c r="BC174" i="3"/>
  <c r="E18" i="5" s="1"/>
  <c r="E19" i="5" s="1"/>
  <c r="BD173" i="3"/>
  <c r="BC173" i="3"/>
  <c r="E17" i="5" s="1"/>
  <c r="BC171" i="3"/>
  <c r="BC170" i="3"/>
  <c r="BC169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BA144" i="3"/>
  <c r="AZ144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BN147" i="3" s="1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BN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BN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K10" i="5"/>
  <c r="BD116" i="3"/>
  <c r="J11" i="5" s="1"/>
  <c r="J12" i="5" s="1"/>
  <c r="BC116" i="3"/>
  <c r="BD115" i="3"/>
  <c r="J10" i="5" s="1"/>
  <c r="BC115" i="3"/>
  <c r="BD111" i="3"/>
  <c r="I11" i="5" s="1"/>
  <c r="I12" i="5" s="1"/>
  <c r="BC111" i="3"/>
  <c r="BD110" i="3"/>
  <c r="I10" i="5" s="1"/>
  <c r="BC110" i="3"/>
  <c r="BD106" i="3"/>
  <c r="H11" i="5" s="1"/>
  <c r="H12" i="5" s="1"/>
  <c r="BC106" i="3"/>
  <c r="BD105" i="3"/>
  <c r="H10" i="5" s="1"/>
  <c r="BC105" i="3"/>
  <c r="BC102" i="3"/>
  <c r="BD102" i="3" s="1"/>
  <c r="G11" i="5" s="1"/>
  <c r="G12" i="5" s="1"/>
  <c r="BC101" i="3"/>
  <c r="BD101" i="3" s="1"/>
  <c r="G10" i="5" s="1"/>
  <c r="BD97" i="3"/>
  <c r="BC97" i="3"/>
  <c r="F11" i="5" s="1"/>
  <c r="F12" i="5" s="1"/>
  <c r="BD96" i="3"/>
  <c r="BC96" i="3"/>
  <c r="F10" i="5" s="1"/>
  <c r="BC93" i="3"/>
  <c r="BC92" i="3"/>
  <c r="KF86" i="3"/>
  <c r="KE86" i="3"/>
  <c r="KD86" i="3"/>
  <c r="KC86" i="3"/>
  <c r="KB86" i="3"/>
  <c r="KA86" i="3"/>
  <c r="JZ86" i="3"/>
  <c r="JY86" i="3"/>
  <c r="JX86" i="3"/>
  <c r="JW86" i="3"/>
  <c r="JV86" i="3"/>
  <c r="JU86" i="3"/>
  <c r="JT86" i="3"/>
  <c r="JS86" i="3"/>
  <c r="JR86" i="3"/>
  <c r="JQ86" i="3"/>
  <c r="JP86" i="3"/>
  <c r="JO86" i="3"/>
  <c r="JN86" i="3"/>
  <c r="JM86" i="3"/>
  <c r="JL86" i="3"/>
  <c r="JK86" i="3"/>
  <c r="JJ86" i="3"/>
  <c r="JI86" i="3"/>
  <c r="JH86" i="3"/>
  <c r="JG86" i="3"/>
  <c r="JF86" i="3"/>
  <c r="JE86" i="3"/>
  <c r="JD86" i="3"/>
  <c r="JC86" i="3"/>
  <c r="JB86" i="3"/>
  <c r="JA86" i="3"/>
  <c r="IZ86" i="3"/>
  <c r="IY86" i="3"/>
  <c r="IX86" i="3"/>
  <c r="IW86" i="3"/>
  <c r="IV86" i="3"/>
  <c r="IU86" i="3"/>
  <c r="IT86" i="3"/>
  <c r="IS86" i="3"/>
  <c r="IR86" i="3"/>
  <c r="IQ86" i="3"/>
  <c r="IP86" i="3"/>
  <c r="IO86" i="3"/>
  <c r="IN86" i="3"/>
  <c r="IM86" i="3"/>
  <c r="IL86" i="3"/>
  <c r="IK86" i="3"/>
  <c r="IJ86" i="3"/>
  <c r="II86" i="3"/>
  <c r="IH86" i="3"/>
  <c r="IG86" i="3"/>
  <c r="IF86" i="3"/>
  <c r="IE86" i="3"/>
  <c r="ID86" i="3"/>
  <c r="IC86" i="3"/>
  <c r="IB86" i="3"/>
  <c r="IA86" i="3"/>
  <c r="HZ86" i="3"/>
  <c r="HY86" i="3"/>
  <c r="HX86" i="3"/>
  <c r="HW86" i="3"/>
  <c r="HV86" i="3"/>
  <c r="HU86" i="3"/>
  <c r="HT86" i="3"/>
  <c r="HS86" i="3"/>
  <c r="HR86" i="3"/>
  <c r="HQ86" i="3"/>
  <c r="HP86" i="3"/>
  <c r="HO86" i="3"/>
  <c r="HN86" i="3"/>
  <c r="HM86" i="3"/>
  <c r="HL86" i="3"/>
  <c r="HK86" i="3"/>
  <c r="HJ86" i="3"/>
  <c r="HI86" i="3"/>
  <c r="HH86" i="3"/>
  <c r="HG86" i="3"/>
  <c r="HF86" i="3"/>
  <c r="HE86" i="3"/>
  <c r="HD86" i="3"/>
  <c r="HC86" i="3"/>
  <c r="HB86" i="3"/>
  <c r="HA86" i="3"/>
  <c r="GZ86" i="3"/>
  <c r="GY86" i="3"/>
  <c r="GX86" i="3"/>
  <c r="GW86" i="3"/>
  <c r="GV86" i="3"/>
  <c r="GU86" i="3"/>
  <c r="GT86" i="3"/>
  <c r="GS86" i="3"/>
  <c r="GR86" i="3"/>
  <c r="GQ86" i="3"/>
  <c r="GP86" i="3"/>
  <c r="GO86" i="3"/>
  <c r="GN86" i="3"/>
  <c r="GM86" i="3"/>
  <c r="GL86" i="3"/>
  <c r="GK86" i="3"/>
  <c r="GJ86" i="3"/>
  <c r="GI86" i="3"/>
  <c r="GH86" i="3"/>
  <c r="GG86" i="3"/>
  <c r="GF86" i="3"/>
  <c r="GE86" i="3"/>
  <c r="GD86" i="3"/>
  <c r="GC86" i="3"/>
  <c r="GB86" i="3"/>
  <c r="GA86" i="3"/>
  <c r="FZ86" i="3"/>
  <c r="FY86" i="3"/>
  <c r="FX86" i="3"/>
  <c r="FW86" i="3"/>
  <c r="FV86" i="3"/>
  <c r="FU86" i="3"/>
  <c r="FT86" i="3"/>
  <c r="FS86" i="3"/>
  <c r="FR86" i="3"/>
  <c r="FQ86" i="3"/>
  <c r="FP86" i="3"/>
  <c r="FO86" i="3"/>
  <c r="FN86" i="3"/>
  <c r="FM86" i="3"/>
  <c r="FL86" i="3"/>
  <c r="FK86" i="3"/>
  <c r="FJ86" i="3"/>
  <c r="FI86" i="3"/>
  <c r="FH86" i="3"/>
  <c r="FG86" i="3"/>
  <c r="FF86" i="3"/>
  <c r="FE86" i="3"/>
  <c r="FD86" i="3"/>
  <c r="FC86" i="3"/>
  <c r="FB86" i="3"/>
  <c r="FA86" i="3"/>
  <c r="EZ86" i="3"/>
  <c r="EY86" i="3"/>
  <c r="EX86" i="3"/>
  <c r="EW86" i="3"/>
  <c r="EV86" i="3"/>
  <c r="EU86" i="3"/>
  <c r="ET86" i="3"/>
  <c r="ES86" i="3"/>
  <c r="ER86" i="3"/>
  <c r="EQ86" i="3"/>
  <c r="EP86" i="3"/>
  <c r="EO86" i="3"/>
  <c r="EN86" i="3"/>
  <c r="EM86" i="3"/>
  <c r="EL86" i="3"/>
  <c r="EK86" i="3"/>
  <c r="EJ86" i="3"/>
  <c r="EI86" i="3"/>
  <c r="EH86" i="3"/>
  <c r="EG86" i="3"/>
  <c r="EF86" i="3"/>
  <c r="EE86" i="3"/>
  <c r="ED86" i="3"/>
  <c r="EC86" i="3"/>
  <c r="EB86" i="3"/>
  <c r="EA86" i="3"/>
  <c r="DZ86" i="3"/>
  <c r="DY86" i="3"/>
  <c r="DX86" i="3"/>
  <c r="DW86" i="3"/>
  <c r="DV86" i="3"/>
  <c r="DU86" i="3"/>
  <c r="DT86" i="3"/>
  <c r="KF85" i="3"/>
  <c r="KE85" i="3"/>
  <c r="KD85" i="3"/>
  <c r="KC85" i="3"/>
  <c r="KB85" i="3"/>
  <c r="KA85" i="3"/>
  <c r="JZ85" i="3"/>
  <c r="JY85" i="3"/>
  <c r="JX85" i="3"/>
  <c r="JW85" i="3"/>
  <c r="JV85" i="3"/>
  <c r="JU85" i="3"/>
  <c r="JT85" i="3"/>
  <c r="JS85" i="3"/>
  <c r="JR85" i="3"/>
  <c r="JQ85" i="3"/>
  <c r="JP85" i="3"/>
  <c r="JO85" i="3"/>
  <c r="JN85" i="3"/>
  <c r="JM85" i="3"/>
  <c r="JL85" i="3"/>
  <c r="JK85" i="3"/>
  <c r="JJ85" i="3"/>
  <c r="JI85" i="3"/>
  <c r="JH85" i="3"/>
  <c r="JG85" i="3"/>
  <c r="JF85" i="3"/>
  <c r="JE85" i="3"/>
  <c r="JD85" i="3"/>
  <c r="JC85" i="3"/>
  <c r="JB85" i="3"/>
  <c r="JA85" i="3"/>
  <c r="IZ85" i="3"/>
  <c r="IY85" i="3"/>
  <c r="IX85" i="3"/>
  <c r="IW85" i="3"/>
  <c r="IV85" i="3"/>
  <c r="IU85" i="3"/>
  <c r="IT85" i="3"/>
  <c r="IS85" i="3"/>
  <c r="IR85" i="3"/>
  <c r="IQ85" i="3"/>
  <c r="IP85" i="3"/>
  <c r="IO85" i="3"/>
  <c r="IN85" i="3"/>
  <c r="IM85" i="3"/>
  <c r="IL85" i="3"/>
  <c r="IK85" i="3"/>
  <c r="IJ85" i="3"/>
  <c r="II85" i="3"/>
  <c r="IH85" i="3"/>
  <c r="IG85" i="3"/>
  <c r="IF85" i="3"/>
  <c r="IE85" i="3"/>
  <c r="ID85" i="3"/>
  <c r="IC85" i="3"/>
  <c r="IB85" i="3"/>
  <c r="IA85" i="3"/>
  <c r="HZ85" i="3"/>
  <c r="HY85" i="3"/>
  <c r="HX85" i="3"/>
  <c r="HW85" i="3"/>
  <c r="HV85" i="3"/>
  <c r="HU85" i="3"/>
  <c r="HT85" i="3"/>
  <c r="HS85" i="3"/>
  <c r="HR85" i="3"/>
  <c r="HQ85" i="3"/>
  <c r="HP85" i="3"/>
  <c r="HO85" i="3"/>
  <c r="HN85" i="3"/>
  <c r="HM85" i="3"/>
  <c r="HL85" i="3"/>
  <c r="HK85" i="3"/>
  <c r="HJ85" i="3"/>
  <c r="HI85" i="3"/>
  <c r="HH85" i="3"/>
  <c r="HG85" i="3"/>
  <c r="HF85" i="3"/>
  <c r="HE85" i="3"/>
  <c r="HD85" i="3"/>
  <c r="HC85" i="3"/>
  <c r="HB85" i="3"/>
  <c r="HA85" i="3"/>
  <c r="GZ85" i="3"/>
  <c r="GY85" i="3"/>
  <c r="GX85" i="3"/>
  <c r="GW85" i="3"/>
  <c r="GV85" i="3"/>
  <c r="GU85" i="3"/>
  <c r="GT85" i="3"/>
  <c r="GS85" i="3"/>
  <c r="GR85" i="3"/>
  <c r="GQ85" i="3"/>
  <c r="GP85" i="3"/>
  <c r="GO85" i="3"/>
  <c r="GN85" i="3"/>
  <c r="GM85" i="3"/>
  <c r="GL85" i="3"/>
  <c r="GK85" i="3"/>
  <c r="GJ85" i="3"/>
  <c r="GI85" i="3"/>
  <c r="GH85" i="3"/>
  <c r="GG85" i="3"/>
  <c r="GF85" i="3"/>
  <c r="GE85" i="3"/>
  <c r="GD85" i="3"/>
  <c r="GC85" i="3"/>
  <c r="GB85" i="3"/>
  <c r="GA85" i="3"/>
  <c r="FZ85" i="3"/>
  <c r="FY85" i="3"/>
  <c r="FX85" i="3"/>
  <c r="FW85" i="3"/>
  <c r="FV85" i="3"/>
  <c r="FU85" i="3"/>
  <c r="FT85" i="3"/>
  <c r="FS85" i="3"/>
  <c r="FR85" i="3"/>
  <c r="FQ85" i="3"/>
  <c r="FP85" i="3"/>
  <c r="FO85" i="3"/>
  <c r="FN85" i="3"/>
  <c r="FM85" i="3"/>
  <c r="FL85" i="3"/>
  <c r="FK85" i="3"/>
  <c r="FJ85" i="3"/>
  <c r="FI85" i="3"/>
  <c r="FH85" i="3"/>
  <c r="FG85" i="3"/>
  <c r="FF85" i="3"/>
  <c r="FE85" i="3"/>
  <c r="FD85" i="3"/>
  <c r="FC85" i="3"/>
  <c r="FB85" i="3"/>
  <c r="FA85" i="3"/>
  <c r="EZ85" i="3"/>
  <c r="EY85" i="3"/>
  <c r="EX85" i="3"/>
  <c r="EW85" i="3"/>
  <c r="EV85" i="3"/>
  <c r="EU85" i="3"/>
  <c r="ET85" i="3"/>
  <c r="ES85" i="3"/>
  <c r="ER85" i="3"/>
  <c r="EQ85" i="3"/>
  <c r="EP85" i="3"/>
  <c r="EO85" i="3"/>
  <c r="EN85" i="3"/>
  <c r="EM85" i="3"/>
  <c r="EL85" i="3"/>
  <c r="EK85" i="3"/>
  <c r="EJ85" i="3"/>
  <c r="EI85" i="3"/>
  <c r="EH85" i="3"/>
  <c r="EG85" i="3"/>
  <c r="EF85" i="3"/>
  <c r="EE85" i="3"/>
  <c r="ED85" i="3"/>
  <c r="EC85" i="3"/>
  <c r="EB85" i="3"/>
  <c r="EA85" i="3"/>
  <c r="DZ85" i="3"/>
  <c r="DY85" i="3"/>
  <c r="DX85" i="3"/>
  <c r="DW85" i="3"/>
  <c r="DV85" i="3"/>
  <c r="DU85" i="3"/>
  <c r="DT85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H56" i="3"/>
  <c r="G56" i="3"/>
  <c r="F56" i="3"/>
  <c r="E56" i="3"/>
  <c r="D56" i="3"/>
  <c r="C56" i="3"/>
  <c r="B56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E78" i="60"/>
  <c r="F78" i="60" s="1"/>
  <c r="BD29" i="3"/>
  <c r="P5" i="5" s="1"/>
  <c r="P6" i="5" s="1"/>
  <c r="BC29" i="3"/>
  <c r="BD28" i="3"/>
  <c r="BC28" i="3"/>
  <c r="BD24" i="3"/>
  <c r="O5" i="5" s="1"/>
  <c r="O6" i="5" s="1"/>
  <c r="BC24" i="3"/>
  <c r="BD23" i="3"/>
  <c r="O4" i="5" s="1"/>
  <c r="BC23" i="3"/>
  <c r="BD19" i="3"/>
  <c r="BC19" i="3"/>
  <c r="BD18" i="3"/>
  <c r="N4" i="5" s="1"/>
  <c r="BC18" i="3"/>
  <c r="BC14" i="3"/>
  <c r="BD14" i="3" s="1"/>
  <c r="M5" i="5" s="1"/>
  <c r="M6" i="5" s="1"/>
  <c r="BC13" i="3"/>
  <c r="BD13" i="3" s="1"/>
  <c r="M4" i="5" s="1"/>
  <c r="BD9" i="3"/>
  <c r="BC9" i="3"/>
  <c r="L5" i="5" s="1"/>
  <c r="L6" i="5" s="1"/>
  <c r="BD8" i="3"/>
  <c r="BC8" i="3"/>
  <c r="L4" i="5" s="1"/>
  <c r="BC4" i="3"/>
  <c r="BC3" i="3"/>
  <c r="D19" i="5"/>
  <c r="C19" i="5"/>
  <c r="E12" i="5"/>
  <c r="D12" i="5"/>
  <c r="C12" i="5"/>
  <c r="K11" i="5"/>
  <c r="K12" i="5" s="1"/>
  <c r="N6" i="5"/>
  <c r="K6" i="5"/>
  <c r="J6" i="5"/>
  <c r="I6" i="5"/>
  <c r="H6" i="5"/>
  <c r="G6" i="5"/>
  <c r="F6" i="5"/>
  <c r="E6" i="5"/>
  <c r="P4" i="5"/>
  <c r="D3" i="5"/>
  <c r="D6" i="5" s="1"/>
  <c r="C3" i="5"/>
  <c r="C6" i="5" s="1"/>
  <c r="C54" i="58" l="1"/>
  <c r="E46" i="58"/>
  <c r="H18" i="5"/>
  <c r="H19" i="5" s="1"/>
  <c r="I17" i="5"/>
  <c r="I18" i="5"/>
  <c r="I19" i="5" s="1"/>
  <c r="C298" i="3"/>
  <c r="C300" i="3"/>
  <c r="C299" i="3"/>
  <c r="C291" i="3"/>
  <c r="K299" i="3"/>
  <c r="K298" i="3"/>
  <c r="K300" i="3"/>
  <c r="S298" i="3"/>
  <c r="S300" i="3"/>
  <c r="S299" i="3"/>
  <c r="AA298" i="3"/>
  <c r="AA299" i="3"/>
  <c r="AA300" i="3"/>
  <c r="AM299" i="3"/>
  <c r="AM300" i="3"/>
  <c r="AM298" i="3"/>
  <c r="D298" i="3"/>
  <c r="D299" i="3"/>
  <c r="D300" i="3"/>
  <c r="H298" i="3"/>
  <c r="H299" i="3"/>
  <c r="H300" i="3"/>
  <c r="L298" i="3"/>
  <c r="L299" i="3"/>
  <c r="L300" i="3"/>
  <c r="P298" i="3"/>
  <c r="P299" i="3"/>
  <c r="P300" i="3"/>
  <c r="T298" i="3"/>
  <c r="T299" i="3"/>
  <c r="T300" i="3"/>
  <c r="X298" i="3"/>
  <c r="X299" i="3"/>
  <c r="X300" i="3"/>
  <c r="AB298" i="3"/>
  <c r="AB299" i="3"/>
  <c r="AB300" i="3"/>
  <c r="AF298" i="3"/>
  <c r="AF299" i="3"/>
  <c r="AF300" i="3"/>
  <c r="AJ298" i="3"/>
  <c r="AJ299" i="3"/>
  <c r="AJ300" i="3"/>
  <c r="AN298" i="3"/>
  <c r="AN299" i="3"/>
  <c r="AN300" i="3"/>
  <c r="AR298" i="3"/>
  <c r="AR299" i="3"/>
  <c r="AR300" i="3"/>
  <c r="AV298" i="3"/>
  <c r="AV299" i="3"/>
  <c r="AV300" i="3"/>
  <c r="AZ298" i="3"/>
  <c r="AZ299" i="3"/>
  <c r="AZ300" i="3"/>
  <c r="G298" i="3"/>
  <c r="G299" i="3"/>
  <c r="G300" i="3"/>
  <c r="O299" i="3"/>
  <c r="O298" i="3"/>
  <c r="O300" i="3"/>
  <c r="W298" i="3"/>
  <c r="W299" i="3"/>
  <c r="W300" i="3"/>
  <c r="AE298" i="3"/>
  <c r="AE299" i="3"/>
  <c r="AE300" i="3"/>
  <c r="AI300" i="3"/>
  <c r="AI298" i="3"/>
  <c r="AI299" i="3"/>
  <c r="AQ298" i="3"/>
  <c r="AQ299" i="3"/>
  <c r="AQ300" i="3"/>
  <c r="AU298" i="3"/>
  <c r="AU299" i="3"/>
  <c r="AU300" i="3"/>
  <c r="AY300" i="3"/>
  <c r="AY298" i="3"/>
  <c r="AY299" i="3"/>
  <c r="BC299" i="3"/>
  <c r="BC300" i="3"/>
  <c r="BC298" i="3"/>
  <c r="E300" i="3"/>
  <c r="E298" i="3"/>
  <c r="E299" i="3"/>
  <c r="I298" i="3"/>
  <c r="I299" i="3"/>
  <c r="I300" i="3"/>
  <c r="M298" i="3"/>
  <c r="M299" i="3"/>
  <c r="M300" i="3"/>
  <c r="Q298" i="3"/>
  <c r="Q299" i="3"/>
  <c r="Q300" i="3"/>
  <c r="U298" i="3"/>
  <c r="U299" i="3"/>
  <c r="U300" i="3"/>
  <c r="Y298" i="3"/>
  <c r="Y299" i="3"/>
  <c r="Y300" i="3"/>
  <c r="AC298" i="3"/>
  <c r="AC299" i="3"/>
  <c r="AC300" i="3"/>
  <c r="AG298" i="3"/>
  <c r="AG299" i="3"/>
  <c r="AG300" i="3"/>
  <c r="AK298" i="3"/>
  <c r="AK299" i="3"/>
  <c r="AK300" i="3"/>
  <c r="AO298" i="3"/>
  <c r="AO300" i="3"/>
  <c r="AO299" i="3"/>
  <c r="AS299" i="3"/>
  <c r="AS298" i="3"/>
  <c r="AS300" i="3"/>
  <c r="AW298" i="3"/>
  <c r="AW299" i="3"/>
  <c r="AW300" i="3"/>
  <c r="BA298" i="3"/>
  <c r="BA299" i="3"/>
  <c r="BA300" i="3"/>
  <c r="F299" i="3"/>
  <c r="F298" i="3"/>
  <c r="F300" i="3"/>
  <c r="J298" i="3"/>
  <c r="J299" i="3"/>
  <c r="J300" i="3"/>
  <c r="N298" i="3"/>
  <c r="N299" i="3"/>
  <c r="N300" i="3"/>
  <c r="R298" i="3"/>
  <c r="R300" i="3"/>
  <c r="R299" i="3"/>
  <c r="V298" i="3"/>
  <c r="V299" i="3"/>
  <c r="V300" i="3"/>
  <c r="Z298" i="3"/>
  <c r="Z299" i="3"/>
  <c r="Z300" i="3"/>
  <c r="AD298" i="3"/>
  <c r="AD300" i="3"/>
  <c r="AD299" i="3"/>
  <c r="AH299" i="3"/>
  <c r="AH298" i="3"/>
  <c r="AH300" i="3"/>
  <c r="AL298" i="3"/>
  <c r="AL300" i="3"/>
  <c r="AL299" i="3"/>
  <c r="AP298" i="3"/>
  <c r="AP299" i="3"/>
  <c r="AP300" i="3"/>
  <c r="AT299" i="3"/>
  <c r="AT298" i="3"/>
  <c r="AT300" i="3"/>
  <c r="AX300" i="3"/>
  <c r="AX299" i="3"/>
  <c r="AX298" i="3"/>
  <c r="BB298" i="3"/>
  <c r="BB299" i="3"/>
  <c r="BB300" i="3"/>
  <c r="G268" i="3"/>
  <c r="G292" i="3"/>
  <c r="G293" i="3"/>
  <c r="G291" i="3"/>
  <c r="O268" i="3"/>
  <c r="O292" i="3"/>
  <c r="O291" i="3"/>
  <c r="O293" i="3"/>
  <c r="W268" i="3"/>
  <c r="W292" i="3"/>
  <c r="W291" i="3"/>
  <c r="W293" i="3"/>
  <c r="AI269" i="3"/>
  <c r="AI292" i="3"/>
  <c r="AI293" i="3"/>
  <c r="AI291" i="3"/>
  <c r="AU268" i="3"/>
  <c r="AU292" i="3"/>
  <c r="AU293" i="3"/>
  <c r="AU291" i="3"/>
  <c r="D293" i="3"/>
  <c r="D292" i="3"/>
  <c r="D291" i="3"/>
  <c r="H293" i="3"/>
  <c r="H292" i="3"/>
  <c r="H291" i="3"/>
  <c r="L293" i="3"/>
  <c r="L292" i="3"/>
  <c r="L291" i="3"/>
  <c r="P293" i="3"/>
  <c r="P292" i="3"/>
  <c r="P291" i="3"/>
  <c r="T293" i="3"/>
  <c r="T292" i="3"/>
  <c r="T291" i="3"/>
  <c r="X293" i="3"/>
  <c r="X292" i="3"/>
  <c r="X291" i="3"/>
  <c r="AB293" i="3"/>
  <c r="AB292" i="3"/>
  <c r="AB291" i="3"/>
  <c r="AF293" i="3"/>
  <c r="AF292" i="3"/>
  <c r="AF291" i="3"/>
  <c r="AJ293" i="3"/>
  <c r="AJ292" i="3"/>
  <c r="AJ291" i="3"/>
  <c r="AN293" i="3"/>
  <c r="AN292" i="3"/>
  <c r="AN291" i="3"/>
  <c r="AR293" i="3"/>
  <c r="AR292" i="3"/>
  <c r="AR291" i="3"/>
  <c r="AV293" i="3"/>
  <c r="AV292" i="3"/>
  <c r="AV291" i="3"/>
  <c r="AZ293" i="3"/>
  <c r="AZ292" i="3"/>
  <c r="AZ291" i="3"/>
  <c r="BC292" i="3"/>
  <c r="BC293" i="3"/>
  <c r="BC291" i="3"/>
  <c r="K269" i="3"/>
  <c r="K272" i="3" s="1"/>
  <c r="K292" i="3"/>
  <c r="K291" i="3"/>
  <c r="K293" i="3"/>
  <c r="S269" i="3"/>
  <c r="S292" i="3"/>
  <c r="S293" i="3"/>
  <c r="S291" i="3"/>
  <c r="AE268" i="3"/>
  <c r="AE292" i="3"/>
  <c r="AE291" i="3"/>
  <c r="AE293" i="3"/>
  <c r="AM269" i="3"/>
  <c r="AM292" i="3"/>
  <c r="AM291" i="3"/>
  <c r="AM293" i="3"/>
  <c r="AQ269" i="3"/>
  <c r="AQ292" i="3"/>
  <c r="AQ291" i="3"/>
  <c r="AQ293" i="3"/>
  <c r="AY268" i="3"/>
  <c r="AY292" i="3"/>
  <c r="AY291" i="3"/>
  <c r="AY293" i="3"/>
  <c r="E268" i="3"/>
  <c r="E291" i="3"/>
  <c r="E293" i="3"/>
  <c r="E292" i="3"/>
  <c r="I269" i="3"/>
  <c r="I291" i="3"/>
  <c r="I293" i="3"/>
  <c r="I292" i="3"/>
  <c r="M268" i="3"/>
  <c r="M293" i="3"/>
  <c r="M291" i="3"/>
  <c r="M292" i="3"/>
  <c r="Q269" i="3"/>
  <c r="Q291" i="3"/>
  <c r="Q293" i="3"/>
  <c r="Q292" i="3"/>
  <c r="U268" i="3"/>
  <c r="U291" i="3"/>
  <c r="U293" i="3"/>
  <c r="U292" i="3"/>
  <c r="Y269" i="3"/>
  <c r="Y291" i="3"/>
  <c r="Y293" i="3"/>
  <c r="Y292" i="3"/>
  <c r="AC268" i="3"/>
  <c r="AC293" i="3"/>
  <c r="AC292" i="3"/>
  <c r="AC291" i="3"/>
  <c r="AG269" i="3"/>
  <c r="AG273" i="3" s="1"/>
  <c r="AG291" i="3"/>
  <c r="AG293" i="3"/>
  <c r="AG292" i="3"/>
  <c r="AK268" i="3"/>
  <c r="AK293" i="3"/>
  <c r="AK291" i="3"/>
  <c r="AK292" i="3"/>
  <c r="AO269" i="3"/>
  <c r="AO293" i="3"/>
  <c r="AO291" i="3"/>
  <c r="AO292" i="3"/>
  <c r="AS268" i="3"/>
  <c r="AS293" i="3"/>
  <c r="AS291" i="3"/>
  <c r="AS292" i="3"/>
  <c r="AW269" i="3"/>
  <c r="AW293" i="3"/>
  <c r="AW291" i="3"/>
  <c r="AW292" i="3"/>
  <c r="BA268" i="3"/>
  <c r="BA293" i="3"/>
  <c r="BA291" i="3"/>
  <c r="BA292" i="3"/>
  <c r="C269" i="3"/>
  <c r="C293" i="3"/>
  <c r="C292" i="3"/>
  <c r="C284" i="3"/>
  <c r="AA269" i="3"/>
  <c r="AA292" i="3"/>
  <c r="AA291" i="3"/>
  <c r="AA293" i="3"/>
  <c r="F291" i="3"/>
  <c r="F293" i="3"/>
  <c r="F292" i="3"/>
  <c r="J291" i="3"/>
  <c r="J292" i="3"/>
  <c r="J293" i="3"/>
  <c r="N291" i="3"/>
  <c r="N292" i="3"/>
  <c r="N293" i="3"/>
  <c r="R291" i="3"/>
  <c r="R292" i="3"/>
  <c r="R293" i="3"/>
  <c r="V291" i="3"/>
  <c r="V293" i="3"/>
  <c r="V292" i="3"/>
  <c r="Z291" i="3"/>
  <c r="Z292" i="3"/>
  <c r="Z293" i="3"/>
  <c r="AD291" i="3"/>
  <c r="AD292" i="3"/>
  <c r="AD293" i="3"/>
  <c r="AH291" i="3"/>
  <c r="AH293" i="3"/>
  <c r="AH292" i="3"/>
  <c r="AL291" i="3"/>
  <c r="AL292" i="3"/>
  <c r="AL293" i="3"/>
  <c r="AP291" i="3"/>
  <c r="AP292" i="3"/>
  <c r="AP293" i="3"/>
  <c r="AT291" i="3"/>
  <c r="AT293" i="3"/>
  <c r="AT292" i="3"/>
  <c r="AX291" i="3"/>
  <c r="AX292" i="3"/>
  <c r="AX293" i="3"/>
  <c r="BB291" i="3"/>
  <c r="BB292" i="3"/>
  <c r="BB293" i="3"/>
  <c r="F57" i="60"/>
  <c r="E58" i="60" s="1"/>
  <c r="I57" i="60"/>
  <c r="BD281" i="3"/>
  <c r="Y268" i="3"/>
  <c r="AG268" i="3"/>
  <c r="E269" i="3"/>
  <c r="M269" i="3"/>
  <c r="I268" i="3"/>
  <c r="AO268" i="3"/>
  <c r="U269" i="3"/>
  <c r="Q268" i="3"/>
  <c r="AW268" i="3"/>
  <c r="AW271" i="3" s="1"/>
  <c r="BN140" i="3"/>
  <c r="BD275" i="3"/>
  <c r="BN214" i="3"/>
  <c r="BN215" i="3"/>
  <c r="BO215" i="3"/>
  <c r="BO218" i="3"/>
  <c r="BO219" i="3"/>
  <c r="C268" i="3"/>
  <c r="C272" i="3" s="1"/>
  <c r="K268" i="3"/>
  <c r="S268" i="3"/>
  <c r="AA268" i="3"/>
  <c r="AI268" i="3"/>
  <c r="AQ268" i="3"/>
  <c r="G269" i="3"/>
  <c r="G272" i="3" s="1"/>
  <c r="O269" i="3"/>
  <c r="O271" i="3" s="1"/>
  <c r="W269" i="3"/>
  <c r="W272" i="3" s="1"/>
  <c r="AE269" i="3"/>
  <c r="BO211" i="3"/>
  <c r="AU269" i="3"/>
  <c r="BN218" i="3"/>
  <c r="BN219" i="3"/>
  <c r="BO223" i="3"/>
  <c r="BO224" i="3"/>
  <c r="AM268" i="3"/>
  <c r="BN143" i="3"/>
  <c r="BO148" i="3"/>
  <c r="BN139" i="3"/>
  <c r="BO139" i="3"/>
  <c r="BO140" i="3"/>
  <c r="BO144" i="3"/>
  <c r="BO147" i="3"/>
  <c r="BN45" i="3"/>
  <c r="BN51" i="3" s="1"/>
  <c r="BN55" i="3"/>
  <c r="BN60" i="3"/>
  <c r="BN61" i="3"/>
  <c r="BN65" i="3"/>
  <c r="BN46" i="3"/>
  <c r="BN52" i="3" s="1"/>
  <c r="BN56" i="3"/>
  <c r="C59" i="58" s="1"/>
  <c r="C65" i="58" s="1"/>
  <c r="BO55" i="3"/>
  <c r="BO56" i="3"/>
  <c r="C60" i="58" s="1"/>
  <c r="D65" i="58" s="1"/>
  <c r="BO60" i="3"/>
  <c r="BO61" i="3"/>
  <c r="BN66" i="3"/>
  <c r="D286" i="3"/>
  <c r="D285" i="3"/>
  <c r="D284" i="3"/>
  <c r="D278" i="3"/>
  <c r="D280" i="3"/>
  <c r="D279" i="3"/>
  <c r="H286" i="3"/>
  <c r="H285" i="3"/>
  <c r="H284" i="3"/>
  <c r="H278" i="3"/>
  <c r="H280" i="3"/>
  <c r="H279" i="3"/>
  <c r="L286" i="3"/>
  <c r="L285" i="3"/>
  <c r="L284" i="3"/>
  <c r="L278" i="3"/>
  <c r="L280" i="3"/>
  <c r="L279" i="3"/>
  <c r="P286" i="3"/>
  <c r="P285" i="3"/>
  <c r="P284" i="3"/>
  <c r="P278" i="3"/>
  <c r="P280" i="3"/>
  <c r="P279" i="3"/>
  <c r="T286" i="3"/>
  <c r="T285" i="3"/>
  <c r="T284" i="3"/>
  <c r="T278" i="3"/>
  <c r="T280" i="3"/>
  <c r="T279" i="3"/>
  <c r="X286" i="3"/>
  <c r="X285" i="3"/>
  <c r="X284" i="3"/>
  <c r="X278" i="3"/>
  <c r="X280" i="3"/>
  <c r="X279" i="3"/>
  <c r="AB286" i="3"/>
  <c r="AB285" i="3"/>
  <c r="AB284" i="3"/>
  <c r="AB278" i="3"/>
  <c r="AB269" i="3"/>
  <c r="AB280" i="3"/>
  <c r="AB279" i="3"/>
  <c r="AF286" i="3"/>
  <c r="AF285" i="3"/>
  <c r="AF284" i="3"/>
  <c r="AF278" i="3"/>
  <c r="AF269" i="3"/>
  <c r="AF280" i="3"/>
  <c r="AF279" i="3"/>
  <c r="AJ286" i="3"/>
  <c r="AJ285" i="3"/>
  <c r="AJ284" i="3"/>
  <c r="AJ278" i="3"/>
  <c r="AJ269" i="3"/>
  <c r="AJ280" i="3"/>
  <c r="AJ279" i="3"/>
  <c r="AN286" i="3"/>
  <c r="AN285" i="3"/>
  <c r="AN284" i="3"/>
  <c r="AN278" i="3"/>
  <c r="AN269" i="3"/>
  <c r="AN280" i="3"/>
  <c r="AN279" i="3"/>
  <c r="AR286" i="3"/>
  <c r="AR285" i="3"/>
  <c r="AR284" i="3"/>
  <c r="AR278" i="3"/>
  <c r="AR269" i="3"/>
  <c r="AR280" i="3"/>
  <c r="AR279" i="3"/>
  <c r="AV286" i="3"/>
  <c r="AV285" i="3"/>
  <c r="AV284" i="3"/>
  <c r="AV278" i="3"/>
  <c r="AV269" i="3"/>
  <c r="AV280" i="3"/>
  <c r="AV279" i="3"/>
  <c r="AZ286" i="3"/>
  <c r="AZ285" i="3"/>
  <c r="AZ284" i="3"/>
  <c r="AZ278" i="3"/>
  <c r="AZ269" i="3"/>
  <c r="AZ280" i="3"/>
  <c r="AZ279" i="3"/>
  <c r="BO51" i="3"/>
  <c r="BO52" i="3"/>
  <c r="BO136" i="3"/>
  <c r="BO143" i="3"/>
  <c r="E286" i="3"/>
  <c r="E285" i="3"/>
  <c r="E284" i="3"/>
  <c r="E280" i="3"/>
  <c r="E279" i="3"/>
  <c r="E278" i="3"/>
  <c r="I286" i="3"/>
  <c r="I285" i="3"/>
  <c r="I284" i="3"/>
  <c r="I280" i="3"/>
  <c r="I279" i="3"/>
  <c r="I278" i="3"/>
  <c r="M286" i="3"/>
  <c r="M285" i="3"/>
  <c r="M284" i="3"/>
  <c r="M280" i="3"/>
  <c r="M279" i="3"/>
  <c r="M278" i="3"/>
  <c r="Q286" i="3"/>
  <c r="Q285" i="3"/>
  <c r="Q284" i="3"/>
  <c r="Q280" i="3"/>
  <c r="Q279" i="3"/>
  <c r="Q278" i="3"/>
  <c r="U286" i="3"/>
  <c r="U285" i="3"/>
  <c r="U284" i="3"/>
  <c r="U280" i="3"/>
  <c r="U279" i="3"/>
  <c r="U278" i="3"/>
  <c r="Y286" i="3"/>
  <c r="Y285" i="3"/>
  <c r="Y284" i="3"/>
  <c r="Y280" i="3"/>
  <c r="Y279" i="3"/>
  <c r="Y278" i="3"/>
  <c r="AC286" i="3"/>
  <c r="AC285" i="3"/>
  <c r="AC284" i="3"/>
  <c r="AC280" i="3"/>
  <c r="AC279" i="3"/>
  <c r="AC278" i="3"/>
  <c r="AG286" i="3"/>
  <c r="AG285" i="3"/>
  <c r="AG284" i="3"/>
  <c r="AG280" i="3"/>
  <c r="AG279" i="3"/>
  <c r="AG278" i="3"/>
  <c r="AK286" i="3"/>
  <c r="AK285" i="3"/>
  <c r="AK284" i="3"/>
  <c r="AK280" i="3"/>
  <c r="AK279" i="3"/>
  <c r="AK278" i="3"/>
  <c r="AO286" i="3"/>
  <c r="AO285" i="3"/>
  <c r="AO284" i="3"/>
  <c r="AO280" i="3"/>
  <c r="AO279" i="3"/>
  <c r="AO278" i="3"/>
  <c r="AS286" i="3"/>
  <c r="AS285" i="3"/>
  <c r="AS284" i="3"/>
  <c r="AS280" i="3"/>
  <c r="AS279" i="3"/>
  <c r="AS278" i="3"/>
  <c r="AW286" i="3"/>
  <c r="AW285" i="3"/>
  <c r="AW284" i="3"/>
  <c r="AW280" i="3"/>
  <c r="AW279" i="3"/>
  <c r="AW278" i="3"/>
  <c r="BA286" i="3"/>
  <c r="BA285" i="3"/>
  <c r="BA284" i="3"/>
  <c r="BA269" i="3"/>
  <c r="BA271" i="3" s="1"/>
  <c r="BA280" i="3"/>
  <c r="BA279" i="3"/>
  <c r="BA278" i="3"/>
  <c r="D268" i="3"/>
  <c r="H268" i="3"/>
  <c r="L268" i="3"/>
  <c r="P268" i="3"/>
  <c r="T268" i="3"/>
  <c r="X268" i="3"/>
  <c r="AB268" i="3"/>
  <c r="AF268" i="3"/>
  <c r="AJ268" i="3"/>
  <c r="AN268" i="3"/>
  <c r="AR268" i="3"/>
  <c r="AV268" i="3"/>
  <c r="AZ268" i="3"/>
  <c r="D269" i="3"/>
  <c r="H269" i="3"/>
  <c r="L269" i="3"/>
  <c r="P269" i="3"/>
  <c r="T269" i="3"/>
  <c r="X269" i="3"/>
  <c r="AC269" i="3"/>
  <c r="AC271" i="3" s="1"/>
  <c r="AK269" i="3"/>
  <c r="AK271" i="3" s="1"/>
  <c r="AS269" i="3"/>
  <c r="BN144" i="3"/>
  <c r="BN148" i="3"/>
  <c r="BO210" i="3"/>
  <c r="F284" i="3"/>
  <c r="F286" i="3"/>
  <c r="F285" i="3"/>
  <c r="F280" i="3"/>
  <c r="F279" i="3"/>
  <c r="F278" i="3"/>
  <c r="J284" i="3"/>
  <c r="J286" i="3"/>
  <c r="J285" i="3"/>
  <c r="J280" i="3"/>
  <c r="J279" i="3"/>
  <c r="J278" i="3"/>
  <c r="N284" i="3"/>
  <c r="N286" i="3"/>
  <c r="N285" i="3"/>
  <c r="N280" i="3"/>
  <c r="N279" i="3"/>
  <c r="N278" i="3"/>
  <c r="R284" i="3"/>
  <c r="R286" i="3"/>
  <c r="R285" i="3"/>
  <c r="R280" i="3"/>
  <c r="R279" i="3"/>
  <c r="R278" i="3"/>
  <c r="V284" i="3"/>
  <c r="V286" i="3"/>
  <c r="V285" i="3"/>
  <c r="V280" i="3"/>
  <c r="V279" i="3"/>
  <c r="V278" i="3"/>
  <c r="Z284" i="3"/>
  <c r="Z286" i="3"/>
  <c r="Z285" i="3"/>
  <c r="Z280" i="3"/>
  <c r="Z279" i="3"/>
  <c r="Z278" i="3"/>
  <c r="AD284" i="3"/>
  <c r="AD286" i="3"/>
  <c r="AD285" i="3"/>
  <c r="AD280" i="3"/>
  <c r="AD279" i="3"/>
  <c r="AD278" i="3"/>
  <c r="AD269" i="3"/>
  <c r="AH284" i="3"/>
  <c r="AH286" i="3"/>
  <c r="AH285" i="3"/>
  <c r="AH280" i="3"/>
  <c r="AH279" i="3"/>
  <c r="AH278" i="3"/>
  <c r="AH269" i="3"/>
  <c r="AL284" i="3"/>
  <c r="AL286" i="3"/>
  <c r="AL285" i="3"/>
  <c r="AL280" i="3"/>
  <c r="AL279" i="3"/>
  <c r="AL278" i="3"/>
  <c r="AL269" i="3"/>
  <c r="AP284" i="3"/>
  <c r="AP286" i="3"/>
  <c r="AP285" i="3"/>
  <c r="AP280" i="3"/>
  <c r="AP279" i="3"/>
  <c r="AP278" i="3"/>
  <c r="AP269" i="3"/>
  <c r="AT284" i="3"/>
  <c r="AT286" i="3"/>
  <c r="AT285" i="3"/>
  <c r="AT280" i="3"/>
  <c r="AT279" i="3"/>
  <c r="AT278" i="3"/>
  <c r="AT269" i="3"/>
  <c r="AX284" i="3"/>
  <c r="AX286" i="3"/>
  <c r="AX285" i="3"/>
  <c r="AX280" i="3"/>
  <c r="AX279" i="3"/>
  <c r="AX278" i="3"/>
  <c r="AX269" i="3"/>
  <c r="BB284" i="3"/>
  <c r="BB286" i="3"/>
  <c r="BB285" i="3"/>
  <c r="BB280" i="3"/>
  <c r="BB279" i="3"/>
  <c r="BB278" i="3"/>
  <c r="BB269" i="3"/>
  <c r="Q272" i="3"/>
  <c r="U271" i="3"/>
  <c r="U272" i="3"/>
  <c r="AO274" i="3"/>
  <c r="BO135" i="3"/>
  <c r="BO214" i="3"/>
  <c r="C286" i="3"/>
  <c r="C285" i="3"/>
  <c r="C279" i="3"/>
  <c r="C278" i="3"/>
  <c r="C280" i="3"/>
  <c r="G285" i="3"/>
  <c r="G284" i="3"/>
  <c r="G286" i="3"/>
  <c r="G279" i="3"/>
  <c r="G278" i="3"/>
  <c r="G280" i="3"/>
  <c r="K285" i="3"/>
  <c r="K284" i="3"/>
  <c r="K286" i="3"/>
  <c r="K279" i="3"/>
  <c r="K278" i="3"/>
  <c r="K280" i="3"/>
  <c r="O285" i="3"/>
  <c r="O284" i="3"/>
  <c r="O286" i="3"/>
  <c r="O279" i="3"/>
  <c r="O278" i="3"/>
  <c r="O280" i="3"/>
  <c r="S285" i="3"/>
  <c r="S284" i="3"/>
  <c r="S286" i="3"/>
  <c r="S279" i="3"/>
  <c r="S278" i="3"/>
  <c r="S280" i="3"/>
  <c r="W285" i="3"/>
  <c r="W284" i="3"/>
  <c r="W286" i="3"/>
  <c r="W279" i="3"/>
  <c r="W278" i="3"/>
  <c r="W280" i="3"/>
  <c r="AA285" i="3"/>
  <c r="AA284" i="3"/>
  <c r="AA286" i="3"/>
  <c r="AA279" i="3"/>
  <c r="AA278" i="3"/>
  <c r="AA280" i="3"/>
  <c r="AE285" i="3"/>
  <c r="AE284" i="3"/>
  <c r="AE286" i="3"/>
  <c r="AE279" i="3"/>
  <c r="AE278" i="3"/>
  <c r="AE280" i="3"/>
  <c r="AI285" i="3"/>
  <c r="AI284" i="3"/>
  <c r="AI286" i="3"/>
  <c r="AI279" i="3"/>
  <c r="AI278" i="3"/>
  <c r="AI280" i="3"/>
  <c r="AM285" i="3"/>
  <c r="AM284" i="3"/>
  <c r="AM286" i="3"/>
  <c r="AM279" i="3"/>
  <c r="AM278" i="3"/>
  <c r="AM280" i="3"/>
  <c r="AQ285" i="3"/>
  <c r="AQ284" i="3"/>
  <c r="AQ286" i="3"/>
  <c r="AQ279" i="3"/>
  <c r="AQ278" i="3"/>
  <c r="AQ280" i="3"/>
  <c r="AU285" i="3"/>
  <c r="AU284" i="3"/>
  <c r="AU286" i="3"/>
  <c r="AU279" i="3"/>
  <c r="AU278" i="3"/>
  <c r="AU280" i="3"/>
  <c r="AY285" i="3"/>
  <c r="AY284" i="3"/>
  <c r="AY286" i="3"/>
  <c r="AY279" i="3"/>
  <c r="AY278" i="3"/>
  <c r="AY269" i="3"/>
  <c r="AY280" i="3"/>
  <c r="BC285" i="3"/>
  <c r="BC284" i="3"/>
  <c r="BC286" i="3"/>
  <c r="BC279" i="3"/>
  <c r="BC278" i="3"/>
  <c r="BC280" i="3"/>
  <c r="F268" i="3"/>
  <c r="J268" i="3"/>
  <c r="N268" i="3"/>
  <c r="R268" i="3"/>
  <c r="V268" i="3"/>
  <c r="Z268" i="3"/>
  <c r="AD268" i="3"/>
  <c r="AH268" i="3"/>
  <c r="AL268" i="3"/>
  <c r="AP268" i="3"/>
  <c r="AT268" i="3"/>
  <c r="AX268" i="3"/>
  <c r="BB268" i="3"/>
  <c r="F269" i="3"/>
  <c r="J269" i="3"/>
  <c r="N269" i="3"/>
  <c r="R269" i="3"/>
  <c r="V269" i="3"/>
  <c r="Z269" i="3"/>
  <c r="BD287" i="3"/>
  <c r="BO66" i="3"/>
  <c r="Q6" i="5"/>
  <c r="G71" i="60"/>
  <c r="G70" i="60"/>
  <c r="BO65" i="3"/>
  <c r="AI272" i="3" l="1"/>
  <c r="AQ271" i="3"/>
  <c r="Y271" i="3"/>
  <c r="K271" i="3"/>
  <c r="O272" i="3"/>
  <c r="S272" i="3"/>
  <c r="AE271" i="3"/>
  <c r="AQ273" i="3"/>
  <c r="AU274" i="3"/>
  <c r="E271" i="3"/>
  <c r="E272" i="3"/>
  <c r="I271" i="3"/>
  <c r="AG271" i="3"/>
  <c r="AG274" i="3"/>
  <c r="AG272" i="3"/>
  <c r="AS272" i="3"/>
  <c r="AY273" i="3"/>
  <c r="AO271" i="3"/>
  <c r="I272" i="3"/>
  <c r="S271" i="3"/>
  <c r="AM271" i="3"/>
  <c r="BA273" i="3"/>
  <c r="AK274" i="3"/>
  <c r="AI271" i="3"/>
  <c r="AM273" i="3"/>
  <c r="BA272" i="3"/>
  <c r="AE273" i="3"/>
  <c r="AW273" i="3"/>
  <c r="G271" i="3"/>
  <c r="AW272" i="3"/>
  <c r="AK273" i="3"/>
  <c r="AM272" i="3"/>
  <c r="AI273" i="3"/>
  <c r="W271" i="3"/>
  <c r="AU272" i="3"/>
  <c r="AA272" i="3"/>
  <c r="Q271" i="3"/>
  <c r="M271" i="3"/>
  <c r="AW274" i="3"/>
  <c r="Y272" i="3"/>
  <c r="AM274" i="3"/>
  <c r="AI274" i="3"/>
  <c r="C271" i="3"/>
  <c r="AS273" i="3"/>
  <c r="AE274" i="3"/>
  <c r="AQ272" i="3"/>
  <c r="AO273" i="3"/>
  <c r="BC308" i="3"/>
  <c r="BC309" i="3"/>
  <c r="BC310" i="3"/>
  <c r="D58" i="60"/>
  <c r="AS274" i="3"/>
  <c r="AU271" i="3"/>
  <c r="AA271" i="3"/>
  <c r="AS271" i="3"/>
  <c r="M272" i="3"/>
  <c r="AU273" i="3"/>
  <c r="AO272" i="3"/>
  <c r="AK272" i="3"/>
  <c r="AQ274" i="3"/>
  <c r="AE272" i="3"/>
  <c r="BA274" i="3"/>
  <c r="AC272" i="3"/>
  <c r="AY272" i="3"/>
  <c r="D60" i="58"/>
  <c r="E65" i="58" s="1"/>
  <c r="AR274" i="3"/>
  <c r="AR272" i="3"/>
  <c r="AR273" i="3"/>
  <c r="AR271" i="3"/>
  <c r="AT274" i="3"/>
  <c r="AT272" i="3"/>
  <c r="AT273" i="3"/>
  <c r="AT271" i="3"/>
  <c r="AD272" i="3"/>
  <c r="AD271" i="3"/>
  <c r="N272" i="3"/>
  <c r="N271" i="3"/>
  <c r="AN274" i="3"/>
  <c r="AN272" i="3"/>
  <c r="AN273" i="3"/>
  <c r="AN271" i="3"/>
  <c r="X272" i="3"/>
  <c r="X271" i="3"/>
  <c r="H272" i="3"/>
  <c r="H271" i="3"/>
  <c r="AY274" i="3"/>
  <c r="AH272" i="3"/>
  <c r="AH271" i="3"/>
  <c r="AB273" i="3"/>
  <c r="AB272" i="3"/>
  <c r="AB271" i="3"/>
  <c r="AB274" i="3"/>
  <c r="AP274" i="3"/>
  <c r="AP272" i="3"/>
  <c r="AP273" i="3"/>
  <c r="AP271" i="3"/>
  <c r="Z272" i="3"/>
  <c r="Z271" i="3"/>
  <c r="J272" i="3"/>
  <c r="J271" i="3"/>
  <c r="AZ272" i="3"/>
  <c r="AZ271" i="3"/>
  <c r="AJ272" i="3"/>
  <c r="AJ271" i="3"/>
  <c r="T272" i="3"/>
  <c r="T271" i="3"/>
  <c r="D272" i="3"/>
  <c r="D271" i="3"/>
  <c r="AY271" i="3"/>
  <c r="AX274" i="3"/>
  <c r="AX272" i="3"/>
  <c r="AX273" i="3"/>
  <c r="AX271" i="3"/>
  <c r="R272" i="3"/>
  <c r="R271" i="3"/>
  <c r="L272" i="3"/>
  <c r="L271" i="3"/>
  <c r="BB272" i="3"/>
  <c r="BB271" i="3"/>
  <c r="AL274" i="3"/>
  <c r="AL272" i="3"/>
  <c r="AL273" i="3"/>
  <c r="AL271" i="3"/>
  <c r="V272" i="3"/>
  <c r="V271" i="3"/>
  <c r="F272" i="3"/>
  <c r="F271" i="3"/>
  <c r="AV274" i="3"/>
  <c r="AV272" i="3"/>
  <c r="AV273" i="3"/>
  <c r="AV271" i="3"/>
  <c r="AF272" i="3"/>
  <c r="AF271" i="3"/>
  <c r="P272" i="3"/>
  <c r="P271" i="3"/>
</calcChain>
</file>

<file path=xl/sharedStrings.xml><?xml version="1.0" encoding="utf-8"?>
<sst xmlns="http://schemas.openxmlformats.org/spreadsheetml/2006/main" count="2579" uniqueCount="195">
  <si>
    <t>Sucre</t>
  </si>
  <si>
    <t>Machareti</t>
  </si>
  <si>
    <t>Dengue</t>
  </si>
  <si>
    <t>Zika</t>
  </si>
  <si>
    <t>Total</t>
  </si>
  <si>
    <t>Tarija</t>
  </si>
  <si>
    <t>DENGUE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</si>
  <si>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</si>
  <si>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</si>
  <si>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</si>
  <si>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</si>
  <si>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</si>
  <si>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</si>
  <si>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</si>
  <si>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</si>
  <si>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</si>
  <si>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</si>
  <si>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</si>
  <si>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</si>
  <si>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</si>
  <si>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</si>
  <si>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</si>
  <si>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</si>
  <si>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</si>
  <si>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</si>
  <si>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</si>
  <si>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</si>
  <si>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</si>
  <si>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</si>
  <si>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</si>
  <si>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</si>
  <si>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</si>
  <si>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</si>
  <si>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</si>
  <si>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</si>
  <si>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32</t>
  </si>
  <si>
    <t>33</t>
  </si>
  <si>
    <t>34</t>
  </si>
  <si>
    <t>36</t>
  </si>
  <si>
    <t>37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</si>
  <si>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</si>
  <si>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</si>
  <si>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</si>
  <si>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</si>
  <si>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</si>
  <si>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</si>
  <si>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</si>
  <si>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</si>
  <si>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</si>
  <si>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</si>
  <si>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</si>
  <si>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</si>
  <si>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 xml:space="preserve">Total </t>
  </si>
  <si>
    <t>Sospechosos</t>
  </si>
  <si>
    <t>Positivos</t>
  </si>
  <si>
    <t>2018</t>
  </si>
  <si>
    <t>CHIKUNGUNYA</t>
  </si>
  <si>
    <t>ZIKA</t>
  </si>
  <si>
    <t>Municipio</t>
  </si>
  <si>
    <t>Monteagudo</t>
  </si>
  <si>
    <t>Villa Vacaguzman</t>
  </si>
  <si>
    <t>TI</t>
  </si>
  <si>
    <t>Huacareta</t>
  </si>
  <si>
    <t>Sopachuy</t>
  </si>
  <si>
    <t>Autoctonos</t>
  </si>
  <si>
    <t>Importados</t>
  </si>
  <si>
    <t>Poblacion</t>
  </si>
  <si>
    <t>San Lucas</t>
  </si>
  <si>
    <t>Villa Abecia</t>
  </si>
  <si>
    <t>Tarabuco</t>
  </si>
  <si>
    <t>Periodo epidemico 2019 -2020</t>
  </si>
  <si>
    <t>Periodo epidemico 2018 -2019</t>
  </si>
  <si>
    <t>Total
2019</t>
  </si>
  <si>
    <t>Total
2020</t>
  </si>
  <si>
    <t>2017 - 2018</t>
  </si>
  <si>
    <t>2018 - 2019</t>
  </si>
  <si>
    <t>Promedio</t>
  </si>
  <si>
    <t>Desviacion estandar</t>
  </si>
  <si>
    <t>PROM +2DE</t>
  </si>
  <si>
    <t>PROM +1DE</t>
  </si>
  <si>
    <t>PROM -1DE</t>
  </si>
  <si>
    <t>PROM -2DE</t>
  </si>
  <si>
    <t>Total general</t>
  </si>
  <si>
    <t>CHQ</t>
  </si>
  <si>
    <t>Presto</t>
  </si>
  <si>
    <t>Tomina</t>
  </si>
  <si>
    <t>Masculino</t>
  </si>
  <si>
    <t>Femenino</t>
  </si>
  <si>
    <t>Padilla</t>
  </si>
  <si>
    <t>1-4</t>
  </si>
  <si>
    <t>Incahuasi</t>
  </si>
  <si>
    <t>Villa Serrano</t>
  </si>
  <si>
    <t>Q1</t>
  </si>
  <si>
    <t>Q2</t>
  </si>
  <si>
    <t>Q3</t>
  </si>
  <si>
    <t>2020 Notificacion</t>
  </si>
  <si>
    <t>Notificacion</t>
  </si>
  <si>
    <t>2019-2020</t>
  </si>
  <si>
    <t>2018-2019</t>
  </si>
  <si>
    <t>Periodo epidemico 2020 -2021</t>
  </si>
  <si>
    <t>2020-2021</t>
  </si>
  <si>
    <t>chik</t>
  </si>
  <si>
    <t>53</t>
  </si>
  <si>
    <t>15-59</t>
  </si>
  <si>
    <t xml:space="preserve">Edad </t>
  </si>
  <si>
    <t>Sexo</t>
  </si>
  <si>
    <t>60+</t>
  </si>
  <si>
    <t>5-14</t>
  </si>
  <si>
    <t>Nexo epidemiologico</t>
  </si>
  <si>
    <t>2021 Notificacion</t>
  </si>
  <si>
    <t>Total
2021</t>
  </si>
  <si>
    <t>Periodo epidemico</t>
  </si>
  <si>
    <t>% 
Variacion</t>
  </si>
  <si>
    <t>% Variacion</t>
  </si>
  <si>
    <t>Perido epidemico</t>
  </si>
  <si>
    <t>Porcenjate de Variacion Dengue</t>
  </si>
  <si>
    <t>2021-2022</t>
  </si>
  <si>
    <t>Periodo epidemico 2021 -2022</t>
  </si>
  <si>
    <t>Periodos</t>
  </si>
  <si>
    <t>Microcefalia</t>
  </si>
  <si>
    <t>Casos 2021</t>
  </si>
  <si>
    <t>27</t>
  </si>
  <si>
    <t>30</t>
  </si>
  <si>
    <t>31</t>
  </si>
  <si>
    <t>35</t>
  </si>
  <si>
    <t>38</t>
  </si>
  <si>
    <t>39</t>
  </si>
  <si>
    <t>45</t>
  </si>
  <si>
    <t>2022 Notificacion</t>
  </si>
  <si>
    <t>Total
2022</t>
  </si>
  <si>
    <t>Casos 2022</t>
  </si>
  <si>
    <t>Casos</t>
  </si>
  <si>
    <t>Acumulado</t>
  </si>
  <si>
    <t>Sem 26</t>
  </si>
  <si>
    <t>Periodo epidemico 2022 -2023</t>
  </si>
  <si>
    <t>2022-2023</t>
  </si>
  <si>
    <t>Fuente: Estadistica / Area Control de Vectores - SEDES Chuquisaca</t>
  </si>
  <si>
    <t>Confirmados</t>
  </si>
  <si>
    <t>2023 Notificacion</t>
  </si>
  <si>
    <t>Total
2023</t>
  </si>
  <si>
    <t>Casos 2023</t>
  </si>
  <si>
    <t>Yotala</t>
  </si>
  <si>
    <t>Huacaya</t>
  </si>
  <si>
    <t>QUARTILES</t>
  </si>
  <si>
    <t>Alcala</t>
  </si>
  <si>
    <t>Yamparaez</t>
  </si>
  <si>
    <t>Zudañez</t>
  </si>
  <si>
    <t>Poroma</t>
  </si>
  <si>
    <t>casos</t>
  </si>
  <si>
    <t>Camargo</t>
  </si>
  <si>
    <t>Icla</t>
  </si>
  <si>
    <t>Villa Charcas</t>
  </si>
  <si>
    <t>El Villar</t>
  </si>
  <si>
    <t>Mojocoya</t>
  </si>
  <si>
    <t>Porcenjate de Variacion Dengue S.E. 1-8</t>
  </si>
  <si>
    <t>2023-2024</t>
  </si>
  <si>
    <t>Red De Salud</t>
  </si>
  <si>
    <t>Red de Salud I Sucre Capi</t>
  </si>
  <si>
    <t>Red de Salud II Tarabuco</t>
  </si>
  <si>
    <t>Red de Salud III Padilla</t>
  </si>
  <si>
    <t>Red de Salud IV Azurduy</t>
  </si>
  <si>
    <t>Red de Salud V Monteagudo</t>
  </si>
  <si>
    <t>Red de Salud VI Camargo</t>
  </si>
  <si>
    <t>Red de Salud VII Rural</t>
  </si>
  <si>
    <t>ti</t>
  </si>
  <si>
    <t>poblacion</t>
  </si>
  <si>
    <t>Azurduy</t>
  </si>
  <si>
    <t>Tarvita</t>
  </si>
  <si>
    <t>Las Carreras</t>
  </si>
  <si>
    <t>2024 Notificacion</t>
  </si>
  <si>
    <t>Casos 2024</t>
  </si>
  <si>
    <t>Total
2024</t>
  </si>
  <si>
    <t>SUCRE</t>
  </si>
  <si>
    <t>2019</t>
  </si>
  <si>
    <t>2020</t>
  </si>
  <si>
    <t>2021</t>
  </si>
  <si>
    <t>2022</t>
  </si>
  <si>
    <t>2023</t>
  </si>
  <si>
    <t>SEMANA</t>
  </si>
  <si>
    <t>Villa Abeciia</t>
  </si>
  <si>
    <t>Periodo epidemico 2023 -2024</t>
  </si>
  <si>
    <t>Periodo epidemico 2024 -2025</t>
  </si>
  <si>
    <t>DATOS</t>
  </si>
  <si>
    <t>POBLACION EN RIESGO</t>
  </si>
  <si>
    <t>MUNICIPIOS</t>
  </si>
  <si>
    <t>COMUNIDADES - BARRIOS</t>
  </si>
  <si>
    <t>ESTABLECIMIENTOS DE SALUD</t>
  </si>
  <si>
    <t>Casos 2025</t>
  </si>
  <si>
    <t>CHIK</t>
  </si>
  <si>
    <t>Santa Cruz</t>
  </si>
  <si>
    <t>Cochabamba</t>
  </si>
  <si>
    <t>Periodo epidemico 2025 -2026</t>
  </si>
  <si>
    <t>Casos Confirmados</t>
  </si>
  <si>
    <t>SITUACION EPIDEMIOLOGICA DE ARBOVIROSIS
DPTO. CHUQUISACA GESTION 2025</t>
  </si>
  <si>
    <t>Villa Vaca Guzman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</si>
</sst>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1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sz val="11"/>
      <color theme="1"/>
      <name val="Arial Narrow"/>
      <family val="2"/>
    </font>
    <font>
      <b/>
      <sz val="16"/>
      <color theme="0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Arial Narrow"/>
      <family val="2"/>
    </font>
    <font>
      <sz val="22"/>
      <color theme="1"/>
      <name val="Arial Narrow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8"/>
      <color rgb="FF555555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 Narrow"/>
      <family val="2"/>
    </font>
    <font>
      <sz val="8"/>
      <color rgb="FF555555"/>
      <name val="Arial Narrow"/>
      <family val="2"/>
    </font>
    <font>
      <sz val="9"/>
      <name val="Arial Narrow"/>
      <family val="2"/>
    </font>
    <font>
      <sz val="12"/>
      <color theme="1"/>
      <name val="Arial Narrow"/>
      <family val="2"/>
    </font>
    <font>
      <sz val="24"/>
      <color theme="1"/>
      <name val="Arial Narrow"/>
      <family val="2"/>
    </font>
    <font>
      <sz val="11"/>
      <color theme="0"/>
      <name val="Arial Narrow"/>
      <family val="2"/>
    </font>
    <font>
      <b/>
      <sz val="11"/>
      <color theme="0"/>
      <name val="Arial Narrow"/>
      <family val="2"/>
    </font>
    <font>
      <b/>
      <sz val="12"/>
      <color theme="0"/>
      <name val="Arial Narrow"/>
      <family val="2"/>
    </font>
    <font>
      <sz val="8"/>
      <color theme="0"/>
      <name val="Arial"/>
      <family val="2"/>
    </font>
    <font>
      <sz val="11"/>
      <color theme="1"/>
      <name val="Calibri"/>
      <family val="2"/>
      <scheme val="minor"/>
    </font>
    <font>
      <b/>
      <sz val="9"/>
      <name val="Arial Narrow"/>
      <family val="2"/>
    </font>
    <font>
      <b/>
      <sz val="11"/>
      <color theme="1"/>
      <name val="Arial Narrow"/>
      <family val="2"/>
    </font>
    <font>
      <b/>
      <sz val="36"/>
      <color theme="1"/>
      <name val="Arial Narrow"/>
      <family val="2"/>
    </font>
    <font>
      <b/>
      <sz val="36"/>
      <color rgb="FFFF0000"/>
      <name val="Arial Narrow"/>
      <family val="2"/>
    </font>
    <font>
      <b/>
      <u/>
      <sz val="36"/>
      <color rgb="FFFF0000"/>
      <name val="Arial Narrow"/>
      <family val="2"/>
    </font>
    <font>
      <u/>
      <sz val="36"/>
      <color rgb="FFFF0000"/>
      <name val="Arial Narrow"/>
      <family val="2"/>
    </font>
    <font>
      <b/>
      <sz val="8"/>
      <color rgb="FFFF0000"/>
      <name val="Arial Narrow"/>
      <family val="2"/>
    </font>
    <font>
      <sz val="36"/>
      <color rgb="FFFF0000"/>
      <name val="Arial"/>
      <family val="2"/>
    </font>
    <font>
      <b/>
      <sz val="20"/>
      <color theme="1"/>
      <name val="Arial Narrow"/>
      <family val="2"/>
    </font>
    <font>
      <b/>
      <sz val="20"/>
      <color theme="1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FF0000"/>
      <name val="Arial Narrow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2" fillId="0" borderId="0" applyFont="0" applyFill="0" applyBorder="0" applyAlignment="0" applyProtection="0"/>
  </cellStyleXfs>
  <cellXfs count="215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quotePrefix="1" applyFont="1" applyAlignment="1">
      <alignment horizontal="center"/>
    </xf>
    <xf numFmtId="0" fontId="2" fillId="0" borderId="0" xfId="0" quotePrefix="1" applyFont="1" applyAlignment="1">
      <alignment horizontal="left" vertical="top"/>
    </xf>
    <xf numFmtId="0" fontId="2" fillId="0" borderId="0" xfId="0" quotePrefix="1" applyFont="1" applyAlignment="1">
      <alignment horizontal="center" vertical="top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/>
    <xf numFmtId="0" fontId="2" fillId="2" borderId="0" xfId="0" applyFont="1" applyFill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vertical="center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 vertical="center" wrapText="1"/>
    </xf>
    <xf numFmtId="0" fontId="2" fillId="0" borderId="1" xfId="0" applyFont="1" applyBorder="1"/>
    <xf numFmtId="0" fontId="2" fillId="0" borderId="1" xfId="0" quotePrefix="1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0" xfId="0" quotePrefix="1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2" fillId="5" borderId="0" xfId="0" quotePrefix="1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/>
    <xf numFmtId="0" fontId="0" fillId="0" borderId="0" xfId="0" applyAlignment="1">
      <alignment vertical="center"/>
    </xf>
    <xf numFmtId="0" fontId="18" fillId="3" borderId="0" xfId="0" quotePrefix="1" applyFont="1" applyFill="1" applyAlignment="1">
      <alignment horizontal="left" vertical="top"/>
    </xf>
    <xf numFmtId="0" fontId="17" fillId="3" borderId="0" xfId="0" applyFont="1" applyFill="1"/>
    <xf numFmtId="0" fontId="17" fillId="3" borderId="0" xfId="0" applyFont="1" applyFill="1" applyAlignment="1">
      <alignment horizontal="center"/>
    </xf>
    <xf numFmtId="0" fontId="19" fillId="0" borderId="0" xfId="0" quotePrefix="1" applyFont="1" applyAlignment="1">
      <alignment horizontal="left"/>
    </xf>
    <xf numFmtId="0" fontId="20" fillId="0" borderId="0" xfId="0" applyFont="1"/>
    <xf numFmtId="0" fontId="2" fillId="0" borderId="0" xfId="0" applyFont="1" applyAlignment="1">
      <alignment horizontal="left" vertical="top"/>
    </xf>
    <xf numFmtId="0" fontId="20" fillId="0" borderId="0" xfId="0" applyFont="1" applyAlignment="1">
      <alignment horizontal="center"/>
    </xf>
    <xf numFmtId="2" fontId="2" fillId="0" borderId="0" xfId="0" applyNumberFormat="1" applyFont="1"/>
    <xf numFmtId="0" fontId="2" fillId="0" borderId="0" xfId="0" quotePrefix="1" applyFont="1" applyAlignment="1">
      <alignment horizontal="left" vertical="center"/>
    </xf>
    <xf numFmtId="1" fontId="0" fillId="0" borderId="0" xfId="0" applyNumberFormat="1" applyAlignment="1">
      <alignment vertical="center"/>
    </xf>
    <xf numFmtId="2" fontId="2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quotePrefix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12" fillId="0" borderId="0" xfId="0" quotePrefix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0" borderId="0" xfId="0" quotePrefix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5" borderId="0" xfId="0" quotePrefix="1" applyFont="1" applyFill="1" applyAlignment="1">
      <alignment horizontal="center" vertical="center" wrapText="1"/>
    </xf>
    <xf numFmtId="0" fontId="17" fillId="7" borderId="0" xfId="0" quotePrefix="1" applyFont="1" applyFill="1" applyAlignment="1">
      <alignment horizontal="center" vertical="center" wrapText="1"/>
    </xf>
    <xf numFmtId="0" fontId="2" fillId="7" borderId="0" xfId="0" quotePrefix="1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0" fontId="2" fillId="2" borderId="0" xfId="0" applyFont="1" applyFill="1"/>
    <xf numFmtId="0" fontId="23" fillId="3" borderId="1" xfId="0" quotePrefix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3" fillId="0" borderId="1" xfId="0" quotePrefix="1" applyFont="1" applyBorder="1" applyAlignment="1">
      <alignment horizontal="left"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3" fillId="0" borderId="0" xfId="0" applyFont="1" applyAlignment="1">
      <alignment horizontal="left" vertical="top"/>
    </xf>
    <xf numFmtId="0" fontId="23" fillId="0" borderId="0" xfId="0" quotePrefix="1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" fillId="0" borderId="0" xfId="0" applyFont="1"/>
    <xf numFmtId="0" fontId="25" fillId="0" borderId="0" xfId="0" applyFont="1"/>
    <xf numFmtId="0" fontId="25" fillId="0" borderId="1" xfId="0" quotePrefix="1" applyFont="1" applyBorder="1" applyAlignment="1">
      <alignment horizontal="center"/>
    </xf>
    <xf numFmtId="0" fontId="25" fillId="0" borderId="1" xfId="0" quotePrefix="1" applyFont="1" applyBorder="1" applyAlignment="1">
      <alignment horizontal="center" vertical="top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17" fontId="25" fillId="0" borderId="1" xfId="0" quotePrefix="1" applyNumberFormat="1" applyFont="1" applyBorder="1" applyAlignment="1">
      <alignment horizontal="center" vertical="top"/>
    </xf>
    <xf numFmtId="0" fontId="25" fillId="3" borderId="1" xfId="0" quotePrefix="1" applyFont="1" applyFill="1" applyBorder="1" applyAlignment="1">
      <alignment horizontal="center" vertical="center"/>
    </xf>
    <xf numFmtId="0" fontId="25" fillId="3" borderId="1" xfId="0" quotePrefix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0" fontId="9" fillId="0" borderId="1" xfId="0" applyFont="1" applyBorder="1"/>
    <xf numFmtId="9" fontId="9" fillId="0" borderId="1" xfId="0" applyNumberFormat="1" applyFont="1" applyBorder="1" applyAlignment="1">
      <alignment horizontal="center"/>
    </xf>
    <xf numFmtId="0" fontId="25" fillId="3" borderId="1" xfId="0" quotePrefix="1" applyFont="1" applyFill="1" applyBorder="1" applyAlignment="1">
      <alignment horizontal="center" vertical="top"/>
    </xf>
    <xf numFmtId="0" fontId="25" fillId="3" borderId="1" xfId="0" applyFont="1" applyFill="1" applyBorder="1" applyAlignment="1">
      <alignment horizontal="center" vertical="center"/>
    </xf>
    <xf numFmtId="0" fontId="25" fillId="3" borderId="1" xfId="0" quotePrefix="1" applyFont="1" applyFill="1" applyBorder="1" applyAlignment="1">
      <alignment horizontal="center"/>
    </xf>
    <xf numFmtId="0" fontId="9" fillId="3" borderId="1" xfId="0" applyFont="1" applyFill="1" applyBorder="1"/>
    <xf numFmtId="0" fontId="6" fillId="6" borderId="1" xfId="0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17" fontId="6" fillId="0" borderId="0" xfId="0" quotePrefix="1" applyNumberFormat="1" applyFont="1"/>
    <xf numFmtId="0" fontId="27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8" fillId="0" borderId="0" xfId="0" quotePrefix="1" applyFont="1" applyAlignment="1">
      <alignment horizontal="left" vertical="top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3" borderId="1" xfId="0" quotePrefix="1" applyFont="1" applyFill="1" applyBorder="1" applyAlignment="1">
      <alignment horizontal="center"/>
    </xf>
    <xf numFmtId="1" fontId="2" fillId="0" borderId="0" xfId="0" applyNumberFormat="1" applyFont="1"/>
    <xf numFmtId="0" fontId="9" fillId="7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9" fontId="30" fillId="2" borderId="1" xfId="0" applyNumberFormat="1" applyFont="1" applyFill="1" applyBorder="1" applyAlignment="1">
      <alignment horizontal="center" vertical="center"/>
    </xf>
    <xf numFmtId="0" fontId="31" fillId="0" borderId="0" xfId="0" applyFont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/>
    <xf numFmtId="9" fontId="30" fillId="0" borderId="0" xfId="0" applyNumberFormat="1" applyFont="1" applyAlignment="1">
      <alignment horizontal="center" vertical="center"/>
    </xf>
    <xf numFmtId="9" fontId="9" fillId="0" borderId="0" xfId="0" applyNumberFormat="1" applyFont="1"/>
    <xf numFmtId="9" fontId="9" fillId="0" borderId="0" xfId="1" applyFont="1"/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34" fillId="0" borderId="0" xfId="0" applyFont="1"/>
    <xf numFmtId="0" fontId="33" fillId="0" borderId="1" xfId="0" applyFont="1" applyBorder="1" applyAlignment="1">
      <alignment horizontal="center"/>
    </xf>
    <xf numFmtId="0" fontId="25" fillId="7" borderId="1" xfId="0" quotePrefix="1" applyFont="1" applyFill="1" applyBorder="1" applyAlignment="1">
      <alignment horizontal="center" vertical="center"/>
    </xf>
    <xf numFmtId="0" fontId="25" fillId="7" borderId="1" xfId="0" quotePrefix="1" applyFont="1" applyFill="1" applyBorder="1" applyAlignment="1">
      <alignment horizontal="center" vertical="center" wrapText="1"/>
    </xf>
    <xf numFmtId="0" fontId="25" fillId="7" borderId="1" xfId="0" quotePrefix="1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35" fillId="0" borderId="0" xfId="0" applyFont="1" applyAlignment="1">
      <alignment vertical="center" wrapText="1"/>
    </xf>
    <xf numFmtId="0" fontId="34" fillId="3" borderId="1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41" fillId="0" borderId="0" xfId="0" applyFont="1"/>
    <xf numFmtId="0" fontId="42" fillId="0" borderId="0" xfId="0" applyFont="1"/>
    <xf numFmtId="0" fontId="34" fillId="10" borderId="1" xfId="0" applyFont="1" applyFill="1" applyBorder="1" applyAlignment="1">
      <alignment horizontal="center"/>
    </xf>
    <xf numFmtId="164" fontId="9" fillId="0" borderId="0" xfId="0" applyNumberFormat="1" applyFont="1"/>
    <xf numFmtId="0" fontId="9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19" fillId="0" borderId="0" xfId="0" quotePrefix="1" applyFont="1" applyAlignment="1">
      <alignment horizontal="left" vertical="top"/>
    </xf>
    <xf numFmtId="3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2" fillId="0" borderId="0" xfId="0" quotePrefix="1" applyFont="1" applyAlignment="1">
      <alignment horizontal="left"/>
    </xf>
    <xf numFmtId="0" fontId="43" fillId="0" borderId="0" xfId="0" applyFont="1"/>
    <xf numFmtId="0" fontId="9" fillId="3" borderId="1" xfId="0" applyFont="1" applyFill="1" applyBorder="1" applyAlignment="1">
      <alignment horizontal="center" vertical="center"/>
    </xf>
    <xf numFmtId="0" fontId="23" fillId="3" borderId="1" xfId="0" quotePrefix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45" fillId="0" borderId="1" xfId="0" applyFont="1" applyBorder="1" applyAlignment="1">
      <alignment vertical="center"/>
    </xf>
    <xf numFmtId="3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4" fillId="0" borderId="0" xfId="0" applyFont="1"/>
    <xf numFmtId="164" fontId="9" fillId="0" borderId="0" xfId="0" applyNumberFormat="1" applyFont="1" applyAlignment="1">
      <alignment horizontal="center" vertical="center"/>
    </xf>
    <xf numFmtId="0" fontId="47" fillId="0" borderId="0" xfId="0" applyFont="1"/>
    <xf numFmtId="0" fontId="9" fillId="0" borderId="4" xfId="0" applyFont="1" applyBorder="1" applyAlignment="1">
      <alignment horizontal="left" vertical="center"/>
    </xf>
    <xf numFmtId="0" fontId="23" fillId="0" borderId="0" xfId="0" quotePrefix="1" applyFont="1" applyAlignment="1">
      <alignment horizontal="center"/>
    </xf>
    <xf numFmtId="0" fontId="48" fillId="6" borderId="1" xfId="0" applyFont="1" applyFill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quotePrefix="1" applyFont="1" applyAlignment="1">
      <alignment horizontal="left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46" fillId="3" borderId="1" xfId="0" applyFont="1" applyFill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33" fillId="0" borderId="1" xfId="0" quotePrefix="1" applyFont="1" applyBorder="1" applyAlignment="1">
      <alignment horizontal="center" vertical="center"/>
    </xf>
    <xf numFmtId="0" fontId="33" fillId="0" borderId="1" xfId="0" applyFont="1" applyBorder="1"/>
    <xf numFmtId="0" fontId="47" fillId="0" borderId="2" xfId="0" applyFont="1" applyBorder="1" applyAlignment="1">
      <alignment horizontal="center"/>
    </xf>
    <xf numFmtId="0" fontId="47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9" fillId="11" borderId="6" xfId="0" applyFont="1" applyFill="1" applyBorder="1" applyAlignment="1">
      <alignment horizontal="center" vertical="center"/>
    </xf>
    <xf numFmtId="0" fontId="49" fillId="11" borderId="8" xfId="0" applyFont="1" applyFill="1" applyBorder="1" applyAlignment="1">
      <alignment horizontal="center" vertical="center"/>
    </xf>
    <xf numFmtId="0" fontId="19" fillId="0" borderId="0" xfId="0" quotePrefix="1" applyFont="1" applyAlignment="1">
      <alignment horizontal="left" vertical="top"/>
    </xf>
    <xf numFmtId="0" fontId="0" fillId="0" borderId="0" xfId="0"/>
    <xf numFmtId="0" fontId="19" fillId="0" borderId="0" xfId="0" quotePrefix="1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7" fillId="3" borderId="4" xfId="0" quotePrefix="1" applyFont="1" applyFill="1" applyBorder="1" applyAlignment="1">
      <alignment horizontal="center" vertical="center"/>
    </xf>
    <xf numFmtId="0" fontId="17" fillId="3" borderId="5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5" fillId="0" borderId="0" xfId="0" quotePrefix="1" applyFont="1" applyAlignment="1">
      <alignment horizontal="center" vertical="center"/>
    </xf>
    <xf numFmtId="0" fontId="25" fillId="0" borderId="0" xfId="0" applyFont="1"/>
    <xf numFmtId="0" fontId="9" fillId="0" borderId="2" xfId="0" applyFont="1" applyBorder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FF6699"/>
      <color rgb="FFFFCCFF"/>
      <color rgb="FFFF9999"/>
      <color rgb="FFFFFF99"/>
      <color rgb="FFA3EBF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5" Type="http://schemas.openxmlformats.org/officeDocument/2006/relationships/chartsheet" Target="chartsheets/sheet4.xml"/><Relationship Id="rId15" Type="http://schemas.openxmlformats.org/officeDocument/2006/relationships/styles" Target="styles.xml"/><Relationship Id="rId10" Type="http://schemas.openxmlformats.org/officeDocument/2006/relationships/worksheet" Target="worksheets/sheet4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2000" b="1"/>
              <a:t>Dengue, Sospechosos - Positivos</a:t>
            </a:r>
          </a:p>
          <a:p>
            <a:pPr>
              <a:defRPr sz="2000" b="1"/>
            </a:pPr>
            <a:r>
              <a:rPr lang="es-ES" sz="2000" b="1"/>
              <a:t>Dpto. Chuquisaca, 2009 - 2025</a:t>
            </a:r>
          </a:p>
        </c:rich>
      </c:tx>
      <c:layout>
        <c:manualLayout>
          <c:xMode val="edge"/>
          <c:yMode val="edge"/>
          <c:x val="0.33786974015979149"/>
          <c:y val="1.5241139713765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1980879431813314E-2"/>
          <c:y val="0.15977885519250365"/>
          <c:w val="0.91119482115552242"/>
          <c:h val="0.687870425011390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Gestiones'!$B$4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Gestiones'!$C$2:$O$2,'Datos Gestiones'!$P$2,'Datos Gestiones'!$Q$2,'Datos Gestiones'!$R$2,'Datos Gestiones'!$S$2)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('Datos Gestiones'!$C$4:$O$4,'Datos Gestiones'!$P$4,'Datos Gestiones'!$Q$4,'Datos Gestiones'!$R$4,'Datos Gestiones'!$S$4)</c:f>
              <c:numCache>
                <c:formatCode>General</c:formatCode>
                <c:ptCount val="17"/>
                <c:pt idx="0">
                  <c:v>979</c:v>
                </c:pt>
                <c:pt idx="1">
                  <c:v>52</c:v>
                </c:pt>
                <c:pt idx="2">
                  <c:v>174</c:v>
                </c:pt>
                <c:pt idx="3">
                  <c:v>443</c:v>
                </c:pt>
                <c:pt idx="4">
                  <c:v>318</c:v>
                </c:pt>
                <c:pt idx="5">
                  <c:v>912</c:v>
                </c:pt>
                <c:pt idx="6">
                  <c:v>535</c:v>
                </c:pt>
                <c:pt idx="7">
                  <c:v>574</c:v>
                </c:pt>
                <c:pt idx="8">
                  <c:v>231</c:v>
                </c:pt>
                <c:pt idx="9">
                  <c:v>213</c:v>
                </c:pt>
                <c:pt idx="10">
                  <c:v>221</c:v>
                </c:pt>
                <c:pt idx="11">
                  <c:v>4110</c:v>
                </c:pt>
                <c:pt idx="12">
                  <c:v>242</c:v>
                </c:pt>
                <c:pt idx="13">
                  <c:v>650</c:v>
                </c:pt>
                <c:pt idx="14">
                  <c:v>4981</c:v>
                </c:pt>
                <c:pt idx="15">
                  <c:v>1436</c:v>
                </c:pt>
                <c:pt idx="16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A-4AB6-9C04-6532099A164B}"/>
            </c:ext>
          </c:extLst>
        </c:ser>
        <c:ser>
          <c:idx val="1"/>
          <c:order val="1"/>
          <c:tx>
            <c:strRef>
              <c:f>'Datos Gestiones'!$B$5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Gestiones'!$C$2:$O$2,'Datos Gestiones'!$P$2,'Datos Gestiones'!$Q$2,'Datos Gestiones'!$R$2,'Datos Gestiones'!$S$2)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('Datos Gestiones'!$C$5:$O$5,'Datos Gestiones'!$P$5,'Datos Gestiones'!$Q$5,'Datos Gestiones'!$R$5,'Datos Gestiones'!$S$5)</c:f>
              <c:numCache>
                <c:formatCode>General</c:formatCode>
                <c:ptCount val="17"/>
                <c:pt idx="0">
                  <c:v>370</c:v>
                </c:pt>
                <c:pt idx="1">
                  <c:v>3</c:v>
                </c:pt>
                <c:pt idx="2">
                  <c:v>38</c:v>
                </c:pt>
                <c:pt idx="3">
                  <c:v>189</c:v>
                </c:pt>
                <c:pt idx="4">
                  <c:v>59</c:v>
                </c:pt>
                <c:pt idx="5">
                  <c:v>139</c:v>
                </c:pt>
                <c:pt idx="6">
                  <c:v>15</c:v>
                </c:pt>
                <c:pt idx="7">
                  <c:v>39</c:v>
                </c:pt>
                <c:pt idx="8">
                  <c:v>20</c:v>
                </c:pt>
                <c:pt idx="9">
                  <c:v>9</c:v>
                </c:pt>
                <c:pt idx="10">
                  <c:v>55</c:v>
                </c:pt>
                <c:pt idx="11">
                  <c:v>2589</c:v>
                </c:pt>
                <c:pt idx="12">
                  <c:v>27</c:v>
                </c:pt>
                <c:pt idx="13">
                  <c:v>102</c:v>
                </c:pt>
                <c:pt idx="14">
                  <c:v>2077</c:v>
                </c:pt>
                <c:pt idx="15">
                  <c:v>325</c:v>
                </c:pt>
                <c:pt idx="16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A-4AB6-9C04-6532099A1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-1788199760"/>
        <c:axId val="-1788198672"/>
      </c:barChart>
      <c:catAx>
        <c:axId val="-178819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198672"/>
        <c:crosses val="autoZero"/>
        <c:auto val="1"/>
        <c:lblAlgn val="ctr"/>
        <c:lblOffset val="100"/>
        <c:noMultiLvlLbl val="0"/>
      </c:catAx>
      <c:valAx>
        <c:axId val="-17881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19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091958420451682"/>
          <c:y val="0.92621368332400134"/>
          <c:w val="0.48091368239986954"/>
          <c:h val="5.7297703674487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ysClr val="window" lastClr="FFFFFF"/>
    </a:solidFill>
    <a:ln w="12700" cap="flat" cmpd="sng" algn="ctr">
      <a:solidFill>
        <a:srgbClr val="ED7D31"/>
      </a:solidFill>
      <a:prstDash val="solid"/>
      <a:miter lim="800000"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 Narrow" panose="020B060602020203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4803149606299213" l="0.70866141732283472" r="0.86" t="0.74803149606299213" header="0.31496062992125984" footer="0.31496062992125984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2000" b="1"/>
              <a:t>Chikungunya, Sospechosos - Positivos</a:t>
            </a:r>
          </a:p>
          <a:p>
            <a:pPr>
              <a:defRPr sz="2000" b="1"/>
            </a:pPr>
            <a:r>
              <a:rPr lang="es-ES" sz="2000" b="1"/>
              <a:t>Dpto. Chuquisaca, 2015 - 2025</a:t>
            </a:r>
          </a:p>
        </c:rich>
      </c:tx>
      <c:layout>
        <c:manualLayout>
          <c:xMode val="edge"/>
          <c:yMode val="edge"/>
          <c:x val="0.30459199070380522"/>
          <c:y val="4.55743901525559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3322083363432784E-2"/>
          <c:y val="0.17746513499016628"/>
          <c:w val="0.88137102140877766"/>
          <c:h val="0.702403495056667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Gestiones'!$B$10</c:f>
              <c:strCache>
                <c:ptCount val="1"/>
                <c:pt idx="0">
                  <c:v>Sospechosos</c:v>
                </c:pt>
              </c:strCache>
            </c:strRef>
          </c:tx>
          <c:spPr>
            <a:gradFill rotWithShape="1">
              <a:gsLst>
                <a:gs pos="0">
                  <a:srgbClr val="70AD47">
                    <a:satMod val="103000"/>
                    <a:lumMod val="102000"/>
                    <a:tint val="94000"/>
                  </a:srgbClr>
                </a:gs>
                <a:gs pos="50000">
                  <a:srgbClr val="70AD47">
                    <a:satMod val="110000"/>
                    <a:lumMod val="100000"/>
                    <a:shade val="100000"/>
                  </a:srgbClr>
                </a:gs>
                <a:gs pos="100000">
                  <a:srgbClr val="70AD47">
                    <a:lumMod val="99000"/>
                    <a:satMod val="120000"/>
                    <a:shade val="78000"/>
                  </a:srgbClr>
                </a:gs>
              </a:gsLst>
              <a:lin ang="5400000" scaled="0"/>
            </a:gradFill>
            <a:ln w="6350" cap="flat" cmpd="sng" algn="ctr">
              <a:solidFill>
                <a:srgbClr val="70AD47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Gestiones'!$C$8:$I$8,'Datos Gestiones'!$J$8,'Datos Gestiones'!$K$8,'Datos Gestiones'!$L$8,'Datos Gestiones'!$M$8)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('Datos Gestiones'!$C$10:$I$10,'Datos Gestiones'!$J$10,'Datos Gestiones'!$K$10,'Datos Gestiones'!$L$10,'Datos Gestiones'!$M$10)</c:f>
              <c:numCache>
                <c:formatCode>General</c:formatCode>
                <c:ptCount val="11"/>
                <c:pt idx="0">
                  <c:v>82</c:v>
                </c:pt>
                <c:pt idx="1">
                  <c:v>373</c:v>
                </c:pt>
                <c:pt idx="2">
                  <c:v>174</c:v>
                </c:pt>
                <c:pt idx="3">
                  <c:v>159</c:v>
                </c:pt>
                <c:pt idx="4">
                  <c:v>59</c:v>
                </c:pt>
                <c:pt idx="5">
                  <c:v>353</c:v>
                </c:pt>
                <c:pt idx="6">
                  <c:v>39</c:v>
                </c:pt>
                <c:pt idx="7">
                  <c:v>57</c:v>
                </c:pt>
                <c:pt idx="8">
                  <c:v>184</c:v>
                </c:pt>
                <c:pt idx="9">
                  <c:v>15</c:v>
                </c:pt>
                <c:pt idx="10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0-47AB-BE2F-FAAC790FD307}"/>
            </c:ext>
          </c:extLst>
        </c:ser>
        <c:ser>
          <c:idx val="1"/>
          <c:order val="1"/>
          <c:tx>
            <c:strRef>
              <c:f>'Datos Gestiones'!$B$11</c:f>
              <c:strCache>
                <c:ptCount val="1"/>
                <c:pt idx="0">
                  <c:v>Positivos</c:v>
                </c:pt>
              </c:strCache>
            </c:strRef>
          </c:tx>
          <c:spPr>
            <a:gradFill rotWithShape="1">
              <a:gsLst>
                <a:gs pos="0">
                  <a:srgbClr val="FFC000">
                    <a:satMod val="103000"/>
                    <a:lumMod val="102000"/>
                    <a:tint val="94000"/>
                  </a:srgbClr>
                </a:gs>
                <a:gs pos="50000">
                  <a:srgbClr val="FFC000">
                    <a:satMod val="110000"/>
                    <a:lumMod val="100000"/>
                    <a:shade val="100000"/>
                  </a:srgbClr>
                </a:gs>
                <a:gs pos="100000">
                  <a:srgbClr val="FFC000">
                    <a:lumMod val="99000"/>
                    <a:satMod val="120000"/>
                    <a:shade val="78000"/>
                  </a:srgbClr>
                </a:gs>
              </a:gsLst>
              <a:lin ang="5400000" scaled="0"/>
            </a:gradFill>
            <a:ln w="635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Gestiones'!$C$8:$I$8,'Datos Gestiones'!$J$8,'Datos Gestiones'!$K$8,'Datos Gestiones'!$L$8,'Datos Gestiones'!$M$8)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('Datos Gestiones'!$C$11:$I$11,'Datos Gestiones'!$J$11,'Datos Gestiones'!$K$11,'Datos Gestiones'!$L$11,'Datos Gestiones'!$M$11)</c:f>
              <c:numCache>
                <c:formatCode>General</c:formatCode>
                <c:ptCount val="11"/>
                <c:pt idx="0">
                  <c:v>11</c:v>
                </c:pt>
                <c:pt idx="1">
                  <c:v>19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0-47AB-BE2F-FAAC790FD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88206288"/>
        <c:axId val="-1788196496"/>
      </c:barChart>
      <c:catAx>
        <c:axId val="-178820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196496"/>
        <c:crosses val="autoZero"/>
        <c:auto val="1"/>
        <c:lblAlgn val="ctr"/>
        <c:lblOffset val="100"/>
        <c:noMultiLvlLbl val="0"/>
      </c:catAx>
      <c:valAx>
        <c:axId val="-17881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20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21550241999557"/>
          <c:y val="0.26640135703008044"/>
          <c:w val="0.19790819908979271"/>
          <c:h val="0.101785397871252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ysClr val="window" lastClr="FFFFFF"/>
    </a:solidFill>
    <a:ln w="12700" cap="flat" cmpd="sng" algn="ctr">
      <a:solidFill>
        <a:srgbClr val="ED7D31"/>
      </a:solidFill>
      <a:prstDash val="solid"/>
      <a:miter lim="800000"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 Narrow" panose="020B060602020203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4803149606299213" l="0.70866141732283472" r="0.70866141732283472" t="0.74803149606299213" header="0.31496062992125984" footer="0.31496062992125984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latin typeface="Arial Narrow" panose="020B0606020202030204" pitchFamily="34" charset="0"/>
              </a:rPr>
              <a:t>Dengue, Sospechosos - Positivos </a:t>
            </a:r>
          </a:p>
          <a:p>
            <a:pPr>
              <a:defRPr/>
            </a:pPr>
            <a:r>
              <a:rPr lang="en-US" sz="2000" b="1">
                <a:latin typeface="Arial Narrow" panose="020B0606020202030204" pitchFamily="34" charset="0"/>
              </a:rPr>
              <a:t>por municipio - Dpto. Chuquisaca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2497554910899292E-2"/>
          <c:y val="0.14643548127912581"/>
          <c:w val="0.85200074676857862"/>
          <c:h val="0.56580975815523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2025'!$D$3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2025'!$C$4:$C$20</c:f>
              <c:strCache>
                <c:ptCount val="17"/>
                <c:pt idx="0">
                  <c:v>Monteagudo</c:v>
                </c:pt>
                <c:pt idx="1">
                  <c:v>Sucre</c:v>
                </c:pt>
                <c:pt idx="2">
                  <c:v>Huacareta</c:v>
                </c:pt>
                <c:pt idx="3">
                  <c:v>Huacaya</c:v>
                </c:pt>
                <c:pt idx="4">
                  <c:v>Villa Vacaguzman</c:v>
                </c:pt>
                <c:pt idx="5">
                  <c:v>Machareti</c:v>
                </c:pt>
                <c:pt idx="6">
                  <c:v>El Villar</c:v>
                </c:pt>
                <c:pt idx="7">
                  <c:v>Presto</c:v>
                </c:pt>
                <c:pt idx="8">
                  <c:v>Padilla</c:v>
                </c:pt>
                <c:pt idx="9">
                  <c:v>Alcala</c:v>
                </c:pt>
                <c:pt idx="10">
                  <c:v>Camargo</c:v>
                </c:pt>
                <c:pt idx="11">
                  <c:v>Yamparaez</c:v>
                </c:pt>
                <c:pt idx="12">
                  <c:v>Tarabuco</c:v>
                </c:pt>
                <c:pt idx="13">
                  <c:v>Villa Abecia</c:v>
                </c:pt>
                <c:pt idx="14">
                  <c:v>Tarvita</c:v>
                </c:pt>
                <c:pt idx="15">
                  <c:v>Yotala</c:v>
                </c:pt>
                <c:pt idx="16">
                  <c:v>Villa Serrano</c:v>
                </c:pt>
              </c:strCache>
            </c:strRef>
          </c:cat>
          <c:val>
            <c:numRef>
              <c:f>'Datos 2025'!$D$4:$D$20</c:f>
              <c:numCache>
                <c:formatCode>General</c:formatCode>
                <c:ptCount val="17"/>
                <c:pt idx="0">
                  <c:v>460</c:v>
                </c:pt>
                <c:pt idx="1">
                  <c:v>63</c:v>
                </c:pt>
                <c:pt idx="2">
                  <c:v>56</c:v>
                </c:pt>
                <c:pt idx="3">
                  <c:v>48</c:v>
                </c:pt>
                <c:pt idx="4">
                  <c:v>36</c:v>
                </c:pt>
                <c:pt idx="5">
                  <c:v>16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8-43D4-A3FF-002E8875739E}"/>
            </c:ext>
          </c:extLst>
        </c:ser>
        <c:ser>
          <c:idx val="1"/>
          <c:order val="1"/>
          <c:tx>
            <c:strRef>
              <c:f>'Datos 2025'!$E$3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2025'!$C$4:$C$20</c:f>
              <c:strCache>
                <c:ptCount val="17"/>
                <c:pt idx="0">
                  <c:v>Monteagudo</c:v>
                </c:pt>
                <c:pt idx="1">
                  <c:v>Sucre</c:v>
                </c:pt>
                <c:pt idx="2">
                  <c:v>Huacareta</c:v>
                </c:pt>
                <c:pt idx="3">
                  <c:v>Huacaya</c:v>
                </c:pt>
                <c:pt idx="4">
                  <c:v>Villa Vacaguzman</c:v>
                </c:pt>
                <c:pt idx="5">
                  <c:v>Machareti</c:v>
                </c:pt>
                <c:pt idx="6">
                  <c:v>El Villar</c:v>
                </c:pt>
                <c:pt idx="7">
                  <c:v>Presto</c:v>
                </c:pt>
                <c:pt idx="8">
                  <c:v>Padilla</c:v>
                </c:pt>
                <c:pt idx="9">
                  <c:v>Alcala</c:v>
                </c:pt>
                <c:pt idx="10">
                  <c:v>Camargo</c:v>
                </c:pt>
                <c:pt idx="11">
                  <c:v>Yamparaez</c:v>
                </c:pt>
                <c:pt idx="12">
                  <c:v>Tarabuco</c:v>
                </c:pt>
                <c:pt idx="13">
                  <c:v>Villa Abecia</c:v>
                </c:pt>
                <c:pt idx="14">
                  <c:v>Tarvita</c:v>
                </c:pt>
                <c:pt idx="15">
                  <c:v>Yotala</c:v>
                </c:pt>
                <c:pt idx="16">
                  <c:v>Villa Serrano</c:v>
                </c:pt>
              </c:strCache>
            </c:strRef>
          </c:cat>
          <c:val>
            <c:numRef>
              <c:f>'Datos 2025'!$E$4:$E$20</c:f>
              <c:numCache>
                <c:formatCode>General</c:formatCode>
                <c:ptCount val="17"/>
                <c:pt idx="0">
                  <c:v>79</c:v>
                </c:pt>
                <c:pt idx="1">
                  <c:v>1</c:v>
                </c:pt>
                <c:pt idx="2">
                  <c:v>37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8-43D4-A3FF-002E88757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800" b="1">
                    <a:latin typeface="Arial Narrow" panose="020B0606020202030204" pitchFamily="34" charset="0"/>
                  </a:rPr>
                  <a:t>Numero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dk1"/>
                  </a:solidFill>
                  <a:latin typeface="Arial Narrow" panose="020B060602020203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36054703688352"/>
          <c:y val="0.93700435883014621"/>
          <c:w val="0.40293348268704904"/>
          <c:h val="4.3232512976236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20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4803149606299213" l="0.64" r="1.1499999999999999" t="0.74803149606299213" header="0.31496062992125984" footer="0.31496062992125984"/>
    <c:pageSetup orientation="landscape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defRPr>
            </a:pPr>
            <a:r>
              <a:rPr lang="es-ES" sz="2000"/>
              <a:t>Dengue, sospechosos - positivos  por semana epidemiologica  periodo epidemico  2024 - 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8830373657838224E-2"/>
          <c:y val="8.1453763047060992E-2"/>
          <c:w val="0.97102830188679234"/>
          <c:h val="0.797597875846914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Semana'!$A$60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('Datos Semana'!$B$73:$BA$73,'Datos Semana'!$B$77:$T$77)</c:f>
              <c:strCache>
                <c:ptCount val="7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37</c:v>
                </c:pt>
                <c:pt idx="55">
                  <c:v>38</c:v>
                </c:pt>
                <c:pt idx="56">
                  <c:v>39</c:v>
                </c:pt>
                <c:pt idx="57">
                  <c:v>40</c:v>
                </c:pt>
                <c:pt idx="58">
                  <c:v>41</c:v>
                </c:pt>
                <c:pt idx="59">
                  <c:v>42</c:v>
                </c:pt>
                <c:pt idx="60">
                  <c:v>43</c:v>
                </c:pt>
                <c:pt idx="61">
                  <c:v>44</c:v>
                </c:pt>
                <c:pt idx="62">
                  <c:v>45</c:v>
                </c:pt>
                <c:pt idx="63">
                  <c:v>46</c:v>
                </c:pt>
                <c:pt idx="64">
                  <c:v>47</c:v>
                </c:pt>
                <c:pt idx="65">
                  <c:v>48</c:v>
                </c:pt>
                <c:pt idx="66">
                  <c:v>49</c:v>
                </c:pt>
                <c:pt idx="67">
                  <c:v>50</c:v>
                </c:pt>
                <c:pt idx="68">
                  <c:v>51</c:v>
                </c:pt>
                <c:pt idx="69">
                  <c:v>52</c:v>
                </c:pt>
                <c:pt idx="70">
                  <c:v>53</c:v>
                </c:pt>
              </c:strCache>
            </c:strRef>
          </c:cat>
          <c:val>
            <c:numRef>
              <c:f>('Datos Semana'!$B$74:$AV$74,'Datos Semana'!$AW$74:$BA$74,'Datos Semana'!$B$78:$O$78,'Datos Semana'!$P$78:$S$78,'Datos Semana'!$T$78)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9</c:v>
                </c:pt>
                <c:pt idx="4">
                  <c:v>27</c:v>
                </c:pt>
                <c:pt idx="5">
                  <c:v>20</c:v>
                </c:pt>
                <c:pt idx="6">
                  <c:v>14</c:v>
                </c:pt>
                <c:pt idx="7">
                  <c:v>18</c:v>
                </c:pt>
                <c:pt idx="8">
                  <c:v>20</c:v>
                </c:pt>
                <c:pt idx="9">
                  <c:v>17</c:v>
                </c:pt>
                <c:pt idx="10">
                  <c:v>11</c:v>
                </c:pt>
                <c:pt idx="11">
                  <c:v>2</c:v>
                </c:pt>
                <c:pt idx="12">
                  <c:v>3</c:v>
                </c:pt>
                <c:pt idx="13">
                  <c:v>9</c:v>
                </c:pt>
                <c:pt idx="14">
                  <c:v>1</c:v>
                </c:pt>
                <c:pt idx="15">
                  <c:v>2</c:v>
                </c:pt>
                <c:pt idx="16">
                  <c:v>13</c:v>
                </c:pt>
                <c:pt idx="17">
                  <c:v>6</c:v>
                </c:pt>
                <c:pt idx="18">
                  <c:v>16</c:v>
                </c:pt>
                <c:pt idx="19">
                  <c:v>9</c:v>
                </c:pt>
                <c:pt idx="20">
                  <c:v>13</c:v>
                </c:pt>
                <c:pt idx="21">
                  <c:v>13</c:v>
                </c:pt>
                <c:pt idx="22">
                  <c:v>8</c:v>
                </c:pt>
                <c:pt idx="23">
                  <c:v>15</c:v>
                </c:pt>
                <c:pt idx="24">
                  <c:v>14</c:v>
                </c:pt>
                <c:pt idx="25">
                  <c:v>17</c:v>
                </c:pt>
                <c:pt idx="26">
                  <c:v>30</c:v>
                </c:pt>
                <c:pt idx="27">
                  <c:v>18</c:v>
                </c:pt>
                <c:pt idx="28">
                  <c:v>34</c:v>
                </c:pt>
                <c:pt idx="29">
                  <c:v>37</c:v>
                </c:pt>
                <c:pt idx="30">
                  <c:v>56</c:v>
                </c:pt>
                <c:pt idx="31">
                  <c:v>43</c:v>
                </c:pt>
                <c:pt idx="32">
                  <c:v>45</c:v>
                </c:pt>
                <c:pt idx="33">
                  <c:v>49</c:v>
                </c:pt>
                <c:pt idx="34">
                  <c:v>26</c:v>
                </c:pt>
                <c:pt idx="35">
                  <c:v>21</c:v>
                </c:pt>
                <c:pt idx="36">
                  <c:v>21</c:v>
                </c:pt>
                <c:pt idx="37">
                  <c:v>26</c:v>
                </c:pt>
                <c:pt idx="38">
                  <c:v>15</c:v>
                </c:pt>
                <c:pt idx="39">
                  <c:v>13</c:v>
                </c:pt>
                <c:pt idx="40">
                  <c:v>9</c:v>
                </c:pt>
                <c:pt idx="41">
                  <c:v>7</c:v>
                </c:pt>
                <c:pt idx="42">
                  <c:v>4</c:v>
                </c:pt>
                <c:pt idx="43">
                  <c:v>5</c:v>
                </c:pt>
                <c:pt idx="44">
                  <c:v>5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3</c:v>
                </c:pt>
                <c:pt idx="49">
                  <c:v>2</c:v>
                </c:pt>
                <c:pt idx="50">
                  <c:v>1</c:v>
                </c:pt>
                <c:pt idx="51">
                  <c:v>4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5</c:v>
                </c:pt>
                <c:pt idx="58">
                  <c:v>4</c:v>
                </c:pt>
                <c:pt idx="59">
                  <c:v>2</c:v>
                </c:pt>
                <c:pt idx="60">
                  <c:v>6</c:v>
                </c:pt>
                <c:pt idx="61">
                  <c:v>2</c:v>
                </c:pt>
                <c:pt idx="62">
                  <c:v>4</c:v>
                </c:pt>
                <c:pt idx="63">
                  <c:v>10</c:v>
                </c:pt>
                <c:pt idx="64">
                  <c:v>7</c:v>
                </c:pt>
                <c:pt idx="65">
                  <c:v>14</c:v>
                </c:pt>
                <c:pt idx="66">
                  <c:v>4</c:v>
                </c:pt>
                <c:pt idx="67">
                  <c:v>12</c:v>
                </c:pt>
                <c:pt idx="68">
                  <c:v>14</c:v>
                </c:pt>
                <c:pt idx="69">
                  <c:v>9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C-49E7-A0CB-FE3783AB15D9}"/>
            </c:ext>
          </c:extLst>
        </c:ser>
        <c:ser>
          <c:idx val="1"/>
          <c:order val="1"/>
          <c:tx>
            <c:strRef>
              <c:f>'Datos Semana'!$A$61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('Datos Semana'!$B$73:$BA$73,'Datos Semana'!$B$77:$T$77)</c:f>
              <c:strCache>
                <c:ptCount val="7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37</c:v>
                </c:pt>
                <c:pt idx="55">
                  <c:v>38</c:v>
                </c:pt>
                <c:pt idx="56">
                  <c:v>39</c:v>
                </c:pt>
                <c:pt idx="57">
                  <c:v>40</c:v>
                </c:pt>
                <c:pt idx="58">
                  <c:v>41</c:v>
                </c:pt>
                <c:pt idx="59">
                  <c:v>42</c:v>
                </c:pt>
                <c:pt idx="60">
                  <c:v>43</c:v>
                </c:pt>
                <c:pt idx="61">
                  <c:v>44</c:v>
                </c:pt>
                <c:pt idx="62">
                  <c:v>45</c:v>
                </c:pt>
                <c:pt idx="63">
                  <c:v>46</c:v>
                </c:pt>
                <c:pt idx="64">
                  <c:v>47</c:v>
                </c:pt>
                <c:pt idx="65">
                  <c:v>48</c:v>
                </c:pt>
                <c:pt idx="66">
                  <c:v>49</c:v>
                </c:pt>
                <c:pt idx="67">
                  <c:v>50</c:v>
                </c:pt>
                <c:pt idx="68">
                  <c:v>51</c:v>
                </c:pt>
                <c:pt idx="69">
                  <c:v>52</c:v>
                </c:pt>
                <c:pt idx="70">
                  <c:v>53</c:v>
                </c:pt>
              </c:strCache>
            </c:strRef>
          </c:cat>
          <c:val>
            <c:numRef>
              <c:f>('Datos Semana'!$B$75:$AV$75,'Datos Semana'!$AW$75:$BA$75,'Datos Semana'!$B$79:$O$79,'Datos Semana'!$P$79:$S$79,'Datos Semana'!$T$79)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5</c:v>
                </c:pt>
                <c:pt idx="28">
                  <c:v>13</c:v>
                </c:pt>
                <c:pt idx="29">
                  <c:v>12</c:v>
                </c:pt>
                <c:pt idx="30">
                  <c:v>20</c:v>
                </c:pt>
                <c:pt idx="31">
                  <c:v>18</c:v>
                </c:pt>
                <c:pt idx="32">
                  <c:v>12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7</c:v>
                </c:pt>
                <c:pt idx="38">
                  <c:v>4</c:v>
                </c:pt>
                <c:pt idx="39">
                  <c:v>4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5C-49E7-A0CB-FE3783AB1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297344"/>
        <c:axId val="818298592"/>
      </c:barChart>
      <c:catAx>
        <c:axId val="8182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818298592"/>
        <c:crosses val="autoZero"/>
        <c:auto val="1"/>
        <c:lblAlgn val="ctr"/>
        <c:lblOffset val="100"/>
        <c:noMultiLvlLbl val="0"/>
      </c:catAx>
      <c:valAx>
        <c:axId val="8182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81829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293069380478383"/>
          <c:y val="0.94964676799121039"/>
          <c:w val="0.18885551923934032"/>
          <c:h val="4.0695293902215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rial Narrow" panose="020B0606020202030204" pitchFamily="34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4803149606299213" l="0" r="0.86614173228346458" t="0.74803149606299213" header="0.31496062992125984" footer="0.31496062992125984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defRPr>
            </a:pPr>
            <a:r>
              <a:rPr lang="es-ES" sz="2000" b="1">
                <a:solidFill>
                  <a:sysClr val="windowText" lastClr="000000"/>
                </a:solidFill>
              </a:rPr>
              <a:t>Zika, sospechosos - positivos  por semana epidemiologica  periodo epidemico 2024 - 2025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0618392686272927E-2"/>
          <c:y val="0.13360150633344745"/>
          <c:w val="0.97293944040303892"/>
          <c:h val="0.69542073674357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Semana'!$A$60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('Datos Semana'!$B$230:$BA$230,'Datos Semana'!$B$234:$U$234)</c:f>
              <c:strCache>
                <c:ptCount val="72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37</c:v>
                </c:pt>
                <c:pt idx="55">
                  <c:v>38</c:v>
                </c:pt>
                <c:pt idx="56">
                  <c:v>39</c:v>
                </c:pt>
                <c:pt idx="57">
                  <c:v>40</c:v>
                </c:pt>
                <c:pt idx="58">
                  <c:v>41</c:v>
                </c:pt>
                <c:pt idx="59">
                  <c:v>42</c:v>
                </c:pt>
                <c:pt idx="60">
                  <c:v>43</c:v>
                </c:pt>
                <c:pt idx="61">
                  <c:v>44</c:v>
                </c:pt>
                <c:pt idx="62">
                  <c:v>45</c:v>
                </c:pt>
                <c:pt idx="63">
                  <c:v>46</c:v>
                </c:pt>
                <c:pt idx="64">
                  <c:v>47</c:v>
                </c:pt>
                <c:pt idx="65">
                  <c:v>48</c:v>
                </c:pt>
                <c:pt idx="66">
                  <c:v>49</c:v>
                </c:pt>
                <c:pt idx="67">
                  <c:v>50</c:v>
                </c:pt>
                <c:pt idx="68">
                  <c:v>51</c:v>
                </c:pt>
                <c:pt idx="69">
                  <c:v>52</c:v>
                </c:pt>
                <c:pt idx="70">
                  <c:v>53</c:v>
                </c:pt>
                <c:pt idx="71">
                  <c:v>1</c:v>
                </c:pt>
              </c:strCache>
            </c:strRef>
          </c:cat>
          <c:val>
            <c:numRef>
              <c:f>('Datos Semana'!$B$231:$AT$231,'Datos Semana'!$AU$231:$AV$231,'Datos Semana'!$AW$231:$BA$231,'Datos Semana'!$B$235:$O$235,'Datos Semana'!$P$235:$S$235,'Datos Semana'!$T$235)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8</c:v>
                </c:pt>
                <c:pt idx="27">
                  <c:v>3</c:v>
                </c:pt>
                <c:pt idx="28">
                  <c:v>9</c:v>
                </c:pt>
                <c:pt idx="29">
                  <c:v>9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E-4451-B61C-1B2AB4AC56D8}"/>
            </c:ext>
          </c:extLst>
        </c:ser>
        <c:ser>
          <c:idx val="1"/>
          <c:order val="1"/>
          <c:tx>
            <c:strRef>
              <c:f>'Datos Semana'!$A$61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('Datos Semana'!$B$230:$BA$230,'Datos Semana'!$B$234:$U$234)</c:f>
              <c:strCache>
                <c:ptCount val="72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37</c:v>
                </c:pt>
                <c:pt idx="55">
                  <c:v>38</c:v>
                </c:pt>
                <c:pt idx="56">
                  <c:v>39</c:v>
                </c:pt>
                <c:pt idx="57">
                  <c:v>40</c:v>
                </c:pt>
                <c:pt idx="58">
                  <c:v>41</c:v>
                </c:pt>
                <c:pt idx="59">
                  <c:v>42</c:v>
                </c:pt>
                <c:pt idx="60">
                  <c:v>43</c:v>
                </c:pt>
                <c:pt idx="61">
                  <c:v>44</c:v>
                </c:pt>
                <c:pt idx="62">
                  <c:v>45</c:v>
                </c:pt>
                <c:pt idx="63">
                  <c:v>46</c:v>
                </c:pt>
                <c:pt idx="64">
                  <c:v>47</c:v>
                </c:pt>
                <c:pt idx="65">
                  <c:v>48</c:v>
                </c:pt>
                <c:pt idx="66">
                  <c:v>49</c:v>
                </c:pt>
                <c:pt idx="67">
                  <c:v>50</c:v>
                </c:pt>
                <c:pt idx="68">
                  <c:v>51</c:v>
                </c:pt>
                <c:pt idx="69">
                  <c:v>52</c:v>
                </c:pt>
                <c:pt idx="70">
                  <c:v>53</c:v>
                </c:pt>
                <c:pt idx="71">
                  <c:v>1</c:v>
                </c:pt>
              </c:strCache>
            </c:strRef>
          </c:cat>
          <c:val>
            <c:numRef>
              <c:f>('Datos Semana'!$B$232:$AT$232,'Datos Semana'!$AU$232:$AV$232,'Datos Semana'!$AW$232:$BA$232,'Datos Semana'!$B$236:$O$236,'Datos Semana'!$P$236:$S$236,'Datos Semana'!$T$236)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E-4451-B61C-1B2AB4AC5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297344"/>
        <c:axId val="818298592"/>
      </c:barChart>
      <c:catAx>
        <c:axId val="8182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818298592"/>
        <c:crosses val="autoZero"/>
        <c:auto val="1"/>
        <c:lblAlgn val="ctr"/>
        <c:lblOffset val="100"/>
        <c:noMultiLvlLbl val="0"/>
      </c:catAx>
      <c:valAx>
        <c:axId val="8182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81829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3827916598604757"/>
          <c:y val="0.92935997179457053"/>
          <c:w val="0.21723037363088968"/>
          <c:h val="6.9861234736962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4803149606299213" l="0.26" r="0.8" t="0.74803149606299213" header="0.31496062992125984" footer="0.31496062992125984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defRPr>
            </a:pPr>
            <a:r>
              <a:rPr lang="es-ES" sz="1800">
                <a:solidFill>
                  <a:sysClr val="windowText" lastClr="000000"/>
                </a:solidFill>
              </a:rPr>
              <a:t>Chikungunya, sospechosos - positivos   Chikungunya por semana epidemiologica  periodo epidemico  2024 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0468550653202282E-2"/>
          <c:y val="0.1288163501621121"/>
          <c:w val="0.97313610021681474"/>
          <c:h val="0.715790180639184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Semana'!$A$60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25"/>
              <c:layout>
                <c:manualLayout>
                  <c:x val="-3.4812882356351515E-3"/>
                  <c:y val="2.7229407760381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28-4CC8-BB6A-508E8C6932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('Datos Semana'!$B$154:$BA$154,'Datos Semana'!$B$159:$T$159)</c:f>
              <c:strCache>
                <c:ptCount val="7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37</c:v>
                </c:pt>
                <c:pt idx="55">
                  <c:v>38</c:v>
                </c:pt>
                <c:pt idx="56">
                  <c:v>39</c:v>
                </c:pt>
                <c:pt idx="57">
                  <c:v>40</c:v>
                </c:pt>
                <c:pt idx="58">
                  <c:v>41</c:v>
                </c:pt>
                <c:pt idx="59">
                  <c:v>42</c:v>
                </c:pt>
                <c:pt idx="60">
                  <c:v>43</c:v>
                </c:pt>
                <c:pt idx="61">
                  <c:v>44</c:v>
                </c:pt>
                <c:pt idx="62">
                  <c:v>45</c:v>
                </c:pt>
                <c:pt idx="63">
                  <c:v>46</c:v>
                </c:pt>
                <c:pt idx="64">
                  <c:v>47</c:v>
                </c:pt>
                <c:pt idx="65">
                  <c:v>48</c:v>
                </c:pt>
                <c:pt idx="66">
                  <c:v>49</c:v>
                </c:pt>
                <c:pt idx="67">
                  <c:v>50</c:v>
                </c:pt>
                <c:pt idx="68">
                  <c:v>51</c:v>
                </c:pt>
                <c:pt idx="69">
                  <c:v>52</c:v>
                </c:pt>
                <c:pt idx="70">
                  <c:v>53</c:v>
                </c:pt>
              </c:strCache>
            </c:strRef>
          </c:cat>
          <c:val>
            <c:numRef>
              <c:f>('Datos Semana'!$B$155:$AT$155,'Datos Semana'!$AU$155:$AV$155,'Datos Semana'!$AW$155:$BA$155,'Datos Semana'!$B$160:$O$160,'Datos Semana'!$P$160:$S$160,'Datos Semana'!$T$160)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2</c:v>
                </c:pt>
                <c:pt idx="26">
                  <c:v>10</c:v>
                </c:pt>
                <c:pt idx="27">
                  <c:v>7</c:v>
                </c:pt>
                <c:pt idx="28">
                  <c:v>11</c:v>
                </c:pt>
                <c:pt idx="29">
                  <c:v>13</c:v>
                </c:pt>
                <c:pt idx="30">
                  <c:v>5</c:v>
                </c:pt>
                <c:pt idx="31">
                  <c:v>4</c:v>
                </c:pt>
                <c:pt idx="32">
                  <c:v>8</c:v>
                </c:pt>
                <c:pt idx="33">
                  <c:v>6</c:v>
                </c:pt>
                <c:pt idx="34">
                  <c:v>4</c:v>
                </c:pt>
                <c:pt idx="35">
                  <c:v>1</c:v>
                </c:pt>
                <c:pt idx="36">
                  <c:v>4</c:v>
                </c:pt>
                <c:pt idx="37">
                  <c:v>5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3</c:v>
                </c:pt>
                <c:pt idx="68">
                  <c:v>6</c:v>
                </c:pt>
                <c:pt idx="69">
                  <c:v>3</c:v>
                </c:pt>
                <c:pt idx="7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3-4105-B6A2-A798F5F5B81B}"/>
            </c:ext>
          </c:extLst>
        </c:ser>
        <c:ser>
          <c:idx val="1"/>
          <c:order val="1"/>
          <c:tx>
            <c:strRef>
              <c:f>'Datos Semana'!$A$61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('Datos Semana'!$B$154:$BA$154,'Datos Semana'!$B$159:$T$159)</c:f>
              <c:strCache>
                <c:ptCount val="7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37</c:v>
                </c:pt>
                <c:pt idx="55">
                  <c:v>38</c:v>
                </c:pt>
                <c:pt idx="56">
                  <c:v>39</c:v>
                </c:pt>
                <c:pt idx="57">
                  <c:v>40</c:v>
                </c:pt>
                <c:pt idx="58">
                  <c:v>41</c:v>
                </c:pt>
                <c:pt idx="59">
                  <c:v>42</c:v>
                </c:pt>
                <c:pt idx="60">
                  <c:v>43</c:v>
                </c:pt>
                <c:pt idx="61">
                  <c:v>44</c:v>
                </c:pt>
                <c:pt idx="62">
                  <c:v>45</c:v>
                </c:pt>
                <c:pt idx="63">
                  <c:v>46</c:v>
                </c:pt>
                <c:pt idx="64">
                  <c:v>47</c:v>
                </c:pt>
                <c:pt idx="65">
                  <c:v>48</c:v>
                </c:pt>
                <c:pt idx="66">
                  <c:v>49</c:v>
                </c:pt>
                <c:pt idx="67">
                  <c:v>50</c:v>
                </c:pt>
                <c:pt idx="68">
                  <c:v>51</c:v>
                </c:pt>
                <c:pt idx="69">
                  <c:v>52</c:v>
                </c:pt>
                <c:pt idx="70">
                  <c:v>53</c:v>
                </c:pt>
              </c:strCache>
            </c:strRef>
          </c:cat>
          <c:val>
            <c:numRef>
              <c:f>('Datos Semana'!$B$156:$AT$156,'Datos Semana'!$AU$156:$AV$156,'Datos Semana'!$AW$156:$BA$156,'Datos Semana'!$B$161:$O$161,'Datos Semana'!$P$161:$S$161,'Datos Semana'!$T$161)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3-4105-B6A2-A798F5F5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297344"/>
        <c:axId val="818298592"/>
      </c:barChart>
      <c:catAx>
        <c:axId val="8182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818298592"/>
        <c:crosses val="autoZero"/>
        <c:auto val="1"/>
        <c:lblAlgn val="ctr"/>
        <c:lblOffset val="100"/>
        <c:noMultiLvlLbl val="0"/>
      </c:catAx>
      <c:valAx>
        <c:axId val="8182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81829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457774970599477"/>
          <c:y val="0.92911139416396471"/>
          <c:w val="0.13130956470012656"/>
          <c:h val="7.0888605836035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 b="1">
          <a:latin typeface="Arial Narrow" panose="020B0606020202030204" pitchFamily="34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latin typeface="Arial Narrow" panose="020B0606020202030204" pitchFamily="34" charset="0"/>
              </a:rPr>
              <a:t>Chikungunya, Sospechosos - Positivos </a:t>
            </a:r>
          </a:p>
          <a:p>
            <a:pPr>
              <a:defRPr sz="1600"/>
            </a:pPr>
            <a:r>
              <a:rPr lang="en-US" sz="2000" b="1">
                <a:latin typeface="Arial Narrow" panose="020B0606020202030204" pitchFamily="34" charset="0"/>
              </a:rPr>
              <a:t>municipio Dpto. Chuquisaca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8493483681223304E-2"/>
          <c:y val="0.18476190476190477"/>
          <c:w val="0.93747143000952615"/>
          <c:h val="0.36558348475671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2025'!$D$3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2025'!$C$27:$C$32</c:f>
              <c:strCache>
                <c:ptCount val="6"/>
                <c:pt idx="0">
                  <c:v>Machareti</c:v>
                </c:pt>
                <c:pt idx="1">
                  <c:v>Sucre</c:v>
                </c:pt>
                <c:pt idx="2">
                  <c:v>Monteagudo</c:v>
                </c:pt>
                <c:pt idx="3">
                  <c:v>Villa Vacaguzman</c:v>
                </c:pt>
                <c:pt idx="4">
                  <c:v>Tarabuco</c:v>
                </c:pt>
                <c:pt idx="5">
                  <c:v>Alcala</c:v>
                </c:pt>
              </c:strCache>
            </c:strRef>
          </c:cat>
          <c:val>
            <c:numRef>
              <c:f>'Datos 2025'!$D$27:$D$32</c:f>
              <c:numCache>
                <c:formatCode>General</c:formatCode>
                <c:ptCount val="6"/>
                <c:pt idx="0">
                  <c:v>14</c:v>
                </c:pt>
                <c:pt idx="1">
                  <c:v>8</c:v>
                </c:pt>
                <c:pt idx="2">
                  <c:v>55</c:v>
                </c:pt>
                <c:pt idx="3">
                  <c:v>51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D-4CDF-B700-F941234C3C88}"/>
            </c:ext>
          </c:extLst>
        </c:ser>
        <c:ser>
          <c:idx val="1"/>
          <c:order val="1"/>
          <c:tx>
            <c:strRef>
              <c:f>'Datos 2025'!$E$3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2025'!$C$27:$C$32</c:f>
              <c:strCache>
                <c:ptCount val="6"/>
                <c:pt idx="0">
                  <c:v>Machareti</c:v>
                </c:pt>
                <c:pt idx="1">
                  <c:v>Sucre</c:v>
                </c:pt>
                <c:pt idx="2">
                  <c:v>Monteagudo</c:v>
                </c:pt>
                <c:pt idx="3">
                  <c:v>Villa Vacaguzman</c:v>
                </c:pt>
                <c:pt idx="4">
                  <c:v>Tarabuco</c:v>
                </c:pt>
                <c:pt idx="5">
                  <c:v>Alcala</c:v>
                </c:pt>
              </c:strCache>
            </c:strRef>
          </c:cat>
          <c:val>
            <c:numRef>
              <c:f>'Datos 2025'!$E$27:$E$32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D-4CDF-B700-F941234C3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10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/>
              <a:t>Zika, </a:t>
            </a:r>
            <a:r>
              <a:rPr lang="en-US" sz="2000" b="1" i="0" u="none" strike="noStrike" baseline="0">
                <a:effectLst/>
              </a:rPr>
              <a:t>Distribucion </a:t>
            </a:r>
            <a:r>
              <a:rPr lang="en-US" sz="2000" b="1"/>
              <a:t>Sospechosos - Positivos  </a:t>
            </a:r>
          </a:p>
          <a:p>
            <a:pPr>
              <a:defRPr/>
            </a:pPr>
            <a:r>
              <a:rPr lang="en-US" sz="2000" b="1"/>
              <a:t>municipio Dpto. Chuquisaca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2025'!$D$3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2025'!$C$38:$C$39</c:f>
              <c:strCache>
                <c:ptCount val="2"/>
                <c:pt idx="0">
                  <c:v>Monteagudo</c:v>
                </c:pt>
                <c:pt idx="1">
                  <c:v>Villa Vacaguzman</c:v>
                </c:pt>
              </c:strCache>
            </c:strRef>
          </c:cat>
          <c:val>
            <c:numRef>
              <c:f>'Datos 2025'!$D$38:$D$39</c:f>
              <c:numCache>
                <c:formatCode>General</c:formatCode>
                <c:ptCount val="2"/>
                <c:pt idx="0">
                  <c:v>14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66-47DB-857F-C2D47500E33C}"/>
            </c:ext>
          </c:extLst>
        </c:ser>
        <c:ser>
          <c:idx val="1"/>
          <c:order val="1"/>
          <c:tx>
            <c:strRef>
              <c:f>'Datos 2025'!$E$3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2025'!$C$38:$C$39</c:f>
              <c:strCache>
                <c:ptCount val="2"/>
                <c:pt idx="0">
                  <c:v>Monteagudo</c:v>
                </c:pt>
                <c:pt idx="1">
                  <c:v>Villa Vacaguzman</c:v>
                </c:pt>
              </c:strCache>
            </c:strRef>
          </c:cat>
          <c:val>
            <c:numRef>
              <c:f>'Datos 2025'!$E$38:$E$39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66-47DB-857F-C2D47500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100">
          <a:solidFill>
            <a:schemeClr val="dk1"/>
          </a:solidFill>
          <a:latin typeface="Arial Narrow" panose="020B060602020203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4803149606299213" l="0.39" r="1.1100000000000001" t="0.74803149606299213" header="0.31496062992125984" footer="0.31496062992125984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000" b="1"/>
              <a:t>Casos positivos de dengue - procedencia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5176961623272268E-2"/>
          <c:y val="0.10659555690389839"/>
          <c:w val="0.90166415066696737"/>
          <c:h val="0.705396114014644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EE-4CA4-B8BD-9EB7614C559D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BB-4564-87A8-7FD4C3F75C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'Datos 2025'!$B$63:$C$67</c:f>
              <c:multiLvlStrCache>
                <c:ptCount val="5"/>
                <c:lvl>
                  <c:pt idx="0">
                    <c:v>Monteagudo</c:v>
                  </c:pt>
                  <c:pt idx="1">
                    <c:v>Villa Vacaguzman</c:v>
                  </c:pt>
                  <c:pt idx="2">
                    <c:v>Huacareta</c:v>
                  </c:pt>
                  <c:pt idx="3">
                    <c:v>Machareti</c:v>
                  </c:pt>
                  <c:pt idx="4">
                    <c:v>Tarija</c:v>
                  </c:pt>
                </c:lvl>
                <c:lvl>
                  <c:pt idx="0">
                    <c:v>Autoctonos</c:v>
                  </c:pt>
                  <c:pt idx="4">
                    <c:v>Importados</c:v>
                  </c:pt>
                </c:lvl>
              </c:multiLvlStrCache>
            </c:multiLvlStrRef>
          </c:cat>
          <c:val>
            <c:numRef>
              <c:f>'Datos 2025'!$D$63:$D$67</c:f>
              <c:numCache>
                <c:formatCode>General</c:formatCode>
                <c:ptCount val="5"/>
                <c:pt idx="0">
                  <c:v>76</c:v>
                </c:pt>
                <c:pt idx="1">
                  <c:v>38</c:v>
                </c:pt>
                <c:pt idx="2">
                  <c:v>7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EE-4CA4-B8BD-9EB7614C5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464688"/>
        <c:axId val="1584485072"/>
      </c:barChart>
      <c:catAx>
        <c:axId val="158446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4485072"/>
        <c:crosses val="autoZero"/>
        <c:auto val="1"/>
        <c:lblAlgn val="ctr"/>
        <c:lblOffset val="100"/>
        <c:noMultiLvlLbl val="0"/>
      </c:catAx>
      <c:valAx>
        <c:axId val="158448507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75000"/>
                </a:schemeClr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446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 dpi="0" rotWithShape="1">
      <a:blip xmlns:r="http://schemas.openxmlformats.org/officeDocument/2006/relationships" r:embed="rId3">
        <a:alphaModFix amt="20000"/>
      </a:blip>
      <a:srcRect/>
      <a:stretch>
        <a:fillRect/>
      </a:stretch>
    </a:blip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600"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1.1200000000000001" t="0.75" header="0.3" footer="0.3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68-4912-94DC-8A6BD32F27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68-4912-94DC-8A6BD32F27F6}"/>
              </c:ext>
            </c:extLst>
          </c:dPt>
          <c:dLbls>
            <c:dLbl>
              <c:idx val="0"/>
              <c:layout>
                <c:manualLayout>
                  <c:x val="-5.6609671033187571E-2"/>
                  <c:y val="-0.24454201751716209"/>
                </c:manualLayout>
              </c:layout>
              <c:tx>
                <c:rich>
                  <a:bodyPr/>
                  <a:lstStyle/>
                  <a:p>
                    <a:fld id="{5FEBDC67-C094-4235-B68F-66A65BDF481C}" type="VALUE">
                      <a:rPr lang="en-US"/>
                      <a:pPr/>
                      <a:t>[값]</a:t>
                    </a:fld>
                    <a:r>
                      <a:rPr lang="en-US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D68-4912-94DC-8A6BD32F27F6}"/>
                </c:ext>
              </c:extLst>
            </c:dLbl>
            <c:dLbl>
              <c:idx val="1"/>
              <c:layout>
                <c:manualLayout>
                  <c:x val="-8.2800851610286916E-3"/>
                  <c:y val="1.8409127430499758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Arial Narrow" panose="020B0606020202030204" pitchFamily="34" charset="0"/>
                        <a:ea typeface="+mn-ea"/>
                        <a:cs typeface="+mn-cs"/>
                      </a:defRPr>
                    </a:pPr>
                    <a:fld id="{32B00590-6531-41A2-9161-01AA27DEEAF7}" type="VALUE">
                      <a:rPr lang="en-US" sz="2000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  <a:latin typeface="Arial Narrow" panose="020B0606020202030204" pitchFamily="34" charset="0"/>
                        </a:defRPr>
                      </a:pPr>
                      <a:t>[값]</a:t>
                    </a:fld>
                    <a:r>
                      <a:rPr lang="en-US" sz="2000">
                        <a:solidFill>
                          <a:srgbClr val="FF0000"/>
                        </a:solidFill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D68-4912-94DC-8A6BD32F2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'Datos 2025'!$C$70:$C$71</c:f>
              <c:strCache>
                <c:ptCount val="2"/>
                <c:pt idx="0">
                  <c:v>Autoctonos</c:v>
                </c:pt>
                <c:pt idx="1">
                  <c:v>Importados</c:v>
                </c:pt>
              </c:strCache>
            </c:strRef>
          </c:cat>
          <c:val>
            <c:numRef>
              <c:f>'Datos 2025'!$G$70:$G$71</c:f>
              <c:numCache>
                <c:formatCode>0</c:formatCode>
                <c:ptCount val="2"/>
                <c:pt idx="0">
                  <c:v>99.1869918699187</c:v>
                </c:pt>
                <c:pt idx="1">
                  <c:v>0.81300813008130091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68-4912-94DC-8A6BD32F2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163228793938131E-2"/>
          <c:y val="0.81656226128428666"/>
          <c:w val="0.90390576863523786"/>
          <c:h val="0.15633519548000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000" b="1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2000" b="1"/>
              <a:t>Zika, Sospechosos - Positivos</a:t>
            </a:r>
          </a:p>
          <a:p>
            <a:pPr>
              <a:defRPr sz="2000" b="1"/>
            </a:pPr>
            <a:r>
              <a:rPr lang="es-ES" sz="2000" b="1"/>
              <a:t>Dpto. Chuquisaca, 2016 - 2025</a:t>
            </a:r>
          </a:p>
        </c:rich>
      </c:tx>
      <c:layout>
        <c:manualLayout>
          <c:xMode val="edge"/>
          <c:yMode val="edge"/>
          <c:x val="0.34172366275614496"/>
          <c:y val="5.69427532160231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9601259927663707E-2"/>
          <c:y val="0.23160546286862882"/>
          <c:w val="0.87470554405955225"/>
          <c:h val="0.632420177072096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Gestiones'!$B$17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Gestiones'!$C$15:$H$15,'Datos Gestiones'!$I$15,'Datos Gestiones'!$J$15,'Datos Gestiones'!$K$15,'Datos Gestiones'!$L$15)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('Datos Gestiones'!$C$17:$H$17,'Datos Gestiones'!$I$17,'Datos Gestiones'!$J$17,'Datos Gestiones'!$K$17,'Datos Gestiones'!$L$17)</c:f>
              <c:numCache>
                <c:formatCode>General</c:formatCode>
                <c:ptCount val="10"/>
                <c:pt idx="0">
                  <c:v>152</c:v>
                </c:pt>
                <c:pt idx="1">
                  <c:v>91</c:v>
                </c:pt>
                <c:pt idx="2">
                  <c:v>121</c:v>
                </c:pt>
                <c:pt idx="3">
                  <c:v>41</c:v>
                </c:pt>
                <c:pt idx="4">
                  <c:v>230</c:v>
                </c:pt>
                <c:pt idx="5">
                  <c:v>30</c:v>
                </c:pt>
                <c:pt idx="6">
                  <c:v>49</c:v>
                </c:pt>
                <c:pt idx="7">
                  <c:v>141</c:v>
                </c:pt>
                <c:pt idx="8">
                  <c:v>5</c:v>
                </c:pt>
                <c:pt idx="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3-4F5F-88BC-889D7B420752}"/>
            </c:ext>
          </c:extLst>
        </c:ser>
        <c:ser>
          <c:idx val="1"/>
          <c:order val="1"/>
          <c:tx>
            <c:strRef>
              <c:f>'Datos Gestiones'!$B$18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Gestiones'!$C$15:$H$15,'Datos Gestiones'!$I$15,'Datos Gestiones'!$J$15,'Datos Gestiones'!$K$15,'Datos Gestiones'!$L$15)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('Datos Gestiones'!$C$18:$H$18,'Datos Gestiones'!$I$18,'Datos Gestiones'!$J$18,'Datos Gestiones'!$K$18,'Datos Gestiones'!$L$18)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3-4F5F-88BC-889D7B420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88205744"/>
        <c:axId val="-1788191600"/>
      </c:barChart>
      <c:catAx>
        <c:axId val="-178820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191600"/>
        <c:crosses val="autoZero"/>
        <c:auto val="1"/>
        <c:lblAlgn val="ctr"/>
        <c:lblOffset val="100"/>
        <c:noMultiLvlLbl val="0"/>
      </c:catAx>
      <c:valAx>
        <c:axId val="-17881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2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5054275003387483"/>
          <c:y val="0.23444438792319428"/>
          <c:w val="0.19314445732524352"/>
          <c:h val="0.12989496774441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ysClr val="window" lastClr="FFFFFF"/>
    </a:solidFill>
    <a:ln w="12700" cap="flat" cmpd="sng" algn="ctr">
      <a:solidFill>
        <a:srgbClr val="ED7D31"/>
      </a:solidFill>
      <a:prstDash val="solid"/>
      <a:miter lim="800000"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 Narrow" panose="020B060602020203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5" l="0.31" r="1" t="0.75" header="0.3" footer="0.3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000" b="1"/>
              <a:t>Casos Positivos - dengue - </a:t>
            </a:r>
          </a:p>
          <a:p>
            <a:pPr>
              <a:defRPr/>
            </a:pPr>
            <a:r>
              <a:rPr lang="en-US" sz="2000" b="1"/>
              <a:t>grupos de edad y sexo</a:t>
            </a:r>
          </a:p>
        </c:rich>
      </c:tx>
      <c:layout>
        <c:manualLayout>
          <c:xMode val="edge"/>
          <c:yMode val="edge"/>
          <c:x val="0.37788229573546245"/>
          <c:y val="5.8804312316236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725304358472645"/>
          <c:y val="0.12808412669422528"/>
          <c:w val="0.8782879168919554"/>
          <c:h val="0.68564778634947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2025'!$D$52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2025'!$C$53:$C$56</c:f>
              <c:strCache>
                <c:ptCount val="4"/>
                <c:pt idx="0">
                  <c:v>1-4</c:v>
                </c:pt>
                <c:pt idx="1">
                  <c:v>5-14</c:v>
                </c:pt>
                <c:pt idx="2">
                  <c:v>15-59</c:v>
                </c:pt>
                <c:pt idx="3">
                  <c:v>60+</c:v>
                </c:pt>
              </c:strCache>
            </c:strRef>
          </c:cat>
          <c:val>
            <c:numRef>
              <c:f>'Datos 2025'!$D$53:$D$56</c:f>
              <c:numCache>
                <c:formatCode>General</c:formatCode>
                <c:ptCount val="4"/>
                <c:pt idx="0">
                  <c:v>2</c:v>
                </c:pt>
                <c:pt idx="1">
                  <c:v>11</c:v>
                </c:pt>
                <c:pt idx="2">
                  <c:v>37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3-4016-92DE-B20FCED558E2}"/>
            </c:ext>
          </c:extLst>
        </c:ser>
        <c:ser>
          <c:idx val="1"/>
          <c:order val="1"/>
          <c:tx>
            <c:strRef>
              <c:f>'Datos 2025'!$E$52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2025'!$C$53:$C$56</c:f>
              <c:strCache>
                <c:ptCount val="4"/>
                <c:pt idx="0">
                  <c:v>1-4</c:v>
                </c:pt>
                <c:pt idx="1">
                  <c:v>5-14</c:v>
                </c:pt>
                <c:pt idx="2">
                  <c:v>15-59</c:v>
                </c:pt>
                <c:pt idx="3">
                  <c:v>60+</c:v>
                </c:pt>
              </c:strCache>
            </c:strRef>
          </c:cat>
          <c:val>
            <c:numRef>
              <c:f>'Datos 2025'!$E$53:$E$56</c:f>
              <c:numCache>
                <c:formatCode>General</c:formatCode>
                <c:ptCount val="4"/>
                <c:pt idx="0">
                  <c:v>2</c:v>
                </c:pt>
                <c:pt idx="1">
                  <c:v>22</c:v>
                </c:pt>
                <c:pt idx="2">
                  <c:v>29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23-4016-92DE-B20FCED55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771440"/>
        <c:axId val="1588771856"/>
      </c:barChart>
      <c:catAx>
        <c:axId val="158877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ES" sz="1800" b="1"/>
                  <a:t>Grupo de edad /</a:t>
                </a:r>
                <a:r>
                  <a:rPr lang="es-ES" sz="1800" b="1" baseline="0"/>
                  <a:t> Sexo</a:t>
                </a:r>
                <a:endParaRPr lang="es-ES" sz="1800" b="1"/>
              </a:p>
            </c:rich>
          </c:tx>
          <c:layout>
            <c:manualLayout>
              <c:xMode val="edge"/>
              <c:yMode val="edge"/>
              <c:x val="0.38188298614571914"/>
              <c:y val="0.87516727482235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dk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8771856"/>
        <c:crosses val="autoZero"/>
        <c:auto val="1"/>
        <c:lblAlgn val="ctr"/>
        <c:lblOffset val="100"/>
        <c:noMultiLvlLbl val="0"/>
      </c:catAx>
      <c:valAx>
        <c:axId val="15887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ES" sz="1800" b="1"/>
                  <a:t>Numero</a:t>
                </a:r>
              </a:p>
            </c:rich>
          </c:tx>
          <c:layout>
            <c:manualLayout>
              <c:xMode val="edge"/>
              <c:yMode val="edge"/>
              <c:x val="5.6946410044064039E-4"/>
              <c:y val="0.442294713160854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dk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87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33770778652668"/>
          <c:y val="0.90591748399871064"/>
          <c:w val="0.31512746591390434"/>
          <c:h val="9.4082516001289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>
        <a:alphaModFix amt="20000"/>
      </a:blip>
      <a:stretch>
        <a:fillRect/>
      </a:stretch>
    </a:blip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600"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4803149606299213" l="0.70866141732283472" r="0.70866141732283472" t="0.74803149606299213" header="0.31496062992125984" footer="0.31496062992125984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D3-4453-9C39-85B4C07792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D3-4453-9C39-85B4C077927E}"/>
              </c:ext>
            </c:extLst>
          </c:dPt>
          <c:dLbls>
            <c:dLbl>
              <c:idx val="1"/>
              <c:layout>
                <c:manualLayout>
                  <c:x val="-2.2771062067945731E-2"/>
                  <c:y val="-9.8118401866433363E-2"/>
                </c:manualLayout>
              </c:layout>
              <c:tx>
                <c:rich>
                  <a:bodyPr/>
                  <a:lstStyle/>
                  <a:p>
                    <a:fld id="{1B29936D-B829-48AA-A83A-D9F06AD8103C}" type="VALUE">
                      <a:rPr lang="en-US">
                        <a:solidFill>
                          <a:srgbClr val="FF0000"/>
                        </a:solidFill>
                      </a:rPr>
                      <a:pPr/>
                      <a:t>[값]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ED3-4453-9C39-85B4C07792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'Datos 2025'!$D$52:$E$52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'Datos 2025'!$D$58:$E$58</c:f>
              <c:numCache>
                <c:formatCode>0%</c:formatCode>
                <c:ptCount val="2"/>
                <c:pt idx="0">
                  <c:v>0.52845528455284552</c:v>
                </c:pt>
                <c:pt idx="1">
                  <c:v>0.47154471544715448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D3-4453-9C39-85B4C0779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6669606693915E-2"/>
          <c:y val="0.78224189178751147"/>
          <c:w val="0.83473883233558654"/>
          <c:h val="0.15633519548000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1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  <a:latin typeface="Arial Narrow" panose="020B060602020203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000" b="1"/>
              <a:t>Casos positivos de Chikungunya - procedencia</a:t>
            </a:r>
          </a:p>
        </c:rich>
      </c:tx>
      <c:layout>
        <c:manualLayout>
          <c:xMode val="edge"/>
          <c:yMode val="edge"/>
          <c:x val="0.30515126900375983"/>
          <c:y val="5.2539404553415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5176961623272268E-2"/>
          <c:y val="0.19065855404438084"/>
          <c:w val="0.90166415066696737"/>
          <c:h val="0.62133299928418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66-4B52-8173-740D875109ED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D6D-4C1D-BE74-279177AA859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6D-4C1D-BE74-279177AA859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37-4640-96C6-25168E2D528A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37-4640-96C6-25168E2D52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'Datos 2025'!$B$98:$C$102</c:f>
              <c:multiLvlStrCache>
                <c:ptCount val="5"/>
                <c:lvl>
                  <c:pt idx="0">
                    <c:v>Machareti</c:v>
                  </c:pt>
                  <c:pt idx="1">
                    <c:v>Monteagudo</c:v>
                  </c:pt>
                  <c:pt idx="2">
                    <c:v>Villa Vaca Guzman</c:v>
                  </c:pt>
                  <c:pt idx="3">
                    <c:v>Santa Cruz</c:v>
                  </c:pt>
                  <c:pt idx="4">
                    <c:v>Cochabamba</c:v>
                  </c:pt>
                </c:lvl>
                <c:lvl>
                  <c:pt idx="0">
                    <c:v>Autoctonos</c:v>
                  </c:pt>
                  <c:pt idx="3">
                    <c:v>Importados</c:v>
                  </c:pt>
                </c:lvl>
              </c:multiLvlStrCache>
            </c:multiLvlStrRef>
          </c:cat>
          <c:val>
            <c:numRef>
              <c:f>('Datos 2025'!$D$98:$D$101,'Datos 2025'!$D$102)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66-4B52-8173-740D87510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464688"/>
        <c:axId val="1584485072"/>
      </c:barChart>
      <c:catAx>
        <c:axId val="158446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4485072"/>
        <c:crosses val="autoZero"/>
        <c:auto val="1"/>
        <c:lblAlgn val="ctr"/>
        <c:lblOffset val="100"/>
        <c:noMultiLvlLbl val="0"/>
      </c:catAx>
      <c:valAx>
        <c:axId val="158448507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75000"/>
                </a:schemeClr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446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 dpi="0" rotWithShape="1">
      <a:blip xmlns:r="http://schemas.openxmlformats.org/officeDocument/2006/relationships" r:embed="rId3">
        <a:alphaModFix amt="20000"/>
      </a:blip>
      <a:srcRect/>
      <a:stretch>
        <a:fillRect/>
      </a:stretch>
    </a:blip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600"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1.1200000000000001" t="0.75" header="0.3" footer="0.3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12-4509-BA6B-644944FBCA7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12-4509-BA6B-644944FBCA7A}"/>
              </c:ext>
            </c:extLst>
          </c:dPt>
          <c:dLbls>
            <c:dLbl>
              <c:idx val="0"/>
              <c:layout>
                <c:manualLayout>
                  <c:x val="-0.15398317018245899"/>
                  <c:y val="0.10012845215157358"/>
                </c:manualLayout>
              </c:layout>
              <c:tx>
                <c:rich>
                  <a:bodyPr/>
                  <a:lstStyle/>
                  <a:p>
                    <a:fld id="{85BBA572-B614-4BB3-9216-C5139C89BC76}" type="VALUE">
                      <a:rPr lang="en-US"/>
                      <a:pPr/>
                      <a:t>[값]</a:t>
                    </a:fld>
                    <a:r>
                      <a:rPr lang="en-US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412-4509-BA6B-644944FBCA7A}"/>
                </c:ext>
              </c:extLst>
            </c:dLbl>
            <c:dLbl>
              <c:idx val="1"/>
              <c:layout>
                <c:manualLayout>
                  <c:x val="0.18909560856142008"/>
                  <c:y val="-8.3475062990959012E-2"/>
                </c:manualLayout>
              </c:layout>
              <c:tx>
                <c:rich>
                  <a:bodyPr/>
                  <a:lstStyle/>
                  <a:p>
                    <a:fld id="{F6BB2977-CBEA-46A5-9073-C314E4460009}" type="VALUE">
                      <a:rPr lang="en-US"/>
                      <a:pPr/>
                      <a:t>[값]</a:t>
                    </a:fld>
                    <a:r>
                      <a:rPr lang="en-US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412-4509-BA6B-644944FBCA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'Datos 2025'!$C$70:$C$71</c:f>
              <c:strCache>
                <c:ptCount val="2"/>
                <c:pt idx="0">
                  <c:v>Autoctonos</c:v>
                </c:pt>
                <c:pt idx="1">
                  <c:v>Importados</c:v>
                </c:pt>
              </c:strCache>
            </c:strRef>
          </c:cat>
          <c:val>
            <c:numRef>
              <c:f>'Datos 2025'!$G$105:$G$106</c:f>
              <c:numCache>
                <c:formatCode>0</c:formatCode>
                <c:ptCount val="2"/>
                <c:pt idx="0">
                  <c:v>25</c:v>
                </c:pt>
                <c:pt idx="1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12-4509-BA6B-644944FBC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142964067426863"/>
          <c:y val="0.73269815291091889"/>
          <c:w val="0.66641630807315333"/>
          <c:h val="0.15633519548000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000" b="1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000" b="1"/>
              <a:t>Casos Positivos - Chikungunya - </a:t>
            </a:r>
          </a:p>
          <a:p>
            <a:pPr>
              <a:defRPr/>
            </a:pPr>
            <a:r>
              <a:rPr lang="en-US" sz="2000" b="1"/>
              <a:t>grupos de edad y sexo</a:t>
            </a:r>
          </a:p>
        </c:rich>
      </c:tx>
      <c:layout>
        <c:manualLayout>
          <c:xMode val="edge"/>
          <c:yMode val="edge"/>
          <c:x val="0.37071383550174508"/>
          <c:y val="3.2830350751610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725304358472645"/>
          <c:y val="0.12808412669422528"/>
          <c:w val="0.8782879168919554"/>
          <c:h val="0.68564778634947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2025'!$D$52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2025'!$C$53:$C$56</c:f>
              <c:strCache>
                <c:ptCount val="4"/>
                <c:pt idx="0">
                  <c:v>1-4</c:v>
                </c:pt>
                <c:pt idx="1">
                  <c:v>5-14</c:v>
                </c:pt>
                <c:pt idx="2">
                  <c:v>15-59</c:v>
                </c:pt>
                <c:pt idx="3">
                  <c:v>60+</c:v>
                </c:pt>
              </c:strCache>
            </c:strRef>
          </c:cat>
          <c:val>
            <c:numRef>
              <c:f>'Datos 2025'!$C$87:$C$90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7-490C-8A4C-A0030C41A970}"/>
            </c:ext>
          </c:extLst>
        </c:ser>
        <c:ser>
          <c:idx val="1"/>
          <c:order val="1"/>
          <c:tx>
            <c:strRef>
              <c:f>'Datos 2025'!$E$52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2025'!$C$53:$C$56</c:f>
              <c:strCache>
                <c:ptCount val="4"/>
                <c:pt idx="0">
                  <c:v>1-4</c:v>
                </c:pt>
                <c:pt idx="1">
                  <c:v>5-14</c:v>
                </c:pt>
                <c:pt idx="2">
                  <c:v>15-59</c:v>
                </c:pt>
                <c:pt idx="3">
                  <c:v>60+</c:v>
                </c:pt>
              </c:strCache>
            </c:strRef>
          </c:cat>
          <c:val>
            <c:numRef>
              <c:f>'Datos 2025'!$D$87:$D$90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7-490C-8A4C-A0030C41A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771440"/>
        <c:axId val="1588771856"/>
      </c:barChart>
      <c:catAx>
        <c:axId val="158877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ES" sz="1800" b="1"/>
                  <a:t>Grupo de edad /</a:t>
                </a:r>
                <a:r>
                  <a:rPr lang="es-ES" sz="1800" b="1" baseline="0"/>
                  <a:t> Sexo</a:t>
                </a:r>
                <a:endParaRPr lang="es-ES" sz="1800" b="1"/>
              </a:p>
            </c:rich>
          </c:tx>
          <c:layout>
            <c:manualLayout>
              <c:xMode val="edge"/>
              <c:yMode val="edge"/>
              <c:x val="0.38188298614571914"/>
              <c:y val="0.87516727482235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dk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8771856"/>
        <c:crosses val="autoZero"/>
        <c:auto val="1"/>
        <c:lblAlgn val="ctr"/>
        <c:lblOffset val="100"/>
        <c:noMultiLvlLbl val="0"/>
      </c:catAx>
      <c:valAx>
        <c:axId val="15887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ES" sz="1800" b="1"/>
                  <a:t>Numero</a:t>
                </a:r>
              </a:p>
            </c:rich>
          </c:tx>
          <c:layout>
            <c:manualLayout>
              <c:xMode val="edge"/>
              <c:yMode val="edge"/>
              <c:x val="5.6946410044064039E-4"/>
              <c:y val="0.442294713160854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dk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87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33770778652668"/>
          <c:y val="0.90591748399871064"/>
          <c:w val="0.31512746591390434"/>
          <c:h val="9.4082516001289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>
        <a:alphaModFix amt="20000"/>
      </a:blip>
      <a:stretch>
        <a:fillRect/>
      </a:stretch>
    </a:blip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600"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4803149606299213" l="0.70866141732283472" r="0.70866141732283472" t="0.74803149606299213" header="0.31496062992125984" footer="0.31496062992125984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0B-4518-A7EF-92D13ABECCE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0B-4518-A7EF-92D13ABECCEC}"/>
              </c:ext>
            </c:extLst>
          </c:dPt>
          <c:dLbls>
            <c:dLbl>
              <c:idx val="0"/>
              <c:layout>
                <c:manualLayout>
                  <c:x val="-0.15622715867461365"/>
                  <c:y val="-8.6261092363454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0B-4518-A7EF-92D13ABECCEC}"/>
                </c:ext>
              </c:extLst>
            </c:dLbl>
            <c:dLbl>
              <c:idx val="1"/>
              <c:layout>
                <c:manualLayout>
                  <c:x val="0.14216532468921145"/>
                  <c:y val="6.453255843019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0B-4518-A7EF-92D13ABEC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'Datos 2025'!$D$52:$E$52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'Datos 2025'!$C$92:$D$92</c:f>
              <c:numCache>
                <c:formatCode>0%</c:formatCode>
                <c:ptCount val="2"/>
                <c:pt idx="0">
                  <c:v>0.5625</c:v>
                </c:pt>
                <c:pt idx="1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0B-4518-A7EF-92D13ABEC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6669606693915E-2"/>
          <c:y val="0.78224189178751147"/>
          <c:w val="0.83473883233558654"/>
          <c:h val="0.15633519548000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1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  <a:latin typeface="Arial Narrow" panose="020B060602020203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CANAL ENDEMICO DE DENGUE </a:t>
            </a:r>
          </a:p>
          <a:p>
            <a:pPr>
              <a:defRPr/>
            </a:pPr>
            <a:r>
              <a:rPr lang="en-US"/>
              <a:t>DPTO. CHUQUISACA GESTION 2025 </a:t>
            </a:r>
          </a:p>
        </c:rich>
      </c:tx>
      <c:layout>
        <c:manualLayout>
          <c:xMode val="edge"/>
          <c:yMode val="edge"/>
          <c:x val="0.32991266514162715"/>
          <c:y val="1.881356057744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12388006814794E-2"/>
          <c:y val="0.11059246256010916"/>
          <c:w val="0.94372886091388009"/>
          <c:h val="0.79026007319676628"/>
        </c:manualLayout>
      </c:layout>
      <c:areaChart>
        <c:grouping val="stacked"/>
        <c:varyColors val="0"/>
        <c:ser>
          <c:idx val="0"/>
          <c:order val="0"/>
          <c:tx>
            <c:v>Exito</c:v>
          </c:tx>
          <c:spPr>
            <a:solidFill>
              <a:srgbClr val="00B050"/>
            </a:solidFill>
            <a:ln w="25400">
              <a:noFill/>
            </a:ln>
            <a:effectLst/>
          </c:spPr>
          <c:val>
            <c:numRef>
              <c:f>'Datos Semana'!$C$298:$BB$298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</c:v>
                </c:pt>
                <c:pt idx="11">
                  <c:v>1.5</c:v>
                </c:pt>
                <c:pt idx="12">
                  <c:v>0.5</c:v>
                </c:pt>
                <c:pt idx="13">
                  <c:v>1</c:v>
                </c:pt>
                <c:pt idx="14">
                  <c:v>1.5</c:v>
                </c:pt>
                <c:pt idx="15">
                  <c:v>0</c:v>
                </c:pt>
                <c:pt idx="16">
                  <c:v>2.5</c:v>
                </c:pt>
                <c:pt idx="17">
                  <c:v>0.5</c:v>
                </c:pt>
                <c:pt idx="18">
                  <c:v>0.5</c:v>
                </c:pt>
                <c:pt idx="19">
                  <c:v>1.5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0-48FC-93A6-1B88AC1F044B}"/>
            </c:ext>
          </c:extLst>
        </c:ser>
        <c:ser>
          <c:idx val="1"/>
          <c:order val="1"/>
          <c:tx>
            <c:v>Seguridad</c:v>
          </c:tx>
          <c:spPr>
            <a:solidFill>
              <a:srgbClr val="FFFF00"/>
            </a:solidFill>
            <a:ln w="25400">
              <a:noFill/>
            </a:ln>
            <a:effectLst/>
          </c:spPr>
          <c:val>
            <c:numRef>
              <c:f>'Datos Semana'!$C$299:$BB$299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9</c:v>
                </c:pt>
                <c:pt idx="11">
                  <c:v>8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4</c:v>
                </c:pt>
                <c:pt idx="16">
                  <c:v>13</c:v>
                </c:pt>
                <c:pt idx="17">
                  <c:v>4</c:v>
                </c:pt>
                <c:pt idx="18">
                  <c:v>8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60-48FC-93A6-1B88AC1F044B}"/>
            </c:ext>
          </c:extLst>
        </c:ser>
        <c:ser>
          <c:idx val="2"/>
          <c:order val="2"/>
          <c:tx>
            <c:v>Alarma</c:v>
          </c:tx>
          <c:spPr>
            <a:solidFill>
              <a:srgbClr val="FF0000"/>
            </a:solidFill>
            <a:ln w="25400">
              <a:noFill/>
            </a:ln>
            <a:effectLst/>
          </c:spPr>
          <c:val>
            <c:numRef>
              <c:f>'Datos Semana'!$C$300:$BB$300</c:f>
              <c:numCache>
                <c:formatCode>General</c:formatCode>
                <c:ptCount val="52"/>
                <c:pt idx="0">
                  <c:v>2.5</c:v>
                </c:pt>
                <c:pt idx="1">
                  <c:v>2</c:v>
                </c:pt>
                <c:pt idx="2">
                  <c:v>7</c:v>
                </c:pt>
                <c:pt idx="3">
                  <c:v>11</c:v>
                </c:pt>
                <c:pt idx="4">
                  <c:v>30</c:v>
                </c:pt>
                <c:pt idx="5">
                  <c:v>39.5</c:v>
                </c:pt>
                <c:pt idx="6">
                  <c:v>52</c:v>
                </c:pt>
                <c:pt idx="7">
                  <c:v>46</c:v>
                </c:pt>
                <c:pt idx="8">
                  <c:v>43.5</c:v>
                </c:pt>
                <c:pt idx="9">
                  <c:v>65</c:v>
                </c:pt>
                <c:pt idx="10">
                  <c:v>72.5</c:v>
                </c:pt>
                <c:pt idx="11">
                  <c:v>82</c:v>
                </c:pt>
                <c:pt idx="12">
                  <c:v>70.5</c:v>
                </c:pt>
                <c:pt idx="13">
                  <c:v>100</c:v>
                </c:pt>
                <c:pt idx="14">
                  <c:v>105.5</c:v>
                </c:pt>
                <c:pt idx="15">
                  <c:v>64.5</c:v>
                </c:pt>
                <c:pt idx="16">
                  <c:v>45.5</c:v>
                </c:pt>
                <c:pt idx="17">
                  <c:v>31.5</c:v>
                </c:pt>
                <c:pt idx="18">
                  <c:v>35</c:v>
                </c:pt>
                <c:pt idx="19">
                  <c:v>20.5</c:v>
                </c:pt>
                <c:pt idx="20">
                  <c:v>10.5</c:v>
                </c:pt>
                <c:pt idx="21">
                  <c:v>6.5</c:v>
                </c:pt>
                <c:pt idx="22">
                  <c:v>1.5</c:v>
                </c:pt>
                <c:pt idx="23">
                  <c:v>1.5</c:v>
                </c:pt>
                <c:pt idx="24">
                  <c:v>2</c:v>
                </c:pt>
                <c:pt idx="25">
                  <c:v>1.5</c:v>
                </c:pt>
                <c:pt idx="26">
                  <c:v>0.5</c:v>
                </c:pt>
                <c:pt idx="27">
                  <c:v>1.5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60-48FC-93A6-1B88AC1F0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295935"/>
        <c:axId val="2027307999"/>
      </c:areaChart>
      <c:barChart>
        <c:barDir val="col"/>
        <c:grouping val="clustered"/>
        <c:varyColors val="0"/>
        <c:ser>
          <c:idx val="3"/>
          <c:order val="3"/>
          <c:tx>
            <c:strRef>
              <c:f>'Datos Semana'!$B$301</c:f>
              <c:strCache>
                <c:ptCount val="1"/>
                <c:pt idx="0">
                  <c:v>Casos 2025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'Datos Semana'!$C$283:$BB$283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'Datos Semana'!$C$301:$AE$301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13</c:v>
                </c:pt>
                <c:pt idx="11">
                  <c:v>12</c:v>
                </c:pt>
                <c:pt idx="12">
                  <c:v>20</c:v>
                </c:pt>
                <c:pt idx="13">
                  <c:v>18</c:v>
                </c:pt>
                <c:pt idx="14">
                  <c:v>12</c:v>
                </c:pt>
                <c:pt idx="15">
                  <c:v>5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4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60-48FC-93A6-1B88AC1F0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027295935"/>
        <c:axId val="2027307999"/>
      </c:barChart>
      <c:catAx>
        <c:axId val="2027295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27307999"/>
        <c:crosses val="autoZero"/>
        <c:auto val="1"/>
        <c:lblAlgn val="ctr"/>
        <c:lblOffset val="100"/>
        <c:noMultiLvlLbl val="0"/>
      </c:catAx>
      <c:valAx>
        <c:axId val="202730799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75000"/>
                </a:schemeClr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27295935"/>
        <c:crosses val="autoZero"/>
        <c:crossBetween val="between"/>
      </c:valAx>
      <c:spPr>
        <a:solidFill>
          <a:srgbClr val="FFCCFF"/>
        </a:solidFill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CANAL ENDEMICO DE DENGUE </a:t>
            </a:r>
          </a:p>
          <a:p>
            <a:pPr>
              <a:defRPr/>
            </a:pPr>
            <a:r>
              <a:rPr lang="en-US"/>
              <a:t>MUNICIPIO</a:t>
            </a:r>
            <a:r>
              <a:rPr lang="en-US" baseline="0"/>
              <a:t> SUCRE</a:t>
            </a:r>
            <a:r>
              <a:rPr lang="en-US"/>
              <a:t> GESTION 2024 sem 1-7 </a:t>
            </a:r>
          </a:p>
        </c:rich>
      </c:tx>
      <c:layout>
        <c:manualLayout>
          <c:xMode val="edge"/>
          <c:yMode val="edge"/>
          <c:x val="0.32991266514162715"/>
          <c:y val="1.881356057744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12388006814794E-2"/>
          <c:y val="0.11059246256010916"/>
          <c:w val="0.94372886091388009"/>
          <c:h val="0.79026007319676628"/>
        </c:manualLayout>
      </c:layout>
      <c:areaChart>
        <c:grouping val="stacked"/>
        <c:varyColors val="0"/>
        <c:ser>
          <c:idx val="0"/>
          <c:order val="0"/>
          <c:tx>
            <c:v>Exito</c:v>
          </c:tx>
          <c:spPr>
            <a:solidFill>
              <a:srgbClr val="00B050"/>
            </a:solidFill>
            <a:ln w="25400">
              <a:noFill/>
            </a:ln>
            <a:effectLst/>
          </c:spPr>
          <c:val>
            <c:numRef>
              <c:f>'Datos Semana'!$C$308:$BB$308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2-4CAF-85B6-05540F38C33D}"/>
            </c:ext>
          </c:extLst>
        </c:ser>
        <c:ser>
          <c:idx val="1"/>
          <c:order val="1"/>
          <c:tx>
            <c:v>Seguridad</c:v>
          </c:tx>
          <c:spPr>
            <a:solidFill>
              <a:srgbClr val="FFFF00"/>
            </a:solidFill>
            <a:ln w="25400">
              <a:noFill/>
            </a:ln>
            <a:effectLst/>
          </c:spPr>
          <c:val>
            <c:numRef>
              <c:f>'Datos Semana'!$C$309:$BB$309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62-4CAF-85B6-05540F38C33D}"/>
            </c:ext>
          </c:extLst>
        </c:ser>
        <c:ser>
          <c:idx val="2"/>
          <c:order val="2"/>
          <c:tx>
            <c:v>Alarma</c:v>
          </c:tx>
          <c:spPr>
            <a:solidFill>
              <a:srgbClr val="FF0000"/>
            </a:solidFill>
            <a:ln w="25400">
              <a:noFill/>
            </a:ln>
            <a:effectLst/>
          </c:spPr>
          <c:val>
            <c:numRef>
              <c:f>'Datos Semana'!$C$310:$BB$310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8</c:v>
                </c:pt>
                <c:pt idx="4">
                  <c:v>17</c:v>
                </c:pt>
                <c:pt idx="5">
                  <c:v>31</c:v>
                </c:pt>
                <c:pt idx="6">
                  <c:v>28</c:v>
                </c:pt>
                <c:pt idx="7">
                  <c:v>18</c:v>
                </c:pt>
                <c:pt idx="8">
                  <c:v>16</c:v>
                </c:pt>
                <c:pt idx="9">
                  <c:v>15</c:v>
                </c:pt>
                <c:pt idx="10">
                  <c:v>16</c:v>
                </c:pt>
                <c:pt idx="11">
                  <c:v>20</c:v>
                </c:pt>
                <c:pt idx="12">
                  <c:v>15</c:v>
                </c:pt>
                <c:pt idx="13">
                  <c:v>14</c:v>
                </c:pt>
                <c:pt idx="14">
                  <c:v>12</c:v>
                </c:pt>
                <c:pt idx="15">
                  <c:v>14</c:v>
                </c:pt>
                <c:pt idx="16">
                  <c:v>20</c:v>
                </c:pt>
                <c:pt idx="17">
                  <c:v>7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62-4CAF-85B6-05540F38C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295935"/>
        <c:axId val="2027307999"/>
      </c:areaChart>
      <c:barChart>
        <c:barDir val="col"/>
        <c:grouping val="clustered"/>
        <c:varyColors val="0"/>
        <c:ser>
          <c:idx val="3"/>
          <c:order val="3"/>
          <c:tx>
            <c:strRef>
              <c:f>'Datos Semana'!$B$294</c:f>
              <c:strCache>
                <c:ptCount val="1"/>
                <c:pt idx="0">
                  <c:v>Casos 2024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'Datos Semana'!$C$283:$BB$283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'Datos Semana'!$C$311:$I$311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5</c:v>
                </c:pt>
                <c:pt idx="5">
                  <c:v>1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62-4CAF-85B6-05540F38C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027295935"/>
        <c:axId val="2027307999"/>
      </c:barChart>
      <c:catAx>
        <c:axId val="2027295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27307999"/>
        <c:crosses val="autoZero"/>
        <c:auto val="1"/>
        <c:lblAlgn val="ctr"/>
        <c:lblOffset val="100"/>
        <c:noMultiLvlLbl val="0"/>
      </c:catAx>
      <c:valAx>
        <c:axId val="202730799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75000"/>
                </a:schemeClr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27295935"/>
        <c:crosses val="autoZero"/>
        <c:crossBetween val="between"/>
      </c:valAx>
      <c:spPr>
        <a:solidFill>
          <a:srgbClr val="FFCCFF"/>
        </a:solidFill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/>
              <a:t>Casos positivos de dengue - periodoepidemico </a:t>
            </a:r>
          </a:p>
          <a:p>
            <a:pPr>
              <a:defRPr/>
            </a:pPr>
            <a:r>
              <a:rPr lang="es-ES"/>
              <a:t>Dpto. Chuquisaca S.E. 35 - 7 gestion 2017 - 2024</a:t>
            </a:r>
          </a:p>
        </c:rich>
      </c:tx>
      <c:layout>
        <c:manualLayout>
          <c:xMode val="edge"/>
          <c:yMode val="edge"/>
          <c:x val="0.33119325362107521"/>
          <c:y val="7.414828458856760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8908839093600892E-2"/>
          <c:y val="8.7768153980752384E-2"/>
          <c:w val="0.95223315907695605"/>
          <c:h val="0.8189453193350830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'Datos Semana'!$A$52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'Datos Semana'!$B$83:$LZ$84</c:f>
              <c:multiLvlStrCache>
                <c:ptCount val="337"/>
                <c:lvl>
                  <c:pt idx="0">
                    <c:v>35</c:v>
                  </c:pt>
                  <c:pt idx="1">
                    <c:v>36</c:v>
                  </c:pt>
                  <c:pt idx="2">
                    <c:v>37</c:v>
                  </c:pt>
                  <c:pt idx="3">
                    <c:v>38</c:v>
                  </c:pt>
                  <c:pt idx="4">
                    <c:v>39</c:v>
                  </c:pt>
                  <c:pt idx="5">
                    <c:v>40</c:v>
                  </c:pt>
                  <c:pt idx="6">
                    <c:v>41</c:v>
                  </c:pt>
                  <c:pt idx="7">
                    <c:v>42</c:v>
                  </c:pt>
                  <c:pt idx="8">
                    <c:v>43</c:v>
                  </c:pt>
                  <c:pt idx="9">
                    <c:v>44</c:v>
                  </c:pt>
                  <c:pt idx="10">
                    <c:v>45</c:v>
                  </c:pt>
                  <c:pt idx="11">
                    <c:v>46</c:v>
                  </c:pt>
                  <c:pt idx="12">
                    <c:v>47</c:v>
                  </c:pt>
                  <c:pt idx="13">
                    <c:v>48</c:v>
                  </c:pt>
                  <c:pt idx="14">
                    <c:v>49</c:v>
                  </c:pt>
                  <c:pt idx="15">
                    <c:v>50</c:v>
                  </c:pt>
                  <c:pt idx="16">
                    <c:v>51</c:v>
                  </c:pt>
                  <c:pt idx="17">
                    <c:v>52</c:v>
                  </c:pt>
                  <c:pt idx="18">
                    <c:v>1</c:v>
                  </c:pt>
                  <c:pt idx="19">
                    <c:v>2</c:v>
                  </c:pt>
                  <c:pt idx="20">
                    <c:v>3</c:v>
                  </c:pt>
                  <c:pt idx="21">
                    <c:v>4</c:v>
                  </c:pt>
                  <c:pt idx="22">
                    <c:v>5</c:v>
                  </c:pt>
                  <c:pt idx="23">
                    <c:v>6</c:v>
                  </c:pt>
                  <c:pt idx="24">
                    <c:v>7</c:v>
                  </c:pt>
                  <c:pt idx="25">
                    <c:v>8</c:v>
                  </c:pt>
                  <c:pt idx="26">
                    <c:v>9</c:v>
                  </c:pt>
                  <c:pt idx="27">
                    <c:v>10</c:v>
                  </c:pt>
                  <c:pt idx="28">
                    <c:v>11</c:v>
                  </c:pt>
                  <c:pt idx="29">
                    <c:v>12</c:v>
                  </c:pt>
                  <c:pt idx="30">
                    <c:v>13</c:v>
                  </c:pt>
                  <c:pt idx="31">
                    <c:v>14</c:v>
                  </c:pt>
                  <c:pt idx="32">
                    <c:v>15</c:v>
                  </c:pt>
                  <c:pt idx="33">
                    <c:v>16</c:v>
                  </c:pt>
                  <c:pt idx="34">
                    <c:v>17</c:v>
                  </c:pt>
                  <c:pt idx="35">
                    <c:v>18</c:v>
                  </c:pt>
                  <c:pt idx="36">
                    <c:v>19</c:v>
                  </c:pt>
                  <c:pt idx="37">
                    <c:v>20</c:v>
                  </c:pt>
                  <c:pt idx="38">
                    <c:v>21</c:v>
                  </c:pt>
                  <c:pt idx="39">
                    <c:v>22</c:v>
                  </c:pt>
                  <c:pt idx="40">
                    <c:v>23</c:v>
                  </c:pt>
                  <c:pt idx="41">
                    <c:v>24</c:v>
                  </c:pt>
                  <c:pt idx="42">
                    <c:v>25</c:v>
                  </c:pt>
                  <c:pt idx="43">
                    <c:v>26</c:v>
                  </c:pt>
                  <c:pt idx="44">
                    <c:v>27</c:v>
                  </c:pt>
                  <c:pt idx="45">
                    <c:v>28</c:v>
                  </c:pt>
                  <c:pt idx="46">
                    <c:v>29</c:v>
                  </c:pt>
                  <c:pt idx="47">
                    <c:v>30</c:v>
                  </c:pt>
                  <c:pt idx="48">
                    <c:v>31</c:v>
                  </c:pt>
                  <c:pt idx="49">
                    <c:v>32</c:v>
                  </c:pt>
                  <c:pt idx="50">
                    <c:v>33</c:v>
                  </c:pt>
                  <c:pt idx="51">
                    <c:v>34</c:v>
                  </c:pt>
                  <c:pt idx="52">
                    <c:v>35</c:v>
                  </c:pt>
                  <c:pt idx="53">
                    <c:v>36</c:v>
                  </c:pt>
                  <c:pt idx="54">
                    <c:v>37</c:v>
                  </c:pt>
                  <c:pt idx="55">
                    <c:v>38</c:v>
                  </c:pt>
                  <c:pt idx="56">
                    <c:v>39</c:v>
                  </c:pt>
                  <c:pt idx="57">
                    <c:v>40</c:v>
                  </c:pt>
                  <c:pt idx="58">
                    <c:v>41</c:v>
                  </c:pt>
                  <c:pt idx="59">
                    <c:v>42</c:v>
                  </c:pt>
                  <c:pt idx="60">
                    <c:v>43</c:v>
                  </c:pt>
                  <c:pt idx="61">
                    <c:v>44</c:v>
                  </c:pt>
                  <c:pt idx="62">
                    <c:v>45</c:v>
                  </c:pt>
                  <c:pt idx="63">
                    <c:v>46</c:v>
                  </c:pt>
                  <c:pt idx="64">
                    <c:v>47</c:v>
                  </c:pt>
                  <c:pt idx="65">
                    <c:v>48</c:v>
                  </c:pt>
                  <c:pt idx="66">
                    <c:v>49</c:v>
                  </c:pt>
                  <c:pt idx="67">
                    <c:v>50</c:v>
                  </c:pt>
                  <c:pt idx="68">
                    <c:v>51</c:v>
                  </c:pt>
                  <c:pt idx="69">
                    <c:v>52</c:v>
                  </c:pt>
                  <c:pt idx="70">
                    <c:v>1</c:v>
                  </c:pt>
                  <c:pt idx="71">
                    <c:v>2</c:v>
                  </c:pt>
                  <c:pt idx="72">
                    <c:v>3</c:v>
                  </c:pt>
                  <c:pt idx="73">
                    <c:v>4</c:v>
                  </c:pt>
                  <c:pt idx="74">
                    <c:v>5</c:v>
                  </c:pt>
                  <c:pt idx="75">
                    <c:v>6</c:v>
                  </c:pt>
                  <c:pt idx="76">
                    <c:v>7</c:v>
                  </c:pt>
                  <c:pt idx="77">
                    <c:v>8</c:v>
                  </c:pt>
                  <c:pt idx="78">
                    <c:v>9</c:v>
                  </c:pt>
                  <c:pt idx="79">
                    <c:v>10</c:v>
                  </c:pt>
                  <c:pt idx="80">
                    <c:v>11</c:v>
                  </c:pt>
                  <c:pt idx="81">
                    <c:v>12</c:v>
                  </c:pt>
                  <c:pt idx="82">
                    <c:v>13</c:v>
                  </c:pt>
                  <c:pt idx="83">
                    <c:v>14</c:v>
                  </c:pt>
                  <c:pt idx="84">
                    <c:v>15</c:v>
                  </c:pt>
                  <c:pt idx="85">
                    <c:v>16</c:v>
                  </c:pt>
                  <c:pt idx="86">
                    <c:v>17</c:v>
                  </c:pt>
                  <c:pt idx="87">
                    <c:v>18</c:v>
                  </c:pt>
                  <c:pt idx="88">
                    <c:v>19</c:v>
                  </c:pt>
                  <c:pt idx="89">
                    <c:v>20</c:v>
                  </c:pt>
                  <c:pt idx="90">
                    <c:v>21</c:v>
                  </c:pt>
                  <c:pt idx="91">
                    <c:v>22</c:v>
                  </c:pt>
                  <c:pt idx="92">
                    <c:v>23</c:v>
                  </c:pt>
                  <c:pt idx="93">
                    <c:v>24</c:v>
                  </c:pt>
                  <c:pt idx="94">
                    <c:v>25</c:v>
                  </c:pt>
                  <c:pt idx="95">
                    <c:v>26</c:v>
                  </c:pt>
                  <c:pt idx="96">
                    <c:v>27</c:v>
                  </c:pt>
                  <c:pt idx="97">
                    <c:v>28</c:v>
                  </c:pt>
                  <c:pt idx="98">
                    <c:v>29</c:v>
                  </c:pt>
                  <c:pt idx="99">
                    <c:v>30</c:v>
                  </c:pt>
                  <c:pt idx="100">
                    <c:v>31</c:v>
                  </c:pt>
                  <c:pt idx="101">
                    <c:v>32</c:v>
                  </c:pt>
                  <c:pt idx="102">
                    <c:v>33</c:v>
                  </c:pt>
                  <c:pt idx="103">
                    <c:v>34</c:v>
                  </c:pt>
                  <c:pt idx="104">
                    <c:v>35</c:v>
                  </c:pt>
                  <c:pt idx="105">
                    <c:v>36</c:v>
                  </c:pt>
                  <c:pt idx="106">
                    <c:v>37</c:v>
                  </c:pt>
                  <c:pt idx="107">
                    <c:v>38</c:v>
                  </c:pt>
                  <c:pt idx="108">
                    <c:v>39</c:v>
                  </c:pt>
                  <c:pt idx="109">
                    <c:v>40</c:v>
                  </c:pt>
                  <c:pt idx="110">
                    <c:v>41</c:v>
                  </c:pt>
                  <c:pt idx="111">
                    <c:v>42</c:v>
                  </c:pt>
                  <c:pt idx="112">
                    <c:v>43</c:v>
                  </c:pt>
                  <c:pt idx="113">
                    <c:v>44</c:v>
                  </c:pt>
                  <c:pt idx="114">
                    <c:v>45</c:v>
                  </c:pt>
                  <c:pt idx="115">
                    <c:v>46</c:v>
                  </c:pt>
                  <c:pt idx="116">
                    <c:v>47</c:v>
                  </c:pt>
                  <c:pt idx="117">
                    <c:v>48</c:v>
                  </c:pt>
                  <c:pt idx="118">
                    <c:v>49</c:v>
                  </c:pt>
                  <c:pt idx="119">
                    <c:v>50</c:v>
                  </c:pt>
                  <c:pt idx="120">
                    <c:v>51</c:v>
                  </c:pt>
                  <c:pt idx="121">
                    <c:v>52</c:v>
                  </c:pt>
                  <c:pt idx="122">
                    <c:v>1</c:v>
                  </c:pt>
                  <c:pt idx="123">
                    <c:v>2</c:v>
                  </c:pt>
                  <c:pt idx="124">
                    <c:v>3</c:v>
                  </c:pt>
                  <c:pt idx="125">
                    <c:v>4</c:v>
                  </c:pt>
                  <c:pt idx="126">
                    <c:v>5</c:v>
                  </c:pt>
                  <c:pt idx="127">
                    <c:v>6</c:v>
                  </c:pt>
                  <c:pt idx="128">
                    <c:v>7</c:v>
                  </c:pt>
                  <c:pt idx="129">
                    <c:v>8</c:v>
                  </c:pt>
                  <c:pt idx="130">
                    <c:v>9</c:v>
                  </c:pt>
                  <c:pt idx="131">
                    <c:v>10</c:v>
                  </c:pt>
                  <c:pt idx="132">
                    <c:v>11</c:v>
                  </c:pt>
                  <c:pt idx="133">
                    <c:v>12</c:v>
                  </c:pt>
                  <c:pt idx="134">
                    <c:v>13</c:v>
                  </c:pt>
                  <c:pt idx="135">
                    <c:v>14</c:v>
                  </c:pt>
                  <c:pt idx="136">
                    <c:v>15</c:v>
                  </c:pt>
                  <c:pt idx="137">
                    <c:v>16</c:v>
                  </c:pt>
                  <c:pt idx="138">
                    <c:v>17</c:v>
                  </c:pt>
                  <c:pt idx="139">
                    <c:v>18</c:v>
                  </c:pt>
                  <c:pt idx="140">
                    <c:v>19</c:v>
                  </c:pt>
                  <c:pt idx="141">
                    <c:v>20</c:v>
                  </c:pt>
                  <c:pt idx="142">
                    <c:v>21</c:v>
                  </c:pt>
                  <c:pt idx="143">
                    <c:v>22</c:v>
                  </c:pt>
                  <c:pt idx="144">
                    <c:v>23</c:v>
                  </c:pt>
                  <c:pt idx="145">
                    <c:v>24</c:v>
                  </c:pt>
                  <c:pt idx="146">
                    <c:v>25</c:v>
                  </c:pt>
                  <c:pt idx="147">
                    <c:v>26</c:v>
                  </c:pt>
                  <c:pt idx="148">
                    <c:v>27</c:v>
                  </c:pt>
                  <c:pt idx="149">
                    <c:v>28</c:v>
                  </c:pt>
                  <c:pt idx="150">
                    <c:v>29</c:v>
                  </c:pt>
                  <c:pt idx="151">
                    <c:v>30</c:v>
                  </c:pt>
                  <c:pt idx="152">
                    <c:v>31</c:v>
                  </c:pt>
                  <c:pt idx="153">
                    <c:v>32</c:v>
                  </c:pt>
                  <c:pt idx="154">
                    <c:v>33</c:v>
                  </c:pt>
                  <c:pt idx="155">
                    <c:v>34</c:v>
                  </c:pt>
                  <c:pt idx="156">
                    <c:v>35</c:v>
                  </c:pt>
                  <c:pt idx="157">
                    <c:v>36</c:v>
                  </c:pt>
                  <c:pt idx="158">
                    <c:v>37</c:v>
                  </c:pt>
                  <c:pt idx="159">
                    <c:v>38</c:v>
                  </c:pt>
                  <c:pt idx="160">
                    <c:v>39</c:v>
                  </c:pt>
                  <c:pt idx="161">
                    <c:v>40</c:v>
                  </c:pt>
                  <c:pt idx="162">
                    <c:v>41</c:v>
                  </c:pt>
                  <c:pt idx="163">
                    <c:v>42</c:v>
                  </c:pt>
                  <c:pt idx="164">
                    <c:v>43</c:v>
                  </c:pt>
                  <c:pt idx="165">
                    <c:v>44</c:v>
                  </c:pt>
                  <c:pt idx="166">
                    <c:v>45</c:v>
                  </c:pt>
                  <c:pt idx="167">
                    <c:v>46</c:v>
                  </c:pt>
                  <c:pt idx="168">
                    <c:v>47</c:v>
                  </c:pt>
                  <c:pt idx="169">
                    <c:v>48</c:v>
                  </c:pt>
                  <c:pt idx="170">
                    <c:v>49</c:v>
                  </c:pt>
                  <c:pt idx="171">
                    <c:v>50</c:v>
                  </c:pt>
                  <c:pt idx="172">
                    <c:v>51</c:v>
                  </c:pt>
                  <c:pt idx="173">
                    <c:v>52</c:v>
                  </c:pt>
                  <c:pt idx="174">
                    <c:v>53</c:v>
                  </c:pt>
                  <c:pt idx="175">
                    <c:v>1</c:v>
                  </c:pt>
                  <c:pt idx="176">
                    <c:v>2</c:v>
                  </c:pt>
                  <c:pt idx="177">
                    <c:v>3</c:v>
                  </c:pt>
                  <c:pt idx="178">
                    <c:v>4</c:v>
                  </c:pt>
                  <c:pt idx="179">
                    <c:v>5</c:v>
                  </c:pt>
                  <c:pt idx="180">
                    <c:v>6</c:v>
                  </c:pt>
                  <c:pt idx="181">
                    <c:v>7</c:v>
                  </c:pt>
                  <c:pt idx="182">
                    <c:v>8</c:v>
                  </c:pt>
                  <c:pt idx="183">
                    <c:v>9</c:v>
                  </c:pt>
                  <c:pt idx="184">
                    <c:v>10</c:v>
                  </c:pt>
                  <c:pt idx="185">
                    <c:v>11</c:v>
                  </c:pt>
                  <c:pt idx="186">
                    <c:v>12</c:v>
                  </c:pt>
                  <c:pt idx="187">
                    <c:v>13</c:v>
                  </c:pt>
                  <c:pt idx="188">
                    <c:v>14</c:v>
                  </c:pt>
                  <c:pt idx="189">
                    <c:v>15</c:v>
                  </c:pt>
                  <c:pt idx="190">
                    <c:v>16</c:v>
                  </c:pt>
                  <c:pt idx="191">
                    <c:v>17</c:v>
                  </c:pt>
                  <c:pt idx="192">
                    <c:v>18</c:v>
                  </c:pt>
                  <c:pt idx="193">
                    <c:v>19</c:v>
                  </c:pt>
                  <c:pt idx="194">
                    <c:v>20</c:v>
                  </c:pt>
                  <c:pt idx="195">
                    <c:v>21</c:v>
                  </c:pt>
                  <c:pt idx="196">
                    <c:v>22</c:v>
                  </c:pt>
                  <c:pt idx="197">
                    <c:v>23</c:v>
                  </c:pt>
                  <c:pt idx="198">
                    <c:v>24</c:v>
                  </c:pt>
                  <c:pt idx="199">
                    <c:v>25</c:v>
                  </c:pt>
                  <c:pt idx="200">
                    <c:v>26</c:v>
                  </c:pt>
                  <c:pt idx="201">
                    <c:v>27</c:v>
                  </c:pt>
                  <c:pt idx="202">
                    <c:v>28</c:v>
                  </c:pt>
                  <c:pt idx="203">
                    <c:v>29</c:v>
                  </c:pt>
                  <c:pt idx="204">
                    <c:v>30</c:v>
                  </c:pt>
                  <c:pt idx="205">
                    <c:v>31</c:v>
                  </c:pt>
                  <c:pt idx="206">
                    <c:v>32</c:v>
                  </c:pt>
                  <c:pt idx="207">
                    <c:v>33</c:v>
                  </c:pt>
                  <c:pt idx="208">
                    <c:v>34</c:v>
                  </c:pt>
                  <c:pt idx="209">
                    <c:v>35</c:v>
                  </c:pt>
                  <c:pt idx="210">
                    <c:v>36</c:v>
                  </c:pt>
                  <c:pt idx="211">
                    <c:v>37</c:v>
                  </c:pt>
                  <c:pt idx="212">
                    <c:v>38</c:v>
                  </c:pt>
                  <c:pt idx="213">
                    <c:v>39</c:v>
                  </c:pt>
                  <c:pt idx="214">
                    <c:v>40</c:v>
                  </c:pt>
                  <c:pt idx="215">
                    <c:v>41</c:v>
                  </c:pt>
                  <c:pt idx="216">
                    <c:v>42</c:v>
                  </c:pt>
                  <c:pt idx="217">
                    <c:v>43</c:v>
                  </c:pt>
                  <c:pt idx="218">
                    <c:v>44</c:v>
                  </c:pt>
                  <c:pt idx="219">
                    <c:v>45</c:v>
                  </c:pt>
                  <c:pt idx="220">
                    <c:v>46</c:v>
                  </c:pt>
                  <c:pt idx="221">
                    <c:v>47</c:v>
                  </c:pt>
                  <c:pt idx="222">
                    <c:v>48</c:v>
                  </c:pt>
                  <c:pt idx="223">
                    <c:v>49</c:v>
                  </c:pt>
                  <c:pt idx="224">
                    <c:v>50</c:v>
                  </c:pt>
                  <c:pt idx="225">
                    <c:v>51</c:v>
                  </c:pt>
                  <c:pt idx="226">
                    <c:v>52</c:v>
                  </c:pt>
                  <c:pt idx="227">
                    <c:v>1</c:v>
                  </c:pt>
                  <c:pt idx="228">
                    <c:v>2</c:v>
                  </c:pt>
                  <c:pt idx="229">
                    <c:v>3</c:v>
                  </c:pt>
                  <c:pt idx="230">
                    <c:v>4</c:v>
                  </c:pt>
                  <c:pt idx="231">
                    <c:v>5</c:v>
                  </c:pt>
                  <c:pt idx="232">
                    <c:v>6</c:v>
                  </c:pt>
                  <c:pt idx="233">
                    <c:v>7</c:v>
                  </c:pt>
                  <c:pt idx="234">
                    <c:v>8</c:v>
                  </c:pt>
                  <c:pt idx="235">
                    <c:v>9</c:v>
                  </c:pt>
                  <c:pt idx="236">
                    <c:v>10</c:v>
                  </c:pt>
                  <c:pt idx="237">
                    <c:v>11</c:v>
                  </c:pt>
                  <c:pt idx="238">
                    <c:v>12</c:v>
                  </c:pt>
                  <c:pt idx="239">
                    <c:v>13</c:v>
                  </c:pt>
                  <c:pt idx="240">
                    <c:v>14</c:v>
                  </c:pt>
                  <c:pt idx="241">
                    <c:v>15</c:v>
                  </c:pt>
                  <c:pt idx="242">
                    <c:v>16</c:v>
                  </c:pt>
                  <c:pt idx="243">
                    <c:v>17</c:v>
                  </c:pt>
                  <c:pt idx="244">
                    <c:v>18</c:v>
                  </c:pt>
                  <c:pt idx="245">
                    <c:v>19</c:v>
                  </c:pt>
                  <c:pt idx="246">
                    <c:v>20</c:v>
                  </c:pt>
                  <c:pt idx="247">
                    <c:v>21</c:v>
                  </c:pt>
                  <c:pt idx="248">
                    <c:v>22</c:v>
                  </c:pt>
                  <c:pt idx="249">
                    <c:v>23</c:v>
                  </c:pt>
                  <c:pt idx="250">
                    <c:v>24</c:v>
                  </c:pt>
                  <c:pt idx="251">
                    <c:v>25</c:v>
                  </c:pt>
                  <c:pt idx="252">
                    <c:v>26</c:v>
                  </c:pt>
                  <c:pt idx="253">
                    <c:v>27</c:v>
                  </c:pt>
                  <c:pt idx="254">
                    <c:v>28</c:v>
                  </c:pt>
                  <c:pt idx="255">
                    <c:v>29</c:v>
                  </c:pt>
                  <c:pt idx="256">
                    <c:v>30</c:v>
                  </c:pt>
                  <c:pt idx="257">
                    <c:v>31</c:v>
                  </c:pt>
                  <c:pt idx="258">
                    <c:v>32</c:v>
                  </c:pt>
                  <c:pt idx="259">
                    <c:v>33</c:v>
                  </c:pt>
                  <c:pt idx="260">
                    <c:v>34</c:v>
                  </c:pt>
                  <c:pt idx="261">
                    <c:v>35</c:v>
                  </c:pt>
                  <c:pt idx="262">
                    <c:v>36</c:v>
                  </c:pt>
                  <c:pt idx="263">
                    <c:v>37</c:v>
                  </c:pt>
                  <c:pt idx="264">
                    <c:v>38</c:v>
                  </c:pt>
                  <c:pt idx="265">
                    <c:v>39</c:v>
                  </c:pt>
                  <c:pt idx="266">
                    <c:v>40</c:v>
                  </c:pt>
                  <c:pt idx="267">
                    <c:v>41</c:v>
                  </c:pt>
                  <c:pt idx="268">
                    <c:v>42</c:v>
                  </c:pt>
                  <c:pt idx="269">
                    <c:v>43</c:v>
                  </c:pt>
                  <c:pt idx="270">
                    <c:v>44</c:v>
                  </c:pt>
                  <c:pt idx="271">
                    <c:v>45</c:v>
                  </c:pt>
                  <c:pt idx="272">
                    <c:v>46</c:v>
                  </c:pt>
                  <c:pt idx="273">
                    <c:v>47</c:v>
                  </c:pt>
                  <c:pt idx="274">
                    <c:v>48</c:v>
                  </c:pt>
                  <c:pt idx="275">
                    <c:v>49</c:v>
                  </c:pt>
                  <c:pt idx="276">
                    <c:v>50</c:v>
                  </c:pt>
                  <c:pt idx="277">
                    <c:v>51</c:v>
                  </c:pt>
                  <c:pt idx="278">
                    <c:v>52</c:v>
                  </c:pt>
                  <c:pt idx="279">
                    <c:v>1</c:v>
                  </c:pt>
                  <c:pt idx="280">
                    <c:v>2</c:v>
                  </c:pt>
                  <c:pt idx="281">
                    <c:v>3</c:v>
                  </c:pt>
                  <c:pt idx="282">
                    <c:v>4</c:v>
                  </c:pt>
                  <c:pt idx="283">
                    <c:v>5</c:v>
                  </c:pt>
                  <c:pt idx="284">
                    <c:v>6</c:v>
                  </c:pt>
                  <c:pt idx="285">
                    <c:v>7</c:v>
                  </c:pt>
                  <c:pt idx="286">
                    <c:v>8</c:v>
                  </c:pt>
                  <c:pt idx="287">
                    <c:v>9</c:v>
                  </c:pt>
                  <c:pt idx="288">
                    <c:v>10</c:v>
                  </c:pt>
                  <c:pt idx="289">
                    <c:v>11</c:v>
                  </c:pt>
                  <c:pt idx="290">
                    <c:v>12</c:v>
                  </c:pt>
                  <c:pt idx="291">
                    <c:v>13</c:v>
                  </c:pt>
                  <c:pt idx="292">
                    <c:v>14</c:v>
                  </c:pt>
                  <c:pt idx="293">
                    <c:v>15</c:v>
                  </c:pt>
                  <c:pt idx="294">
                    <c:v>16</c:v>
                  </c:pt>
                  <c:pt idx="295">
                    <c:v>17</c:v>
                  </c:pt>
                  <c:pt idx="296">
                    <c:v>18</c:v>
                  </c:pt>
                  <c:pt idx="297">
                    <c:v>19</c:v>
                  </c:pt>
                  <c:pt idx="298">
                    <c:v>20</c:v>
                  </c:pt>
                  <c:pt idx="299">
                    <c:v>21</c:v>
                  </c:pt>
                  <c:pt idx="300">
                    <c:v>22</c:v>
                  </c:pt>
                  <c:pt idx="301">
                    <c:v>23</c:v>
                  </c:pt>
                  <c:pt idx="302">
                    <c:v>24</c:v>
                  </c:pt>
                  <c:pt idx="303">
                    <c:v>25</c:v>
                  </c:pt>
                  <c:pt idx="304">
                    <c:v>26</c:v>
                  </c:pt>
                  <c:pt idx="305">
                    <c:v>27</c:v>
                  </c:pt>
                  <c:pt idx="306">
                    <c:v>28</c:v>
                  </c:pt>
                  <c:pt idx="307">
                    <c:v>29</c:v>
                  </c:pt>
                  <c:pt idx="308">
                    <c:v>30</c:v>
                  </c:pt>
                  <c:pt idx="309">
                    <c:v>31</c:v>
                  </c:pt>
                  <c:pt idx="310">
                    <c:v>32</c:v>
                  </c:pt>
                  <c:pt idx="311">
                    <c:v>33</c:v>
                  </c:pt>
                  <c:pt idx="312">
                    <c:v>34</c:v>
                  </c:pt>
                  <c:pt idx="313">
                    <c:v>35</c:v>
                  </c:pt>
                  <c:pt idx="314">
                    <c:v>36</c:v>
                  </c:pt>
                  <c:pt idx="315">
                    <c:v>37</c:v>
                  </c:pt>
                  <c:pt idx="316">
                    <c:v>38</c:v>
                  </c:pt>
                  <c:pt idx="317">
                    <c:v>39</c:v>
                  </c:pt>
                  <c:pt idx="318">
                    <c:v>40</c:v>
                  </c:pt>
                  <c:pt idx="319">
                    <c:v>41</c:v>
                  </c:pt>
                  <c:pt idx="320">
                    <c:v>42</c:v>
                  </c:pt>
                  <c:pt idx="321">
                    <c:v>43</c:v>
                  </c:pt>
                  <c:pt idx="322">
                    <c:v>44</c:v>
                  </c:pt>
                  <c:pt idx="323">
                    <c:v>45</c:v>
                  </c:pt>
                  <c:pt idx="324">
                    <c:v>46</c:v>
                  </c:pt>
                  <c:pt idx="325">
                    <c:v>47</c:v>
                  </c:pt>
                  <c:pt idx="326">
                    <c:v>48</c:v>
                  </c:pt>
                  <c:pt idx="327">
                    <c:v>49</c:v>
                  </c:pt>
                  <c:pt idx="328">
                    <c:v>50</c:v>
                  </c:pt>
                  <c:pt idx="329">
                    <c:v>51</c:v>
                  </c:pt>
                  <c:pt idx="330">
                    <c:v>52</c:v>
                  </c:pt>
                  <c:pt idx="331">
                    <c:v>1</c:v>
                  </c:pt>
                  <c:pt idx="332">
                    <c:v>2</c:v>
                  </c:pt>
                  <c:pt idx="333">
                    <c:v>3</c:v>
                  </c:pt>
                  <c:pt idx="334">
                    <c:v>4</c:v>
                  </c:pt>
                  <c:pt idx="335">
                    <c:v>5</c:v>
                  </c:pt>
                  <c:pt idx="336">
                    <c:v>6</c:v>
                  </c:pt>
                </c:lvl>
                <c:lvl>
                  <c:pt idx="0">
                    <c:v>2017 - 2018</c:v>
                  </c:pt>
                  <c:pt idx="52">
                    <c:v>2018 - 2019</c:v>
                  </c:pt>
                  <c:pt idx="104">
                    <c:v>2019-2020</c:v>
                  </c:pt>
                  <c:pt idx="156">
                    <c:v>2020-2021</c:v>
                  </c:pt>
                  <c:pt idx="209">
                    <c:v>2021-2022</c:v>
                  </c:pt>
                  <c:pt idx="261">
                    <c:v>2022-2023</c:v>
                  </c:pt>
                  <c:pt idx="314">
                    <c:v>2023-2024</c:v>
                  </c:pt>
                </c:lvl>
              </c:multiLvlStrCache>
            </c:multiLvlStrRef>
          </c:cat>
          <c:val>
            <c:numRef>
              <c:f>'Datos Semana'!$B$86:$LZ$86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4</c:v>
                </c:pt>
                <c:pt idx="118">
                  <c:v>0</c:v>
                </c:pt>
                <c:pt idx="119">
                  <c:v>3</c:v>
                </c:pt>
                <c:pt idx="120">
                  <c:v>9</c:v>
                </c:pt>
                <c:pt idx="121">
                  <c:v>28</c:v>
                </c:pt>
                <c:pt idx="122">
                  <c:v>9</c:v>
                </c:pt>
                <c:pt idx="123">
                  <c:v>85</c:v>
                </c:pt>
                <c:pt idx="124">
                  <c:v>127</c:v>
                </c:pt>
                <c:pt idx="125">
                  <c:v>126</c:v>
                </c:pt>
                <c:pt idx="126">
                  <c:v>188</c:v>
                </c:pt>
                <c:pt idx="127">
                  <c:v>231</c:v>
                </c:pt>
                <c:pt idx="128">
                  <c:v>304</c:v>
                </c:pt>
                <c:pt idx="129">
                  <c:v>217</c:v>
                </c:pt>
                <c:pt idx="130">
                  <c:v>156</c:v>
                </c:pt>
                <c:pt idx="131">
                  <c:v>116</c:v>
                </c:pt>
                <c:pt idx="132">
                  <c:v>155</c:v>
                </c:pt>
                <c:pt idx="133">
                  <c:v>152</c:v>
                </c:pt>
                <c:pt idx="134">
                  <c:v>128</c:v>
                </c:pt>
                <c:pt idx="135">
                  <c:v>156</c:v>
                </c:pt>
                <c:pt idx="136">
                  <c:v>177</c:v>
                </c:pt>
                <c:pt idx="137">
                  <c:v>87</c:v>
                </c:pt>
                <c:pt idx="138">
                  <c:v>68</c:v>
                </c:pt>
                <c:pt idx="139">
                  <c:v>32</c:v>
                </c:pt>
                <c:pt idx="140">
                  <c:v>33</c:v>
                </c:pt>
                <c:pt idx="141">
                  <c:v>19</c:v>
                </c:pt>
                <c:pt idx="142">
                  <c:v>9</c:v>
                </c:pt>
                <c:pt idx="143">
                  <c:v>6</c:v>
                </c:pt>
                <c:pt idx="144">
                  <c:v>2</c:v>
                </c:pt>
                <c:pt idx="145">
                  <c:v>1</c:v>
                </c:pt>
                <c:pt idx="146">
                  <c:v>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2</c:v>
                </c:pt>
                <c:pt idx="174">
                  <c:v>0</c:v>
                </c:pt>
                <c:pt idx="175">
                  <c:v>1</c:v>
                </c:pt>
                <c:pt idx="176">
                  <c:v>2</c:v>
                </c:pt>
                <c:pt idx="177">
                  <c:v>3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6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4</c:v>
                </c:pt>
                <c:pt idx="235">
                  <c:v>9</c:v>
                </c:pt>
                <c:pt idx="236">
                  <c:v>14</c:v>
                </c:pt>
                <c:pt idx="237">
                  <c:v>15</c:v>
                </c:pt>
                <c:pt idx="238">
                  <c:v>8</c:v>
                </c:pt>
                <c:pt idx="239">
                  <c:v>3</c:v>
                </c:pt>
                <c:pt idx="240">
                  <c:v>1</c:v>
                </c:pt>
                <c:pt idx="241">
                  <c:v>3</c:v>
                </c:pt>
                <c:pt idx="242">
                  <c:v>4</c:v>
                </c:pt>
                <c:pt idx="243">
                  <c:v>13</c:v>
                </c:pt>
                <c:pt idx="244">
                  <c:v>4</c:v>
                </c:pt>
                <c:pt idx="245">
                  <c:v>8</c:v>
                </c:pt>
                <c:pt idx="246">
                  <c:v>6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2</c:v>
                </c:pt>
                <c:pt idx="279">
                  <c:v>4</c:v>
                </c:pt>
                <c:pt idx="280">
                  <c:v>2</c:v>
                </c:pt>
                <c:pt idx="281">
                  <c:v>11</c:v>
                </c:pt>
                <c:pt idx="282">
                  <c:v>21</c:v>
                </c:pt>
                <c:pt idx="283">
                  <c:v>57</c:v>
                </c:pt>
                <c:pt idx="284">
                  <c:v>78</c:v>
                </c:pt>
                <c:pt idx="285">
                  <c:v>97</c:v>
                </c:pt>
                <c:pt idx="286">
                  <c:v>88</c:v>
                </c:pt>
                <c:pt idx="287">
                  <c:v>78</c:v>
                </c:pt>
                <c:pt idx="288">
                  <c:v>175</c:v>
                </c:pt>
                <c:pt idx="289">
                  <c:v>130</c:v>
                </c:pt>
                <c:pt idx="290">
                  <c:v>283</c:v>
                </c:pt>
                <c:pt idx="291">
                  <c:v>140</c:v>
                </c:pt>
                <c:pt idx="292">
                  <c:v>194</c:v>
                </c:pt>
                <c:pt idx="293">
                  <c:v>220</c:v>
                </c:pt>
                <c:pt idx="294">
                  <c:v>170</c:v>
                </c:pt>
                <c:pt idx="295">
                  <c:v>86</c:v>
                </c:pt>
                <c:pt idx="296">
                  <c:v>98</c:v>
                </c:pt>
                <c:pt idx="297">
                  <c:v>37</c:v>
                </c:pt>
                <c:pt idx="298">
                  <c:v>24</c:v>
                </c:pt>
                <c:pt idx="299">
                  <c:v>21</c:v>
                </c:pt>
                <c:pt idx="300">
                  <c:v>21</c:v>
                </c:pt>
                <c:pt idx="301">
                  <c:v>19</c:v>
                </c:pt>
                <c:pt idx="302">
                  <c:v>9</c:v>
                </c:pt>
                <c:pt idx="303">
                  <c:v>2</c:v>
                </c:pt>
                <c:pt idx="304">
                  <c:v>3</c:v>
                </c:pt>
                <c:pt idx="305">
                  <c:v>4</c:v>
                </c:pt>
                <c:pt idx="306">
                  <c:v>2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2</c:v>
                </c:pt>
                <c:pt idx="333">
                  <c:v>1</c:v>
                </c:pt>
                <c:pt idx="334">
                  <c:v>0</c:v>
                </c:pt>
                <c:pt idx="335">
                  <c:v>3</c:v>
                </c:pt>
                <c:pt idx="3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E-4E32-A6BF-F928C3CC4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57467648"/>
        <c:axId val="-1757469280"/>
      </c:barChart>
      <c:catAx>
        <c:axId val="-175746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B0F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57469280"/>
        <c:crosses val="autoZero"/>
        <c:auto val="1"/>
        <c:lblAlgn val="ctr"/>
        <c:lblOffset val="100"/>
        <c:noMultiLvlLbl val="0"/>
      </c:catAx>
      <c:valAx>
        <c:axId val="-17574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B0F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5746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sz="1400"/>
              <a:t>Dengue, Sospechosos - Positivos - Incidencia</a:t>
            </a:r>
          </a:p>
          <a:p>
            <a:pPr>
              <a:defRPr/>
            </a:pPr>
            <a:r>
              <a:rPr lang="es-ES" sz="1400"/>
              <a:t>Chuquisaca - 2009 - 2025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932510689363725"/>
          <c:y val="0.22691172956401456"/>
          <c:w val="0.77940136054421771"/>
          <c:h val="0.63776617901819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Gestiones'!$B$4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('Datos Gestiones'!$C$2:$N$2,'Datos Gestiones'!$O$2,'Datos Gestiones'!$P$2,'Datos Gestiones'!$Q$2,'Datos Gestiones'!$R$2,'Datos Gestiones'!$S$2)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('Datos Gestiones'!$C$4:$N$4,'Datos Gestiones'!$O$4,'Datos Gestiones'!$P$4,'Datos Gestiones'!$Q$4,'Datos Gestiones'!$R$4,'Datos Gestiones'!$S$4)</c:f>
              <c:numCache>
                <c:formatCode>General</c:formatCode>
                <c:ptCount val="17"/>
                <c:pt idx="0">
                  <c:v>979</c:v>
                </c:pt>
                <c:pt idx="1">
                  <c:v>52</c:v>
                </c:pt>
                <c:pt idx="2">
                  <c:v>174</c:v>
                </c:pt>
                <c:pt idx="3">
                  <c:v>443</c:v>
                </c:pt>
                <c:pt idx="4">
                  <c:v>318</c:v>
                </c:pt>
                <c:pt idx="5">
                  <c:v>912</c:v>
                </c:pt>
                <c:pt idx="6">
                  <c:v>535</c:v>
                </c:pt>
                <c:pt idx="7">
                  <c:v>574</c:v>
                </c:pt>
                <c:pt idx="8">
                  <c:v>231</c:v>
                </c:pt>
                <c:pt idx="9">
                  <c:v>213</c:v>
                </c:pt>
                <c:pt idx="10">
                  <c:v>221</c:v>
                </c:pt>
                <c:pt idx="11">
                  <c:v>4110</c:v>
                </c:pt>
                <c:pt idx="12">
                  <c:v>242</c:v>
                </c:pt>
                <c:pt idx="13">
                  <c:v>650</c:v>
                </c:pt>
                <c:pt idx="14">
                  <c:v>4981</c:v>
                </c:pt>
                <c:pt idx="15">
                  <c:v>1436</c:v>
                </c:pt>
                <c:pt idx="16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D-466C-AA9A-C7C136D3CB60}"/>
            </c:ext>
          </c:extLst>
        </c:ser>
        <c:ser>
          <c:idx val="1"/>
          <c:order val="1"/>
          <c:tx>
            <c:strRef>
              <c:f>'Datos Gestiones'!$B$5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('Datos Gestiones'!$C$2:$N$2,'Datos Gestiones'!$O$2,'Datos Gestiones'!$P$2,'Datos Gestiones'!$Q$2,'Datos Gestiones'!$R$2,'Datos Gestiones'!$S$2)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('Datos Gestiones'!$C$5:$N$5,'Datos Gestiones'!$O$5,'Datos Gestiones'!$P$5,'Datos Gestiones'!$Q$5,'Datos Gestiones'!$R$5,'Datos Gestiones'!$S$5)</c:f>
              <c:numCache>
                <c:formatCode>General</c:formatCode>
                <c:ptCount val="17"/>
                <c:pt idx="0">
                  <c:v>370</c:v>
                </c:pt>
                <c:pt idx="1">
                  <c:v>3</c:v>
                </c:pt>
                <c:pt idx="2">
                  <c:v>38</c:v>
                </c:pt>
                <c:pt idx="3">
                  <c:v>189</c:v>
                </c:pt>
                <c:pt idx="4">
                  <c:v>59</c:v>
                </c:pt>
                <c:pt idx="5">
                  <c:v>139</c:v>
                </c:pt>
                <c:pt idx="6">
                  <c:v>15</c:v>
                </c:pt>
                <c:pt idx="7">
                  <c:v>39</c:v>
                </c:pt>
                <c:pt idx="8">
                  <c:v>20</c:v>
                </c:pt>
                <c:pt idx="9">
                  <c:v>9</c:v>
                </c:pt>
                <c:pt idx="10">
                  <c:v>55</c:v>
                </c:pt>
                <c:pt idx="11">
                  <c:v>2589</c:v>
                </c:pt>
                <c:pt idx="12">
                  <c:v>27</c:v>
                </c:pt>
                <c:pt idx="13">
                  <c:v>102</c:v>
                </c:pt>
                <c:pt idx="14">
                  <c:v>2077</c:v>
                </c:pt>
                <c:pt idx="15">
                  <c:v>325</c:v>
                </c:pt>
                <c:pt idx="16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D-466C-AA9A-C7C136D3C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62399632"/>
        <c:axId val="-1762402352"/>
      </c:barChart>
      <c:lineChart>
        <c:grouping val="stacked"/>
        <c:varyColors val="0"/>
        <c:ser>
          <c:idx val="2"/>
          <c:order val="2"/>
          <c:tx>
            <c:strRef>
              <c:f>'Datos Gestiones'!$B$6</c:f>
              <c:strCache>
                <c:ptCount val="1"/>
                <c:pt idx="0">
                  <c:v>TI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4.1335163513392802E-2"/>
                  <c:y val="-3.03465670520445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AE-4DED-B5B2-15639B4C2C3B}"/>
                </c:ext>
              </c:extLst>
            </c:dLbl>
            <c:dLbl>
              <c:idx val="12"/>
              <c:layout>
                <c:manualLayout>
                  <c:x val="-6.2185644223688129E-3"/>
                  <c:y val="-4.4461249401832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AE-4DED-B5B2-15639B4C2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Gestiones'!$C$2:$N$2,'Datos Gestiones'!$O$2,'Datos Gestiones'!$P$2,'Datos Gestiones'!$Q$2:$R$2)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('Datos Gestiones'!$C$6:$N$6,'Datos Gestiones'!$O$6,'Datos Gestiones'!$P$6,'Datos Gestiones'!$Q$6,'Datos Gestiones'!$R$6,'Datos Gestiones'!$S$6)</c:f>
              <c:numCache>
                <c:formatCode>0.00</c:formatCode>
                <c:ptCount val="17"/>
                <c:pt idx="0" formatCode="0.0">
                  <c:v>13.114986530554374</c:v>
                </c:pt>
                <c:pt idx="1">
                  <c:v>0.11778886738151423</c:v>
                </c:pt>
                <c:pt idx="2" formatCode="0.0">
                  <c:v>1.0384329500240479</c:v>
                </c:pt>
                <c:pt idx="3" formatCode="0.0">
                  <c:v>5.1235202107962596</c:v>
                </c:pt>
                <c:pt idx="4" formatCode="0.0">
                  <c:v>1.607182744850205</c:v>
                </c:pt>
                <c:pt idx="5" formatCode="0.0">
                  <c:v>3.9220444291450227</c:v>
                </c:pt>
                <c:pt idx="6" formatCode="0.0">
                  <c:v>0.41416442327604058</c:v>
                </c:pt>
                <c:pt idx="7" formatCode="0.0">
                  <c:v>0.97716197086052892</c:v>
                </c:pt>
                <c:pt idx="8" formatCode="0.0">
                  <c:v>0.55401508583078718</c:v>
                </c:pt>
                <c:pt idx="9" formatCode="0.0">
                  <c:v>0.24893029122078178</c:v>
                </c:pt>
                <c:pt idx="10" formatCode="0.0">
                  <c:v>1.5184142234001436</c:v>
                </c:pt>
                <c:pt idx="11" formatCode="0.0">
                  <c:v>71.231655578850052</c:v>
                </c:pt>
                <c:pt idx="12" formatCode="0.0">
                  <c:v>0.74145677032415391</c:v>
                </c:pt>
                <c:pt idx="13" formatCode="0.0">
                  <c:v>2.7992370706807357</c:v>
                </c:pt>
                <c:pt idx="14" formatCode="0.0">
                  <c:v>56.649265496042467</c:v>
                </c:pt>
                <c:pt idx="15" formatCode="0.0">
                  <c:v>8.8384387781742237</c:v>
                </c:pt>
                <c:pt idx="16" formatCode="0.0">
                  <c:v>3.345009137585937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AD-466C-AA9A-C7C136D3C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62400720"/>
        <c:axId val="-1762401264"/>
      </c:lineChart>
      <c:catAx>
        <c:axId val="-17623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62402352"/>
        <c:crosses val="autoZero"/>
        <c:auto val="1"/>
        <c:lblAlgn val="ctr"/>
        <c:lblOffset val="100"/>
        <c:noMultiLvlLbl val="0"/>
      </c:catAx>
      <c:valAx>
        <c:axId val="-176240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Numero</a:t>
                </a:r>
              </a:p>
            </c:rich>
          </c:tx>
          <c:layout>
            <c:manualLayout>
              <c:xMode val="edge"/>
              <c:yMode val="edge"/>
              <c:x val="5.7009909475601264E-2"/>
              <c:y val="0.442495352622785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62399632"/>
        <c:crosses val="autoZero"/>
        <c:crossBetween val="between"/>
      </c:valAx>
      <c:valAx>
        <c:axId val="-1762401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Tasa Incidencia 10000 Hab.</a:t>
                </a:r>
              </a:p>
            </c:rich>
          </c:tx>
          <c:layout>
            <c:manualLayout>
              <c:xMode val="edge"/>
              <c:yMode val="edge"/>
              <c:x val="0.96751095398789433"/>
              <c:y val="0.354086862313768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62400720"/>
        <c:crosses val="max"/>
        <c:crossBetween val="between"/>
      </c:valAx>
      <c:catAx>
        <c:axId val="-1762400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624012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sz="1400" b="0" i="0" baseline="0">
                <a:effectLst/>
              </a:rPr>
              <a:t>Chikungunya, Sospechosos - Positivos - Tasa de Incidencia</a:t>
            </a:r>
            <a:endParaRPr lang="es-ES" sz="1400">
              <a:effectLst/>
            </a:endParaRPr>
          </a:p>
          <a:p>
            <a:pPr>
              <a:defRPr/>
            </a:pPr>
            <a:r>
              <a:rPr lang="es-ES" sz="1400" b="0" i="0" baseline="0">
                <a:effectLst/>
              </a:rPr>
              <a:t>Dpto. Chuquisaca 2016 - 2025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595736849042814"/>
          <c:y val="0.15169696969696969"/>
          <c:w val="0.79451519241027868"/>
          <c:h val="0.712724727590869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Gestiones'!$B$10</c:f>
              <c:strCache>
                <c:ptCount val="1"/>
                <c:pt idx="0">
                  <c:v>Sospechosos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('Datos Gestiones'!$C$8:$H$8,'Datos Gestiones'!$I$8,'Datos Gestiones'!$J$8,'Datos Gestiones'!$K$8,'Datos Gestiones'!$L$8,'Datos Gestiones'!$M$8)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('Datos Gestiones'!$C$10:$H$10,'Datos Gestiones'!$I$10,'Datos Gestiones'!$J$10,'Datos Gestiones'!$K$10,'Datos Gestiones'!$L$10,'Datos Gestiones'!$M$10)</c:f>
              <c:numCache>
                <c:formatCode>General</c:formatCode>
                <c:ptCount val="11"/>
                <c:pt idx="0">
                  <c:v>82</c:v>
                </c:pt>
                <c:pt idx="1">
                  <c:v>373</c:v>
                </c:pt>
                <c:pt idx="2">
                  <c:v>174</c:v>
                </c:pt>
                <c:pt idx="3">
                  <c:v>159</c:v>
                </c:pt>
                <c:pt idx="4">
                  <c:v>59</c:v>
                </c:pt>
                <c:pt idx="5">
                  <c:v>353</c:v>
                </c:pt>
                <c:pt idx="6">
                  <c:v>39</c:v>
                </c:pt>
                <c:pt idx="7">
                  <c:v>57</c:v>
                </c:pt>
                <c:pt idx="8">
                  <c:v>184</c:v>
                </c:pt>
                <c:pt idx="9">
                  <c:v>15</c:v>
                </c:pt>
                <c:pt idx="10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F-4133-AB81-B8E20D7573AD}"/>
            </c:ext>
          </c:extLst>
        </c:ser>
        <c:ser>
          <c:idx val="1"/>
          <c:order val="1"/>
          <c:tx>
            <c:strRef>
              <c:f>'Datos Gestiones'!$B$11</c:f>
              <c:strCache>
                <c:ptCount val="1"/>
                <c:pt idx="0">
                  <c:v>Positivos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('Datos Gestiones'!$C$8:$H$8,'Datos Gestiones'!$I$8,'Datos Gestiones'!$J$8,'Datos Gestiones'!$K$8,'Datos Gestiones'!$L$8,'Datos Gestiones'!$M$8)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('Datos Gestiones'!$C$11:$H$11,'Datos Gestiones'!$I$11,'Datos Gestiones'!$J$11,'Datos Gestiones'!$K$11,'Datos Gestiones'!$L$11,'Datos Gestiones'!$M$11)</c:f>
              <c:numCache>
                <c:formatCode>General</c:formatCode>
                <c:ptCount val="11"/>
                <c:pt idx="0">
                  <c:v>11</c:v>
                </c:pt>
                <c:pt idx="1">
                  <c:v>19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F-4133-AB81-B8E20D757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62398000"/>
        <c:axId val="-1757463296"/>
      </c:barChart>
      <c:lineChart>
        <c:grouping val="stacked"/>
        <c:varyColors val="0"/>
        <c:ser>
          <c:idx val="2"/>
          <c:order val="2"/>
          <c:tx>
            <c:strRef>
              <c:f>'Datos Gestiones'!$B$12</c:f>
              <c:strCache>
                <c:ptCount val="1"/>
                <c:pt idx="0">
                  <c:v>TI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0608139308746798E-2"/>
                  <c:y val="-3.03465670520445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2C-4A47-A0C0-6B9F69D07E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Gestiones'!$C$8:$J$8,'Datos Gestiones'!$K$8,'Datos Gestiones'!$L$8,'Datos Gestiones'!$M$8)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('Datos Gestiones'!$C$12:$H$12,'Datos Gestiones'!$I$12,'Datos Gestiones'!$J$12,'Datos Gestiones'!$K$12,'Datos Gestiones'!$L$12,'Datos Gestiones'!$M$12)</c:f>
              <c:numCache>
                <c:formatCode>0.0</c:formatCode>
                <c:ptCount val="11"/>
                <c:pt idx="0">
                  <c:v>0.32531481601968454</c:v>
                </c:pt>
                <c:pt idx="1">
                  <c:v>6.315042864184367E-2</c:v>
                </c:pt>
                <c:pt idx="2">
                  <c:v>6.7791784313659023E-2</c:v>
                </c:pt>
                <c:pt idx="3">
                  <c:v>0.12149967043214395</c:v>
                </c:pt>
                <c:pt idx="4">
                  <c:v>9.314340358415818E-2</c:v>
                </c:pt>
                <c:pt idx="5">
                  <c:v>0.16343447748363202</c:v>
                </c:pt>
                <c:pt idx="6">
                  <c:v>0</c:v>
                </c:pt>
                <c:pt idx="7">
                  <c:v>0</c:v>
                </c:pt>
                <c:pt idx="8">
                  <c:v>3.2686895496726404E-2</c:v>
                </c:pt>
                <c:pt idx="9">
                  <c:v>0</c:v>
                </c:pt>
                <c:pt idx="10">
                  <c:v>0.52299032794762246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1F-4133-AB81-B8E20D757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57462752"/>
        <c:axId val="-1757473088"/>
      </c:lineChart>
      <c:catAx>
        <c:axId val="-176239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57463296"/>
        <c:crosses val="autoZero"/>
        <c:auto val="1"/>
        <c:lblAlgn val="ctr"/>
        <c:lblOffset val="100"/>
        <c:noMultiLvlLbl val="0"/>
      </c:catAx>
      <c:valAx>
        <c:axId val="-175746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Numero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62398000"/>
        <c:crosses val="autoZero"/>
        <c:crossBetween val="between"/>
      </c:valAx>
      <c:valAx>
        <c:axId val="-1757473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Tasa Incidencia 10000 Hab.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57462752"/>
        <c:crosses val="max"/>
        <c:crossBetween val="between"/>
      </c:valAx>
      <c:catAx>
        <c:axId val="-1757462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5747308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sz="1400"/>
              <a:t>Zika, Sospechosos - Positivos - Tasa</a:t>
            </a:r>
            <a:r>
              <a:rPr lang="es-ES" sz="1400" baseline="0"/>
              <a:t> de</a:t>
            </a:r>
            <a:r>
              <a:rPr lang="es-ES" sz="1400"/>
              <a:t> Incidencia</a:t>
            </a:r>
          </a:p>
          <a:p>
            <a:pPr>
              <a:defRPr/>
            </a:pPr>
            <a:r>
              <a:rPr lang="es-ES" sz="1400"/>
              <a:t>Dpto. Chuquisaca 2016 - 2025</a:t>
            </a:r>
          </a:p>
        </c:rich>
      </c:tx>
      <c:layout>
        <c:manualLayout>
          <c:xMode val="edge"/>
          <c:yMode val="edge"/>
          <c:x val="0.30264896329711599"/>
          <c:y val="3.1357049138718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4493291623263513"/>
          <c:y val="0.16493993599223206"/>
          <c:w val="0.76530166363611229"/>
          <c:h val="0.689400153506813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Gestiones'!$B$17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('Datos Gestiones'!$C$15:$I$15,'Datos Gestiones'!$J$15,'Datos Gestiones'!$K$15,'Datos Gestiones'!$L$15)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('Datos Gestiones'!$C$17:$G$17,'Datos Gestiones'!$H$17,'Datos Gestiones'!$I$17,'Datos Gestiones'!$J$17,'Datos Gestiones'!$K$17,'Datos Gestiones'!$L$17)</c:f>
              <c:numCache>
                <c:formatCode>General</c:formatCode>
                <c:ptCount val="10"/>
                <c:pt idx="0">
                  <c:v>152</c:v>
                </c:pt>
                <c:pt idx="1">
                  <c:v>91</c:v>
                </c:pt>
                <c:pt idx="2">
                  <c:v>121</c:v>
                </c:pt>
                <c:pt idx="3">
                  <c:v>41</c:v>
                </c:pt>
                <c:pt idx="4">
                  <c:v>230</c:v>
                </c:pt>
                <c:pt idx="5">
                  <c:v>30</c:v>
                </c:pt>
                <c:pt idx="6">
                  <c:v>49</c:v>
                </c:pt>
                <c:pt idx="7">
                  <c:v>141</c:v>
                </c:pt>
                <c:pt idx="8">
                  <c:v>5</c:v>
                </c:pt>
                <c:pt idx="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4-4DCA-A233-BA864679EC18}"/>
            </c:ext>
          </c:extLst>
        </c:ser>
        <c:ser>
          <c:idx val="1"/>
          <c:order val="1"/>
          <c:tx>
            <c:strRef>
              <c:f>'Datos Gestiones'!$B$18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('Datos Gestiones'!$C$15:$I$15,'Datos Gestiones'!$J$15,'Datos Gestiones'!$K$15,'Datos Gestiones'!$L$15)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('Datos Gestiones'!$C$18:$G$18,'Datos Gestiones'!$H$18,'Datos Gestiones'!$I$18,'Datos Gestiones'!$J$18,'Datos Gestiones'!$K$18,'Datos Gestiones'!$L$18)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4-4DCA-A233-BA864679E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57461120"/>
        <c:axId val="-1757461664"/>
      </c:barChart>
      <c:lineChart>
        <c:grouping val="standard"/>
        <c:varyColors val="0"/>
        <c:ser>
          <c:idx val="2"/>
          <c:order val="2"/>
          <c:tx>
            <c:strRef>
              <c:f>'Datos Gestiones'!$B$19</c:f>
              <c:strCache>
                <c:ptCount val="1"/>
                <c:pt idx="0">
                  <c:v>TI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1905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659340659340688E-2"/>
                  <c:y val="-3.24945762664850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48-45B1-A252-FF6EA5BE7863}"/>
                </c:ext>
              </c:extLst>
            </c:dLbl>
            <c:dLbl>
              <c:idx val="1"/>
              <c:layout>
                <c:manualLayout>
                  <c:x val="-3.8461538461538464E-2"/>
                  <c:y val="-2.8445407884368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48-45B1-A252-FF6EA5BE7863}"/>
                </c:ext>
              </c:extLst>
            </c:dLbl>
            <c:dLbl>
              <c:idx val="3"/>
              <c:layout>
                <c:manualLayout>
                  <c:x val="-1.282051282051282E-2"/>
                  <c:y val="-3.0469992075426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48-45B1-A252-FF6EA5BE7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Gestiones'!$C$15:$I$15,'Datos Gestiones'!$J$15,'Datos Gestiones'!$K$15:$L$15)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('Datos Gestiones'!$C$19:$G$19,'Datos Gestiones'!$H$19,'Datos Gestiones'!$I$19,'Datos Gestiones'!$J$19,'Datos Gestiones'!$K$19,'Datos Gestiones'!$L$19)</c:f>
              <c:numCache>
                <c:formatCode>0.0</c:formatCode>
                <c:ptCount val="10"/>
                <c:pt idx="0">
                  <c:v>3.3841165137779229E-3</c:v>
                </c:pt>
                <c:pt idx="1">
                  <c:v>0.15572685509616133</c:v>
                </c:pt>
                <c:pt idx="2">
                  <c:v>0.35123683261010474</c:v>
                </c:pt>
                <c:pt idx="3">
                  <c:v>3.3857790508307006E-2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4-4DCA-A233-BA864679E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57468192"/>
        <c:axId val="-1757469824"/>
      </c:lineChart>
      <c:catAx>
        <c:axId val="-17574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57461664"/>
        <c:crosses val="autoZero"/>
        <c:auto val="1"/>
        <c:lblAlgn val="ctr"/>
        <c:lblOffset val="100"/>
        <c:noMultiLvlLbl val="0"/>
      </c:catAx>
      <c:valAx>
        <c:axId val="-175746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Numero</a:t>
                </a:r>
              </a:p>
            </c:rich>
          </c:tx>
          <c:layout>
            <c:manualLayout>
              <c:xMode val="edge"/>
              <c:yMode val="edge"/>
              <c:x val="6.1030190519814599E-2"/>
              <c:y val="0.411692717456176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57461120"/>
        <c:crosses val="autoZero"/>
        <c:crossBetween val="between"/>
      </c:valAx>
      <c:valAx>
        <c:axId val="-1757469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Tasa Incidencia 10000 Hab.</a:t>
                </a:r>
              </a:p>
            </c:rich>
          </c:tx>
          <c:layout>
            <c:manualLayout>
              <c:xMode val="edge"/>
              <c:yMode val="edge"/>
              <c:x val="0.9651891370721517"/>
              <c:y val="0.33997264101268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-1757468192"/>
        <c:crosses val="max"/>
        <c:crossBetween val="between"/>
      </c:valAx>
      <c:catAx>
        <c:axId val="-1757468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574698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 sz="1100" b="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/>
              <a:t>Casos Positivos - dengue - </a:t>
            </a:r>
          </a:p>
          <a:p>
            <a:pPr>
              <a:defRPr sz="1200"/>
            </a:pPr>
            <a:r>
              <a:rPr lang="en-US" sz="1200"/>
              <a:t>grupos de edad y 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8389107611548552E-2"/>
          <c:y val="0.26483958922610407"/>
          <c:w val="0.90105533683289585"/>
          <c:h val="0.53850266289529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2025'!$D$52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2025'!$C$53:$C$56</c:f>
              <c:strCache>
                <c:ptCount val="4"/>
                <c:pt idx="0">
                  <c:v>1-4</c:v>
                </c:pt>
                <c:pt idx="1">
                  <c:v>5-14</c:v>
                </c:pt>
                <c:pt idx="2">
                  <c:v>15-59</c:v>
                </c:pt>
                <c:pt idx="3">
                  <c:v>60+</c:v>
                </c:pt>
              </c:strCache>
            </c:strRef>
          </c:cat>
          <c:val>
            <c:numRef>
              <c:f>'Datos 2025'!$D$53:$D$56</c:f>
              <c:numCache>
                <c:formatCode>General</c:formatCode>
                <c:ptCount val="4"/>
                <c:pt idx="0">
                  <c:v>2</c:v>
                </c:pt>
                <c:pt idx="1">
                  <c:v>11</c:v>
                </c:pt>
                <c:pt idx="2">
                  <c:v>37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6-4C6A-A352-C6653215775E}"/>
            </c:ext>
          </c:extLst>
        </c:ser>
        <c:ser>
          <c:idx val="1"/>
          <c:order val="1"/>
          <c:tx>
            <c:strRef>
              <c:f>'Datos 2025'!$E$52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2025'!$C$53:$C$56</c:f>
              <c:strCache>
                <c:ptCount val="4"/>
                <c:pt idx="0">
                  <c:v>1-4</c:v>
                </c:pt>
                <c:pt idx="1">
                  <c:v>5-14</c:v>
                </c:pt>
                <c:pt idx="2">
                  <c:v>15-59</c:v>
                </c:pt>
                <c:pt idx="3">
                  <c:v>60+</c:v>
                </c:pt>
              </c:strCache>
            </c:strRef>
          </c:cat>
          <c:val>
            <c:numRef>
              <c:f>'Datos 2025'!$E$53:$E$56</c:f>
              <c:numCache>
                <c:formatCode>General</c:formatCode>
                <c:ptCount val="4"/>
                <c:pt idx="0">
                  <c:v>2</c:v>
                </c:pt>
                <c:pt idx="1">
                  <c:v>22</c:v>
                </c:pt>
                <c:pt idx="2">
                  <c:v>29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6-4C6A-A352-C66532157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771440"/>
        <c:axId val="1588771856"/>
      </c:barChart>
      <c:catAx>
        <c:axId val="158877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8771856"/>
        <c:crosses val="autoZero"/>
        <c:auto val="1"/>
        <c:lblAlgn val="ctr"/>
        <c:lblOffset val="100"/>
        <c:noMultiLvlLbl val="0"/>
      </c:catAx>
      <c:valAx>
        <c:axId val="15887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87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>
        <a:alphaModFix amt="20000"/>
      </a:blip>
      <a:stretch>
        <a:fillRect/>
      </a:stretch>
    </a:blip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/>
              <a:t>Casos positivos de dengue - procedencia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39-43C8-B9AA-ACEF09AD59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2025'!$C$63:$C$63</c:f>
              <c:strCache>
                <c:ptCount val="1"/>
                <c:pt idx="0">
                  <c:v>Monteagudo</c:v>
                </c:pt>
              </c:strCache>
            </c:strRef>
          </c:cat>
          <c:val>
            <c:numRef>
              <c:f>'Datos 2025'!$D$63:$D$63</c:f>
              <c:numCache>
                <c:formatCode>General</c:formatCode>
                <c:ptCount val="1"/>
                <c:pt idx="0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39-43C8-B9AA-ACEF09AD5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464688"/>
        <c:axId val="1584485072"/>
      </c:barChart>
      <c:catAx>
        <c:axId val="158446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4485072"/>
        <c:crosses val="autoZero"/>
        <c:auto val="1"/>
        <c:lblAlgn val="ctr"/>
        <c:lblOffset val="100"/>
        <c:noMultiLvlLbl val="0"/>
      </c:catAx>
      <c:valAx>
        <c:axId val="158448507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75000"/>
                </a:schemeClr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446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 dpi="0" rotWithShape="1">
      <a:blip xmlns:r="http://schemas.openxmlformats.org/officeDocument/2006/relationships" r:embed="rId3">
        <a:alphaModFix amt="20000"/>
      </a:blip>
      <a:srcRect/>
      <a:stretch>
        <a:fillRect/>
      </a:stretch>
    </a:blip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/>
              <a:t>Distribucion de casos sospechosos - positivos de Microcefalia </a:t>
            </a:r>
          </a:p>
          <a:p>
            <a:pPr>
              <a:defRPr sz="1200"/>
            </a:pPr>
            <a:r>
              <a:rPr lang="en-US" sz="1200"/>
              <a:t>periodo epidemico, Chuquisaca 2022 sem</a:t>
            </a:r>
            <a:r>
              <a:rPr lang="en-US" sz="1200" baseline="0"/>
              <a:t> 1 - 24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0097805363906058E-2"/>
          <c:y val="0.42257777777777777"/>
          <c:w val="0.93601511537442184"/>
          <c:h val="0.308016797900262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2021-2022'!$C$27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2025'!$C$48</c:f>
              <c:strCache>
                <c:ptCount val="1"/>
                <c:pt idx="0">
                  <c:v>Sucre</c:v>
                </c:pt>
              </c:strCache>
            </c:strRef>
          </c:cat>
          <c:val>
            <c:numRef>
              <c:f>'Datos 2025'!$D$48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A-40AA-9875-1451966F6FF5}"/>
            </c:ext>
          </c:extLst>
        </c:ser>
        <c:ser>
          <c:idx val="1"/>
          <c:order val="1"/>
          <c:tx>
            <c:strRef>
              <c:f>'Datos 2021-2022'!$D$27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2025'!$C$48</c:f>
              <c:strCache>
                <c:ptCount val="1"/>
                <c:pt idx="0">
                  <c:v>Sucre</c:v>
                </c:pt>
              </c:strCache>
            </c:strRef>
          </c:cat>
          <c:val>
            <c:numRef>
              <c:f>'Datos 2025'!$E$48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A-40AA-9875-1451966F6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442100397827632"/>
          <c:y val="0.8481059042376986"/>
          <c:w val="0.40513423243478208"/>
          <c:h val="0.143005424321959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11-485D-9094-CA0538A98E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11-485D-9094-CA0538A98EA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FEBDC67-C094-4235-B68F-66A65BDF481C}" type="VALUE">
                      <a:rPr lang="en-US"/>
                      <a:pPr/>
                      <a:t>[값]</a:t>
                    </a:fld>
                    <a:r>
                      <a:rPr lang="en-US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811-485D-9094-CA0538A98EA1}"/>
                </c:ext>
              </c:extLst>
            </c:dLbl>
            <c:dLbl>
              <c:idx val="1"/>
              <c:layout>
                <c:manualLayout>
                  <c:x val="-0.10098401642786456"/>
                  <c:y val="1.8409601140441875E-3"/>
                </c:manualLayout>
              </c:layout>
              <c:tx>
                <c:rich>
                  <a:bodyPr/>
                  <a:lstStyle/>
                  <a:p>
                    <a:fld id="{32B00590-6531-41A2-9161-01AA27DEEAF7}" type="VALUE">
                      <a:rPr lang="en-US"/>
                      <a:pPr/>
                      <a:t>[값]</a:t>
                    </a:fld>
                    <a:r>
                      <a:rPr lang="en-US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811-485D-9094-CA0538A98E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'Datos 2025'!$C$70:$C$71</c:f>
              <c:strCache>
                <c:ptCount val="2"/>
                <c:pt idx="0">
                  <c:v>Autoctonos</c:v>
                </c:pt>
                <c:pt idx="1">
                  <c:v>Importados</c:v>
                </c:pt>
              </c:strCache>
            </c:strRef>
          </c:cat>
          <c:val>
            <c:numRef>
              <c:f>'Datos 2025'!$G$70:$G$71</c:f>
              <c:numCache>
                <c:formatCode>0</c:formatCode>
                <c:ptCount val="2"/>
                <c:pt idx="0">
                  <c:v>99.1869918699187</c:v>
                </c:pt>
                <c:pt idx="1">
                  <c:v>0.81300813008130091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1-485D-9094-CA0538A98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0176889247027"/>
          <c:y val="0.73269815291091889"/>
          <c:w val="0.65555560289264803"/>
          <c:h val="0.15633519548000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E0-4960-B788-81C28167BFF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E0-4960-B788-81C28167BF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'Datos 2025'!$D$52:$E$52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'Datos 2025'!$D$58:$E$58</c:f>
              <c:numCache>
                <c:formatCode>0%</c:formatCode>
                <c:ptCount val="2"/>
                <c:pt idx="0">
                  <c:v>0.52845528455284552</c:v>
                </c:pt>
                <c:pt idx="1">
                  <c:v>0.47154471544715448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E0-4960-B788-81C28167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690806555078267"/>
          <c:y val="0.73269815291091889"/>
          <c:w val="0.59635491811180086"/>
          <c:h val="0.15633519548000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Dengue, Porcentaje de casos autoctonos Chuquisaca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353455818022747"/>
          <c:y val="0.18215703429228208"/>
          <c:w val="0.85046071368738485"/>
          <c:h val="0.632744926492031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2025'!$C$63:$C$64</c:f>
              <c:strCache>
                <c:ptCount val="2"/>
                <c:pt idx="0">
                  <c:v>Monteagudo</c:v>
                </c:pt>
                <c:pt idx="1">
                  <c:v>Villa Vacaguzman</c:v>
                </c:pt>
              </c:strCache>
            </c:strRef>
          </c:cat>
          <c:val>
            <c:numRef>
              <c:f>'Datos 2025'!$F$63:$F$63</c:f>
              <c:numCache>
                <c:formatCode>0.0</c:formatCode>
                <c:ptCount val="1"/>
                <c:pt idx="0">
                  <c:v>62.295081967213115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3-46BE-B7FD-CA4CFC5C4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4419391"/>
        <c:axId val="1514424799"/>
      </c:barChart>
      <c:catAx>
        <c:axId val="151441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514424799"/>
        <c:crosses val="autoZero"/>
        <c:auto val="1"/>
        <c:lblAlgn val="ctr"/>
        <c:lblOffset val="100"/>
        <c:noMultiLvlLbl val="0"/>
      </c:catAx>
      <c:valAx>
        <c:axId val="15144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51441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Dengue, sospechosos - positivos </a:t>
            </a:r>
          </a:p>
          <a:p>
            <a:pPr>
              <a:defRPr/>
            </a:pPr>
            <a:r>
              <a:rPr lang="es-ES"/>
              <a:t>Chuquisaca comparativo </a:t>
            </a:r>
          </a:p>
          <a:p>
            <a:pPr>
              <a:defRPr/>
            </a:pPr>
            <a:r>
              <a:rPr lang="es-ES"/>
              <a:t>2021 - 2022 - 2023 sem 1-7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344646974376823"/>
          <c:y val="0.27436419814611779"/>
          <c:w val="0.8426815156392744"/>
          <c:h val="0.56489066081929629"/>
        </c:manualLayout>
      </c:layout>
      <c:barChart>
        <c:barDir val="col"/>
        <c:grouping val="clustered"/>
        <c:varyColors val="0"/>
        <c:ser>
          <c:idx val="0"/>
          <c:order val="0"/>
          <c:tx>
            <c:v>Sospechosos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Semana'!$BC$31:$BD$31,'Datos Semana'!$BE$31)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('Datos Semana'!$BC$32:$BD$32,'Datos Semana'!$BE$32)</c:f>
              <c:numCache>
                <c:formatCode>General</c:formatCode>
                <c:ptCount val="3"/>
                <c:pt idx="0">
                  <c:v>650</c:v>
                </c:pt>
                <c:pt idx="1">
                  <c:v>4981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9-440D-82E7-9B4278F28B10}"/>
            </c:ext>
          </c:extLst>
        </c:ser>
        <c:ser>
          <c:idx val="1"/>
          <c:order val="1"/>
          <c:tx>
            <c:v>Positivos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Semana'!$BC$31:$BD$31,'Datos Semana'!$BE$31)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('Datos Semana'!$BC$33:$BD$33,'Datos Semana'!$BE$33)</c:f>
              <c:numCache>
                <c:formatCode>General</c:formatCode>
                <c:ptCount val="3"/>
                <c:pt idx="0">
                  <c:v>102</c:v>
                </c:pt>
                <c:pt idx="1">
                  <c:v>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9-440D-82E7-9B4278F28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88195952"/>
        <c:axId val="-1788194320"/>
      </c:barChart>
      <c:catAx>
        <c:axId val="-178819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194320"/>
        <c:crosses val="autoZero"/>
        <c:auto val="1"/>
        <c:lblAlgn val="ctr"/>
        <c:lblOffset val="100"/>
        <c:noMultiLvlLbl val="0"/>
      </c:catAx>
      <c:valAx>
        <c:axId val="-178819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19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ED7D31">
          <a:lumMod val="75000"/>
        </a:srgb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 Chikungunya, Sospechosos - Positivos </a:t>
            </a:r>
          </a:p>
          <a:p>
            <a:pPr>
              <a:defRPr/>
            </a:pPr>
            <a:r>
              <a:rPr lang="es-ES"/>
              <a:t>Chuquisaca comparativo </a:t>
            </a:r>
          </a:p>
          <a:p>
            <a:pPr>
              <a:defRPr/>
            </a:pPr>
            <a:r>
              <a:rPr lang="es-ES"/>
              <a:t>2022-2023 sem 1-7</a:t>
            </a:r>
          </a:p>
        </c:rich>
      </c:tx>
      <c:layout>
        <c:manualLayout>
          <c:xMode val="edge"/>
          <c:yMode val="edge"/>
          <c:x val="0.17798240958041803"/>
          <c:y val="1.55288359225367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186976070888077"/>
          <c:y val="0.24409257288784847"/>
          <c:w val="0.83368569736582365"/>
          <c:h val="0.56079953181527997"/>
        </c:manualLayout>
      </c:layout>
      <c:barChart>
        <c:barDir val="col"/>
        <c:grouping val="clustered"/>
        <c:varyColors val="0"/>
        <c:ser>
          <c:idx val="0"/>
          <c:order val="0"/>
          <c:tx>
            <c:v>Sospechosos</c:v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Semana'!$A$114,'Datos Semana'!$A$118)</c:f>
              <c:numCache>
                <c:formatCode>General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'Datos Semana'!$BC$119:$BD$119</c:f>
              <c:numCache>
                <c:formatCode>General</c:formatCode>
                <c:ptCount val="2"/>
                <c:pt idx="0">
                  <c:v>57</c:v>
                </c:pt>
                <c:pt idx="1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B-48D8-8299-336F1F6E2C03}"/>
            </c:ext>
          </c:extLst>
        </c:ser>
        <c:ser>
          <c:idx val="1"/>
          <c:order val="1"/>
          <c:tx>
            <c:v>Positivos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Semana'!$A$114,'Datos Semana'!$A$118)</c:f>
              <c:numCache>
                <c:formatCode>General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'Datos Semana'!$BC$120:$BD$120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B-48D8-8299-336F1F6E2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88193776"/>
        <c:axId val="-1788202480"/>
      </c:barChart>
      <c:catAx>
        <c:axId val="-17881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202480"/>
        <c:crosses val="autoZero"/>
        <c:auto val="1"/>
        <c:lblAlgn val="ctr"/>
        <c:lblOffset val="100"/>
        <c:noMultiLvlLbl val="0"/>
      </c:catAx>
      <c:valAx>
        <c:axId val="-17882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1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ED7D31">
          <a:lumMod val="75000"/>
        </a:srgb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Zika, Sospechosos - Positivos </a:t>
            </a:r>
          </a:p>
          <a:p>
            <a:pPr>
              <a:defRPr/>
            </a:pPr>
            <a:r>
              <a:rPr lang="es-ES"/>
              <a:t>Chuquisaca comparativo </a:t>
            </a:r>
          </a:p>
          <a:p>
            <a:pPr>
              <a:defRPr/>
            </a:pPr>
            <a:r>
              <a:rPr lang="es-ES"/>
              <a:t>2022-2023 sem 1-7</a:t>
            </a:r>
          </a:p>
        </c:rich>
      </c:tx>
      <c:layout>
        <c:manualLayout>
          <c:xMode val="edge"/>
          <c:yMode val="edge"/>
          <c:x val="0.25342333874007006"/>
          <c:y val="2.73979896731019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420925689834296"/>
          <c:y val="0.25890886305711741"/>
          <c:w val="0.85449674349106886"/>
          <c:h val="0.57327381492879037"/>
        </c:manualLayout>
      </c:layout>
      <c:barChart>
        <c:barDir val="col"/>
        <c:grouping val="clustered"/>
        <c:varyColors val="0"/>
        <c:ser>
          <c:idx val="0"/>
          <c:order val="0"/>
          <c:tx>
            <c:v>Sospechosos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Semana'!$A$190,'Datos Semana'!$A$194)</c:f>
              <c:numCache>
                <c:formatCode>General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'Datos Semana'!$BC$195:$BD$195</c:f>
              <c:numCache>
                <c:formatCode>General</c:formatCode>
                <c:ptCount val="2"/>
                <c:pt idx="0">
                  <c:v>48</c:v>
                </c:pt>
                <c:pt idx="1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0-444E-A959-4FF6E84BCD4C}"/>
            </c:ext>
          </c:extLst>
        </c:ser>
        <c:ser>
          <c:idx val="1"/>
          <c:order val="1"/>
          <c:tx>
            <c:v>Positivos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Semana'!$A$190,'Datos Semana'!$A$194)</c:f>
              <c:numCache>
                <c:formatCode>General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'Datos Semana'!$BC$196:$BD$196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D0-444E-A959-4FF6E84BC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88201936"/>
        <c:axId val="-1788200848"/>
      </c:barChart>
      <c:catAx>
        <c:axId val="-178820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200848"/>
        <c:crosses val="autoZero"/>
        <c:auto val="1"/>
        <c:lblAlgn val="ctr"/>
        <c:lblOffset val="100"/>
        <c:noMultiLvlLbl val="0"/>
      </c:catAx>
      <c:valAx>
        <c:axId val="-17882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8820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ED7D31">
          <a:lumMod val="75000"/>
        </a:srgb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Dengue, distribucion de casos confirmabos </a:t>
            </a:r>
          </a:p>
          <a:p>
            <a:pPr>
              <a:defRPr/>
            </a:pPr>
            <a:r>
              <a:rPr lang="en-US"/>
              <a:t>municipio - Dpto. Chuquisaca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4090106128038338E-2"/>
          <c:y val="0.14643548127912581"/>
          <c:w val="0.91677945908935299"/>
          <c:h val="0.53009548489983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'Datos 2025'!$E$3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2025'!$C$4:$C$17</c:f>
              <c:strCache>
                <c:ptCount val="14"/>
                <c:pt idx="0">
                  <c:v>Monteagudo</c:v>
                </c:pt>
                <c:pt idx="1">
                  <c:v>Sucre</c:v>
                </c:pt>
                <c:pt idx="2">
                  <c:v>Huacareta</c:v>
                </c:pt>
                <c:pt idx="3">
                  <c:v>Huacaya</c:v>
                </c:pt>
                <c:pt idx="4">
                  <c:v>Villa Vacaguzman</c:v>
                </c:pt>
                <c:pt idx="5">
                  <c:v>Machareti</c:v>
                </c:pt>
                <c:pt idx="6">
                  <c:v>El Villar</c:v>
                </c:pt>
                <c:pt idx="7">
                  <c:v>Presto</c:v>
                </c:pt>
                <c:pt idx="8">
                  <c:v>Padilla</c:v>
                </c:pt>
                <c:pt idx="9">
                  <c:v>Alcala</c:v>
                </c:pt>
                <c:pt idx="10">
                  <c:v>Camargo</c:v>
                </c:pt>
                <c:pt idx="11">
                  <c:v>Yamparaez</c:v>
                </c:pt>
                <c:pt idx="12">
                  <c:v>Tarabuco</c:v>
                </c:pt>
                <c:pt idx="13">
                  <c:v>Villa Abecia</c:v>
                </c:pt>
              </c:strCache>
            </c:strRef>
          </c:cat>
          <c:val>
            <c:numRef>
              <c:f>'Datos 2025'!$E$4:$E$17</c:f>
              <c:numCache>
                <c:formatCode>General</c:formatCode>
                <c:ptCount val="14"/>
                <c:pt idx="0">
                  <c:v>79</c:v>
                </c:pt>
                <c:pt idx="1">
                  <c:v>1</c:v>
                </c:pt>
                <c:pt idx="2">
                  <c:v>37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44-4FB0-A5D5-4C99B8DC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178159966846247"/>
          <c:y val="0.24812558556762679"/>
          <c:w val="0.17991487774554496"/>
          <c:h val="5.2451443569553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200" b="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4803149606299213" l="0.65" r="1.01" t="0.74803149606299213" header="0.31496062992125984" footer="0.31496062992125984"/>
    <c:pageSetup orientation="landscape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Dengue, positivos - tasa de incidencia acumulada</a:t>
            </a:r>
          </a:p>
          <a:p>
            <a:pPr>
              <a:defRPr/>
            </a:pPr>
            <a:r>
              <a:rPr lang="es-ES"/>
              <a:t>Dpto. Chuquisaca - 2009 - 2023 * S.E. 1-28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7129573089078144E-2"/>
          <c:y val="0.10543667715291774"/>
          <c:w val="0.80933333333333346"/>
          <c:h val="0.7604767050864726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'Datos Gestiones'!$B$5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('Datos Gestiones'!$C$2:$N$2,'Datos Gestiones'!$O$2,'Datos Gestiones'!$P$2,'Datos Gestiones'!$Q$2)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('Datos Gestiones'!$C$5:$N$5,'Datos Gestiones'!$O$5,'Datos Gestiones'!$P$5,'Datos Gestiones'!$Q$5)</c:f>
              <c:numCache>
                <c:formatCode>General</c:formatCode>
                <c:ptCount val="15"/>
                <c:pt idx="0">
                  <c:v>370</c:v>
                </c:pt>
                <c:pt idx="1">
                  <c:v>3</c:v>
                </c:pt>
                <c:pt idx="2">
                  <c:v>38</c:v>
                </c:pt>
                <c:pt idx="3">
                  <c:v>189</c:v>
                </c:pt>
                <c:pt idx="4">
                  <c:v>59</c:v>
                </c:pt>
                <c:pt idx="5">
                  <c:v>139</c:v>
                </c:pt>
                <c:pt idx="6">
                  <c:v>15</c:v>
                </c:pt>
                <c:pt idx="7">
                  <c:v>39</c:v>
                </c:pt>
                <c:pt idx="8">
                  <c:v>20</c:v>
                </c:pt>
                <c:pt idx="9">
                  <c:v>9</c:v>
                </c:pt>
                <c:pt idx="10">
                  <c:v>55</c:v>
                </c:pt>
                <c:pt idx="11">
                  <c:v>2589</c:v>
                </c:pt>
                <c:pt idx="12">
                  <c:v>27</c:v>
                </c:pt>
                <c:pt idx="13">
                  <c:v>102</c:v>
                </c:pt>
                <c:pt idx="14">
                  <c:v>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A1-43AC-B42B-A7FC5639E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62399632"/>
        <c:axId val="-1762402352"/>
      </c:barChart>
      <c:lineChart>
        <c:grouping val="stacked"/>
        <c:varyColors val="0"/>
        <c:ser>
          <c:idx val="2"/>
          <c:order val="1"/>
          <c:tx>
            <c:strRef>
              <c:f>'Datos Gestiones'!$B$6</c:f>
              <c:strCache>
                <c:ptCount val="1"/>
                <c:pt idx="0">
                  <c:v>TI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solidFill>
                <a:sysClr val="window" lastClr="FFFFFF"/>
              </a:solidFill>
              <a:ln w="19050">
                <a:solidFill>
                  <a:srgbClr val="FF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10"/>
              <c:layout>
                <c:manualLayout>
                  <c:x val="-4.1335163513392802E-2"/>
                  <c:y val="-3.03465670520445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1-43AC-B42B-A7FC5639E05F}"/>
                </c:ext>
              </c:extLst>
            </c:dLbl>
            <c:dLbl>
              <c:idx val="12"/>
              <c:layout>
                <c:manualLayout>
                  <c:x val="-6.2185644223688129E-3"/>
                  <c:y val="-4.4461249401832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A1-43AC-B42B-A7FC5639E0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('Datos Gestiones'!$C$2:$N$2,'Datos Gestiones'!$O$2,'Datos Gestiones'!$P$2)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('Datos Gestiones'!$C$6:$N$6,'Datos Gestiones'!$O$6,'Datos Gestiones'!$P$6,'Datos Gestiones'!$Q$6)</c:f>
              <c:numCache>
                <c:formatCode>0.00</c:formatCode>
                <c:ptCount val="15"/>
                <c:pt idx="0" formatCode="0.0">
                  <c:v>13.114986530554374</c:v>
                </c:pt>
                <c:pt idx="1">
                  <c:v>0.11778886738151423</c:v>
                </c:pt>
                <c:pt idx="2" formatCode="0.0">
                  <c:v>1.0384329500240479</c:v>
                </c:pt>
                <c:pt idx="3" formatCode="0.0">
                  <c:v>5.1235202107962596</c:v>
                </c:pt>
                <c:pt idx="4" formatCode="0.0">
                  <c:v>1.607182744850205</c:v>
                </c:pt>
                <c:pt idx="5" formatCode="0.0">
                  <c:v>3.9220444291450227</c:v>
                </c:pt>
                <c:pt idx="6" formatCode="0.0">
                  <c:v>0.41416442327604058</c:v>
                </c:pt>
                <c:pt idx="7" formatCode="0.0">
                  <c:v>0.97716197086052892</c:v>
                </c:pt>
                <c:pt idx="8" formatCode="0.0">
                  <c:v>0.55401508583078718</c:v>
                </c:pt>
                <c:pt idx="9" formatCode="0.0">
                  <c:v>0.24893029122078178</c:v>
                </c:pt>
                <c:pt idx="10" formatCode="0.0">
                  <c:v>1.5184142234001436</c:v>
                </c:pt>
                <c:pt idx="11" formatCode="0.0">
                  <c:v>71.231655578850052</c:v>
                </c:pt>
                <c:pt idx="12" formatCode="0.0">
                  <c:v>0.74145677032415391</c:v>
                </c:pt>
                <c:pt idx="13" formatCode="0.0">
                  <c:v>2.7992370706807357</c:v>
                </c:pt>
                <c:pt idx="14" formatCode="0.0">
                  <c:v>56.649265496042467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A1-43AC-B42B-A7FC5639E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62400720"/>
        <c:axId val="-1762401264"/>
      </c:lineChart>
      <c:catAx>
        <c:axId val="-17623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62402352"/>
        <c:crosses val="autoZero"/>
        <c:auto val="1"/>
        <c:lblAlgn val="ctr"/>
        <c:lblOffset val="100"/>
        <c:noMultiLvlLbl val="0"/>
      </c:catAx>
      <c:valAx>
        <c:axId val="-176240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Numero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62399632"/>
        <c:crosses val="autoZero"/>
        <c:crossBetween val="between"/>
      </c:valAx>
      <c:valAx>
        <c:axId val="-1762401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Tasa Incidencia acumulada  10000 Hab.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-1762400720"/>
        <c:crosses val="max"/>
        <c:crossBetween val="between"/>
      </c:valAx>
      <c:catAx>
        <c:axId val="-1762400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624012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1940393165140072"/>
          <c:y val="0.14415039440334787"/>
          <c:w val="0.17417997750281214"/>
          <c:h val="3.9025693567545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63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20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Dengue, Distribucion de Sospechosos - Positivos </a:t>
            </a:r>
          </a:p>
          <a:p>
            <a:pPr>
              <a:defRPr/>
            </a:pPr>
            <a:r>
              <a:rPr lang="en-US"/>
              <a:t>municipio - Dpto. Chuquisaca sem epi 1-6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1886098939891225E-2"/>
          <c:y val="0.12553682357103482"/>
          <c:w val="0.89898343815852588"/>
          <c:h val="0.6136900912464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2025'!$D$3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2025'!$C$4:$C$17</c:f>
              <c:strCache>
                <c:ptCount val="14"/>
                <c:pt idx="0">
                  <c:v>Monteagudo</c:v>
                </c:pt>
                <c:pt idx="1">
                  <c:v>Sucre</c:v>
                </c:pt>
                <c:pt idx="2">
                  <c:v>Huacareta</c:v>
                </c:pt>
                <c:pt idx="3">
                  <c:v>Huacaya</c:v>
                </c:pt>
                <c:pt idx="4">
                  <c:v>Villa Vacaguzman</c:v>
                </c:pt>
                <c:pt idx="5">
                  <c:v>Machareti</c:v>
                </c:pt>
                <c:pt idx="6">
                  <c:v>El Villar</c:v>
                </c:pt>
                <c:pt idx="7">
                  <c:v>Presto</c:v>
                </c:pt>
                <c:pt idx="8">
                  <c:v>Padilla</c:v>
                </c:pt>
                <c:pt idx="9">
                  <c:v>Alcala</c:v>
                </c:pt>
                <c:pt idx="10">
                  <c:v>Camargo</c:v>
                </c:pt>
                <c:pt idx="11">
                  <c:v>Yamparaez</c:v>
                </c:pt>
                <c:pt idx="12">
                  <c:v>Tarabuco</c:v>
                </c:pt>
                <c:pt idx="13">
                  <c:v>Villa Abecia</c:v>
                </c:pt>
              </c:strCache>
            </c:strRef>
          </c:cat>
          <c:val>
            <c:numRef>
              <c:f>'Datos 2025'!$D$4:$D$8</c:f>
              <c:numCache>
                <c:formatCode>General</c:formatCode>
                <c:ptCount val="5"/>
                <c:pt idx="0">
                  <c:v>460</c:v>
                </c:pt>
                <c:pt idx="1">
                  <c:v>63</c:v>
                </c:pt>
                <c:pt idx="2">
                  <c:v>56</c:v>
                </c:pt>
                <c:pt idx="3">
                  <c:v>48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2D-48E7-8E8C-820630AF77D5}"/>
            </c:ext>
          </c:extLst>
        </c:ser>
        <c:ser>
          <c:idx val="1"/>
          <c:order val="1"/>
          <c:tx>
            <c:strRef>
              <c:f>'Datos 2025'!$E$3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2025'!$C$4:$C$17</c:f>
              <c:strCache>
                <c:ptCount val="14"/>
                <c:pt idx="0">
                  <c:v>Monteagudo</c:v>
                </c:pt>
                <c:pt idx="1">
                  <c:v>Sucre</c:v>
                </c:pt>
                <c:pt idx="2">
                  <c:v>Huacareta</c:v>
                </c:pt>
                <c:pt idx="3">
                  <c:v>Huacaya</c:v>
                </c:pt>
                <c:pt idx="4">
                  <c:v>Villa Vacaguzman</c:v>
                </c:pt>
                <c:pt idx="5">
                  <c:v>Machareti</c:v>
                </c:pt>
                <c:pt idx="6">
                  <c:v>El Villar</c:v>
                </c:pt>
                <c:pt idx="7">
                  <c:v>Presto</c:v>
                </c:pt>
                <c:pt idx="8">
                  <c:v>Padilla</c:v>
                </c:pt>
                <c:pt idx="9">
                  <c:v>Alcala</c:v>
                </c:pt>
                <c:pt idx="10">
                  <c:v>Camargo</c:v>
                </c:pt>
                <c:pt idx="11">
                  <c:v>Yamparaez</c:v>
                </c:pt>
                <c:pt idx="12">
                  <c:v>Tarabuco</c:v>
                </c:pt>
                <c:pt idx="13">
                  <c:v>Villa Abecia</c:v>
                </c:pt>
              </c:strCache>
            </c:strRef>
          </c:cat>
          <c:val>
            <c:numRef>
              <c:f>'Datos 2025'!$E$4:$E$8</c:f>
              <c:numCache>
                <c:formatCode>General</c:formatCode>
                <c:ptCount val="5"/>
                <c:pt idx="0">
                  <c:v>79</c:v>
                </c:pt>
                <c:pt idx="1">
                  <c:v>1</c:v>
                </c:pt>
                <c:pt idx="2">
                  <c:v>37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2D-48E7-8E8C-820630AF77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571122141559816"/>
          <c:y val="0.15492636773696702"/>
          <c:w val="0.3193507844373662"/>
          <c:h val="5.2451443569553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sz="1200" b="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4803149606299213" l="0.47244094488188981" r="1.0236220472440944" t="0.74803149606299213" header="0.31496062992125984" footer="0.31496062992125984"/>
    <c:pageSetup orientation="landscape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/>
              <a:t>Dengue,</a:t>
            </a:r>
            <a:r>
              <a:rPr lang="es-ES" baseline="0"/>
              <a:t> Casos confirmados Chuquisaca 2024 - 2025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2025'!$D$134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'Datos 2025'!$C$135:$C$143</c:f>
              <c:strCache>
                <c:ptCount val="9"/>
                <c:pt idx="0">
                  <c:v>Monteagudo</c:v>
                </c:pt>
                <c:pt idx="1">
                  <c:v>Sucre</c:v>
                </c:pt>
                <c:pt idx="2">
                  <c:v>Villa Abeciia</c:v>
                </c:pt>
                <c:pt idx="3">
                  <c:v>Villa Vacaguzman</c:v>
                </c:pt>
                <c:pt idx="4">
                  <c:v>Camargo</c:v>
                </c:pt>
                <c:pt idx="5">
                  <c:v>Huacareta</c:v>
                </c:pt>
                <c:pt idx="6">
                  <c:v>Tarabuco</c:v>
                </c:pt>
                <c:pt idx="7">
                  <c:v>Machareti</c:v>
                </c:pt>
                <c:pt idx="8">
                  <c:v>El Villar</c:v>
                </c:pt>
              </c:strCache>
            </c:strRef>
          </c:cat>
          <c:val>
            <c:numRef>
              <c:f>'Datos 2025'!$D$135:$D$143</c:f>
              <c:numCache>
                <c:formatCode>General</c:formatCode>
                <c:ptCount val="9"/>
                <c:pt idx="0">
                  <c:v>223</c:v>
                </c:pt>
                <c:pt idx="1">
                  <c:v>76</c:v>
                </c:pt>
                <c:pt idx="2">
                  <c:v>10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9-4EE0-A33C-A2CEAC0C5D31}"/>
            </c:ext>
          </c:extLst>
        </c:ser>
        <c:ser>
          <c:idx val="1"/>
          <c:order val="1"/>
          <c:tx>
            <c:strRef>
              <c:f>'Datos 2025'!$E$134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'Datos 2025'!$C$135:$C$143</c:f>
              <c:strCache>
                <c:ptCount val="9"/>
                <c:pt idx="0">
                  <c:v>Monteagudo</c:v>
                </c:pt>
                <c:pt idx="1">
                  <c:v>Sucre</c:v>
                </c:pt>
                <c:pt idx="2">
                  <c:v>Villa Abeciia</c:v>
                </c:pt>
                <c:pt idx="3">
                  <c:v>Villa Vacaguzman</c:v>
                </c:pt>
                <c:pt idx="4">
                  <c:v>Camargo</c:v>
                </c:pt>
                <c:pt idx="5">
                  <c:v>Huacareta</c:v>
                </c:pt>
                <c:pt idx="6">
                  <c:v>Tarabuco</c:v>
                </c:pt>
                <c:pt idx="7">
                  <c:v>Machareti</c:v>
                </c:pt>
                <c:pt idx="8">
                  <c:v>El Villar</c:v>
                </c:pt>
              </c:strCache>
            </c:strRef>
          </c:cat>
          <c:val>
            <c:numRef>
              <c:f>'Datos 2025'!$E$135:$E$143</c:f>
              <c:numCache>
                <c:formatCode>General</c:formatCode>
                <c:ptCount val="9"/>
                <c:pt idx="0">
                  <c:v>79</c:v>
                </c:pt>
                <c:pt idx="1">
                  <c:v>1</c:v>
                </c:pt>
                <c:pt idx="2">
                  <c:v>0</c:v>
                </c:pt>
                <c:pt idx="3">
                  <c:v>37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9-4EE0-A33C-A2CEAC0C5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80175"/>
        <c:axId val="142187247"/>
      </c:barChart>
      <c:catAx>
        <c:axId val="1421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42187247"/>
        <c:crosses val="autoZero"/>
        <c:auto val="1"/>
        <c:lblAlgn val="ctr"/>
        <c:lblOffset val="100"/>
        <c:noMultiLvlLbl val="0"/>
      </c:catAx>
      <c:valAx>
        <c:axId val="1421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Numero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42180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Dengue, casos confirmados por municipio, Chuquisaca 2022 - 2023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5976631953263901E-2"/>
          <c:y val="7.6281022701786078E-2"/>
          <c:w val="0.90876148806061052"/>
          <c:h val="0.7490749176909679"/>
        </c:manualLayout>
      </c:layout>
      <c:barChart>
        <c:barDir val="col"/>
        <c:grouping val="clustered"/>
        <c:varyColors val="0"/>
        <c:ser>
          <c:idx val="0"/>
          <c:order val="0"/>
          <c:tx>
            <c:v>2022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Hoja2!$B$3:$B$31</c:f>
              <c:strCache>
                <c:ptCount val="29"/>
                <c:pt idx="0">
                  <c:v>Sucre</c:v>
                </c:pt>
                <c:pt idx="1">
                  <c:v>Icla</c:v>
                </c:pt>
                <c:pt idx="2">
                  <c:v>Presto</c:v>
                </c:pt>
                <c:pt idx="3">
                  <c:v>Tarabuco</c:v>
                </c:pt>
                <c:pt idx="4">
                  <c:v>Yamparaez</c:v>
                </c:pt>
                <c:pt idx="5">
                  <c:v>Zudañez</c:v>
                </c:pt>
                <c:pt idx="6">
                  <c:v>Mojocoya</c:v>
                </c:pt>
                <c:pt idx="7">
                  <c:v>Alcala</c:v>
                </c:pt>
                <c:pt idx="8">
                  <c:v>El Villar</c:v>
                </c:pt>
                <c:pt idx="9">
                  <c:v>Padilla</c:v>
                </c:pt>
                <c:pt idx="10">
                  <c:v>Tomina</c:v>
                </c:pt>
                <c:pt idx="11">
                  <c:v>Villa Serrano</c:v>
                </c:pt>
                <c:pt idx="12">
                  <c:v>Sopachuy</c:v>
                </c:pt>
                <c:pt idx="13">
                  <c:v>Azurduy</c:v>
                </c:pt>
                <c:pt idx="14">
                  <c:v>Tarvita</c:v>
                </c:pt>
                <c:pt idx="15">
                  <c:v>Huacareta</c:v>
                </c:pt>
                <c:pt idx="16">
                  <c:v>Huacaya</c:v>
                </c:pt>
                <c:pt idx="17">
                  <c:v>Machareti</c:v>
                </c:pt>
                <c:pt idx="18">
                  <c:v>Monteagudo</c:v>
                </c:pt>
                <c:pt idx="19">
                  <c:v>Villa Vacaguzman</c:v>
                </c:pt>
                <c:pt idx="20">
                  <c:v>Camargo</c:v>
                </c:pt>
                <c:pt idx="21">
                  <c:v>Incahuasi</c:v>
                </c:pt>
                <c:pt idx="22">
                  <c:v>San Lucas</c:v>
                </c:pt>
                <c:pt idx="23">
                  <c:v>Villa Charcas</c:v>
                </c:pt>
                <c:pt idx="24">
                  <c:v>Villa Abecia</c:v>
                </c:pt>
                <c:pt idx="25">
                  <c:v>Las Carreras</c:v>
                </c:pt>
                <c:pt idx="26">
                  <c:v>Poroma</c:v>
                </c:pt>
                <c:pt idx="27">
                  <c:v>Sucre</c:v>
                </c:pt>
                <c:pt idx="28">
                  <c:v>Yotala</c:v>
                </c:pt>
              </c:strCache>
            </c:strRef>
          </c:cat>
          <c:val>
            <c:numRef>
              <c:f>Hoja2!$D$3:$D$31</c:f>
              <c:numCache>
                <c:formatCode>General</c:formatCode>
                <c:ptCount val="29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13</c:v>
                </c:pt>
                <c:pt idx="17">
                  <c:v>2</c:v>
                </c:pt>
                <c:pt idx="18">
                  <c:v>65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1-4149-8ECB-2BDBB1C8337C}"/>
            </c:ext>
          </c:extLst>
        </c:ser>
        <c:ser>
          <c:idx val="1"/>
          <c:order val="1"/>
          <c:tx>
            <c:v>2023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Hoja2!$B$3:$B$31</c:f>
              <c:strCache>
                <c:ptCount val="29"/>
                <c:pt idx="0">
                  <c:v>Sucre</c:v>
                </c:pt>
                <c:pt idx="1">
                  <c:v>Icla</c:v>
                </c:pt>
                <c:pt idx="2">
                  <c:v>Presto</c:v>
                </c:pt>
                <c:pt idx="3">
                  <c:v>Tarabuco</c:v>
                </c:pt>
                <c:pt idx="4">
                  <c:v>Yamparaez</c:v>
                </c:pt>
                <c:pt idx="5">
                  <c:v>Zudañez</c:v>
                </c:pt>
                <c:pt idx="6">
                  <c:v>Mojocoya</c:v>
                </c:pt>
                <c:pt idx="7">
                  <c:v>Alcala</c:v>
                </c:pt>
                <c:pt idx="8">
                  <c:v>El Villar</c:v>
                </c:pt>
                <c:pt idx="9">
                  <c:v>Padilla</c:v>
                </c:pt>
                <c:pt idx="10">
                  <c:v>Tomina</c:v>
                </c:pt>
                <c:pt idx="11">
                  <c:v>Villa Serrano</c:v>
                </c:pt>
                <c:pt idx="12">
                  <c:v>Sopachuy</c:v>
                </c:pt>
                <c:pt idx="13">
                  <c:v>Azurduy</c:v>
                </c:pt>
                <c:pt idx="14">
                  <c:v>Tarvita</c:v>
                </c:pt>
                <c:pt idx="15">
                  <c:v>Huacareta</c:v>
                </c:pt>
                <c:pt idx="16">
                  <c:v>Huacaya</c:v>
                </c:pt>
                <c:pt idx="17">
                  <c:v>Machareti</c:v>
                </c:pt>
                <c:pt idx="18">
                  <c:v>Monteagudo</c:v>
                </c:pt>
                <c:pt idx="19">
                  <c:v>Villa Vacaguzman</c:v>
                </c:pt>
                <c:pt idx="20">
                  <c:v>Camargo</c:v>
                </c:pt>
                <c:pt idx="21">
                  <c:v>Incahuasi</c:v>
                </c:pt>
                <c:pt idx="22">
                  <c:v>San Lucas</c:v>
                </c:pt>
                <c:pt idx="23">
                  <c:v>Villa Charcas</c:v>
                </c:pt>
                <c:pt idx="24">
                  <c:v>Villa Abecia</c:v>
                </c:pt>
                <c:pt idx="25">
                  <c:v>Las Carreras</c:v>
                </c:pt>
                <c:pt idx="26">
                  <c:v>Poroma</c:v>
                </c:pt>
                <c:pt idx="27">
                  <c:v>Sucre</c:v>
                </c:pt>
                <c:pt idx="28">
                  <c:v>Yotala</c:v>
                </c:pt>
              </c:strCache>
            </c:strRef>
          </c:cat>
          <c:val>
            <c:numRef>
              <c:f>Hoja2!$F$3:$F$31</c:f>
              <c:numCache>
                <c:formatCode>General</c:formatCode>
                <c:ptCount val="29"/>
                <c:pt idx="0">
                  <c:v>165</c:v>
                </c:pt>
                <c:pt idx="1">
                  <c:v>3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11</c:v>
                </c:pt>
                <c:pt idx="10">
                  <c:v>5</c:v>
                </c:pt>
                <c:pt idx="11">
                  <c:v>15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115</c:v>
                </c:pt>
                <c:pt idx="16">
                  <c:v>38</c:v>
                </c:pt>
                <c:pt idx="17">
                  <c:v>249</c:v>
                </c:pt>
                <c:pt idx="18">
                  <c:v>1109</c:v>
                </c:pt>
                <c:pt idx="19">
                  <c:v>183</c:v>
                </c:pt>
                <c:pt idx="20">
                  <c:v>2</c:v>
                </c:pt>
                <c:pt idx="21">
                  <c:v>6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145</c:v>
                </c:pt>
                <c:pt idx="2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1-4149-8ECB-2BDBB1C83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635775"/>
        <c:axId val="298637855"/>
      </c:barChart>
      <c:catAx>
        <c:axId val="2986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98637855"/>
        <c:crosses val="autoZero"/>
        <c:auto val="1"/>
        <c:lblAlgn val="ctr"/>
        <c:lblOffset val="100"/>
        <c:noMultiLvlLbl val="0"/>
      </c:catAx>
      <c:valAx>
        <c:axId val="29863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Numero de casos confirmados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98635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Dengue, tasa de incidencia por municipio, Chuquisaca 2022 - 2023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2022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Hoja2!$B$3:$B$31</c:f>
              <c:strCache>
                <c:ptCount val="29"/>
                <c:pt idx="0">
                  <c:v>Sucre</c:v>
                </c:pt>
                <c:pt idx="1">
                  <c:v>Icla</c:v>
                </c:pt>
                <c:pt idx="2">
                  <c:v>Presto</c:v>
                </c:pt>
                <c:pt idx="3">
                  <c:v>Tarabuco</c:v>
                </c:pt>
                <c:pt idx="4">
                  <c:v>Yamparaez</c:v>
                </c:pt>
                <c:pt idx="5">
                  <c:v>Zudañez</c:v>
                </c:pt>
                <c:pt idx="6">
                  <c:v>Mojocoya</c:v>
                </c:pt>
                <c:pt idx="7">
                  <c:v>Alcala</c:v>
                </c:pt>
                <c:pt idx="8">
                  <c:v>El Villar</c:v>
                </c:pt>
                <c:pt idx="9">
                  <c:v>Padilla</c:v>
                </c:pt>
                <c:pt idx="10">
                  <c:v>Tomina</c:v>
                </c:pt>
                <c:pt idx="11">
                  <c:v>Villa Serrano</c:v>
                </c:pt>
                <c:pt idx="12">
                  <c:v>Sopachuy</c:v>
                </c:pt>
                <c:pt idx="13">
                  <c:v>Azurduy</c:v>
                </c:pt>
                <c:pt idx="14">
                  <c:v>Tarvita</c:v>
                </c:pt>
                <c:pt idx="15">
                  <c:v>Huacareta</c:v>
                </c:pt>
                <c:pt idx="16">
                  <c:v>Huacaya</c:v>
                </c:pt>
                <c:pt idx="17">
                  <c:v>Machareti</c:v>
                </c:pt>
                <c:pt idx="18">
                  <c:v>Monteagudo</c:v>
                </c:pt>
                <c:pt idx="19">
                  <c:v>Villa Vacaguzman</c:v>
                </c:pt>
                <c:pt idx="20">
                  <c:v>Camargo</c:v>
                </c:pt>
                <c:pt idx="21">
                  <c:v>Incahuasi</c:v>
                </c:pt>
                <c:pt idx="22">
                  <c:v>San Lucas</c:v>
                </c:pt>
                <c:pt idx="23">
                  <c:v>Villa Charcas</c:v>
                </c:pt>
                <c:pt idx="24">
                  <c:v>Villa Abecia</c:v>
                </c:pt>
                <c:pt idx="25">
                  <c:v>Las Carreras</c:v>
                </c:pt>
                <c:pt idx="26">
                  <c:v>Poroma</c:v>
                </c:pt>
                <c:pt idx="27">
                  <c:v>Sucre</c:v>
                </c:pt>
                <c:pt idx="28">
                  <c:v>Yotala</c:v>
                </c:pt>
              </c:strCache>
            </c:strRef>
          </c:cat>
          <c:val>
            <c:numRef>
              <c:f>Hoja2!$E$3:$E$31</c:f>
              <c:numCache>
                <c:formatCode>0.0</c:formatCode>
                <c:ptCount val="29"/>
                <c:pt idx="0">
                  <c:v>0.19062350224391095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7.2568940493468794</c:v>
                </c:pt>
                <c:pt idx="16">
                  <c:v>52.020808323329334</c:v>
                </c:pt>
                <c:pt idx="17">
                  <c:v>2.7956388034665922</c:v>
                </c:pt>
                <c:pt idx="18">
                  <c:v>25.66735112936345</c:v>
                </c:pt>
                <c:pt idx="19">
                  <c:v>1.056859015007398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12.45386953701825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4-480F-9D5F-1DFFB94B4934}"/>
            </c:ext>
          </c:extLst>
        </c:ser>
        <c:ser>
          <c:idx val="1"/>
          <c:order val="1"/>
          <c:tx>
            <c:v>2023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Hoja2!$B$3:$B$31</c:f>
              <c:strCache>
                <c:ptCount val="29"/>
                <c:pt idx="0">
                  <c:v>Sucre</c:v>
                </c:pt>
                <c:pt idx="1">
                  <c:v>Icla</c:v>
                </c:pt>
                <c:pt idx="2">
                  <c:v>Presto</c:v>
                </c:pt>
                <c:pt idx="3">
                  <c:v>Tarabuco</c:v>
                </c:pt>
                <c:pt idx="4">
                  <c:v>Yamparaez</c:v>
                </c:pt>
                <c:pt idx="5">
                  <c:v>Zudañez</c:v>
                </c:pt>
                <c:pt idx="6">
                  <c:v>Mojocoya</c:v>
                </c:pt>
                <c:pt idx="7">
                  <c:v>Alcala</c:v>
                </c:pt>
                <c:pt idx="8">
                  <c:v>El Villar</c:v>
                </c:pt>
                <c:pt idx="9">
                  <c:v>Padilla</c:v>
                </c:pt>
                <c:pt idx="10">
                  <c:v>Tomina</c:v>
                </c:pt>
                <c:pt idx="11">
                  <c:v>Villa Serrano</c:v>
                </c:pt>
                <c:pt idx="12">
                  <c:v>Sopachuy</c:v>
                </c:pt>
                <c:pt idx="13">
                  <c:v>Azurduy</c:v>
                </c:pt>
                <c:pt idx="14">
                  <c:v>Tarvita</c:v>
                </c:pt>
                <c:pt idx="15">
                  <c:v>Huacareta</c:v>
                </c:pt>
                <c:pt idx="16">
                  <c:v>Huacaya</c:v>
                </c:pt>
                <c:pt idx="17">
                  <c:v>Machareti</c:v>
                </c:pt>
                <c:pt idx="18">
                  <c:v>Monteagudo</c:v>
                </c:pt>
                <c:pt idx="19">
                  <c:v>Villa Vacaguzman</c:v>
                </c:pt>
                <c:pt idx="20">
                  <c:v>Camargo</c:v>
                </c:pt>
                <c:pt idx="21">
                  <c:v>Incahuasi</c:v>
                </c:pt>
                <c:pt idx="22">
                  <c:v>San Lucas</c:v>
                </c:pt>
                <c:pt idx="23">
                  <c:v>Villa Charcas</c:v>
                </c:pt>
                <c:pt idx="24">
                  <c:v>Villa Abecia</c:v>
                </c:pt>
                <c:pt idx="25">
                  <c:v>Las Carreras</c:v>
                </c:pt>
                <c:pt idx="26">
                  <c:v>Poroma</c:v>
                </c:pt>
                <c:pt idx="27">
                  <c:v>Sucre</c:v>
                </c:pt>
                <c:pt idx="28">
                  <c:v>Yotala</c:v>
                </c:pt>
              </c:strCache>
            </c:strRef>
          </c:cat>
          <c:val>
            <c:numRef>
              <c:f>Hoja2!$G$3:$G$31</c:f>
              <c:numCache>
                <c:formatCode>0.0</c:formatCode>
                <c:ptCount val="29"/>
                <c:pt idx="0">
                  <c:v>4.4932682671779007</c:v>
                </c:pt>
                <c:pt idx="1">
                  <c:v>3.7262451869333004</c:v>
                </c:pt>
                <c:pt idx="2">
                  <c:v>2.0036064916850331</c:v>
                </c:pt>
                <c:pt idx="3">
                  <c:v>5.8969990826890317</c:v>
                </c:pt>
                <c:pt idx="4">
                  <c:v>2.3643456673365648</c:v>
                </c:pt>
                <c:pt idx="5">
                  <c:v>1.3161358252171624</c:v>
                </c:pt>
                <c:pt idx="6">
                  <c:v>0</c:v>
                </c:pt>
                <c:pt idx="7">
                  <c:v>11.446012972148035</c:v>
                </c:pt>
                <c:pt idx="8">
                  <c:v>5.0466818067120869</c:v>
                </c:pt>
                <c:pt idx="9">
                  <c:v>10.75268817204301</c:v>
                </c:pt>
                <c:pt idx="10">
                  <c:v>5.5138950154389059</c:v>
                </c:pt>
                <c:pt idx="11">
                  <c:v>14.688601645123384</c:v>
                </c:pt>
                <c:pt idx="12">
                  <c:v>1.6509823344890211</c:v>
                </c:pt>
                <c:pt idx="13">
                  <c:v>0</c:v>
                </c:pt>
                <c:pt idx="14">
                  <c:v>0</c:v>
                </c:pt>
                <c:pt idx="15">
                  <c:v>139.09046927914852</c:v>
                </c:pt>
                <c:pt idx="16">
                  <c:v>152.0608243297319</c:v>
                </c:pt>
                <c:pt idx="17">
                  <c:v>348.05703103159072</c:v>
                </c:pt>
                <c:pt idx="18">
                  <c:v>437.92449849944717</c:v>
                </c:pt>
                <c:pt idx="19">
                  <c:v>193.40519974635384</c:v>
                </c:pt>
                <c:pt idx="20">
                  <c:v>1.2821334700942368</c:v>
                </c:pt>
                <c:pt idx="21">
                  <c:v>4.748713889988128</c:v>
                </c:pt>
                <c:pt idx="22">
                  <c:v>0.31790437436419122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1.2691160606637477</c:v>
                </c:pt>
                <c:pt idx="27">
                  <c:v>225.72638535845579</c:v>
                </c:pt>
                <c:pt idx="28">
                  <c:v>6.5724613867893531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4-480F-9D5F-1DFFB94B4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29007"/>
        <c:axId val="71630255"/>
      </c:barChart>
      <c:catAx>
        <c:axId val="7162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630255"/>
        <c:crosses val="autoZero"/>
        <c:auto val="1"/>
        <c:lblAlgn val="ctr"/>
        <c:lblOffset val="100"/>
        <c:noMultiLvlLbl val="0"/>
      </c:catAx>
      <c:valAx>
        <c:axId val="7163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Tasa de incidencia X 10000 Hab.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629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/>
              <a:t>Distribucion de casos sospechosos - positivos de dengue </a:t>
            </a:r>
          </a:p>
          <a:p>
            <a:pPr>
              <a:defRPr sz="1200"/>
            </a:pPr>
            <a:r>
              <a:rPr lang="en-US" sz="1200"/>
              <a:t>periodo epidemico, Chuquisaca 2020-2021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2021-2022'!$C$3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2021-2022'!$B$4:$B$11</c:f>
              <c:strCache>
                <c:ptCount val="8"/>
                <c:pt idx="0">
                  <c:v>Monteagudo</c:v>
                </c:pt>
                <c:pt idx="1">
                  <c:v>Sucre</c:v>
                </c:pt>
                <c:pt idx="2">
                  <c:v>Machareti</c:v>
                </c:pt>
                <c:pt idx="3">
                  <c:v>Villa Vacaguzman</c:v>
                </c:pt>
                <c:pt idx="4">
                  <c:v>Huacareta</c:v>
                </c:pt>
                <c:pt idx="5">
                  <c:v>Padilla</c:v>
                </c:pt>
                <c:pt idx="6">
                  <c:v>Villa Serrano</c:v>
                </c:pt>
                <c:pt idx="7">
                  <c:v>Total general</c:v>
                </c:pt>
              </c:strCache>
            </c:strRef>
          </c:cat>
          <c:val>
            <c:numRef>
              <c:f>'Datos 2021-2022'!$C$4:$C$10</c:f>
              <c:numCache>
                <c:formatCode>General</c:formatCode>
                <c:ptCount val="7"/>
                <c:pt idx="0">
                  <c:v>18</c:v>
                </c:pt>
                <c:pt idx="1">
                  <c:v>10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2-4961-9E9F-A161102949BC}"/>
            </c:ext>
          </c:extLst>
        </c:ser>
        <c:ser>
          <c:idx val="1"/>
          <c:order val="1"/>
          <c:tx>
            <c:strRef>
              <c:f>'Datos 2021-2022'!$D$3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2021-2022'!$B$4:$B$11</c:f>
              <c:strCache>
                <c:ptCount val="8"/>
                <c:pt idx="0">
                  <c:v>Monteagudo</c:v>
                </c:pt>
                <c:pt idx="1">
                  <c:v>Sucre</c:v>
                </c:pt>
                <c:pt idx="2">
                  <c:v>Machareti</c:v>
                </c:pt>
                <c:pt idx="3">
                  <c:v>Villa Vacaguzman</c:v>
                </c:pt>
                <c:pt idx="4">
                  <c:v>Huacareta</c:v>
                </c:pt>
                <c:pt idx="5">
                  <c:v>Padilla</c:v>
                </c:pt>
                <c:pt idx="6">
                  <c:v>Villa Serrano</c:v>
                </c:pt>
                <c:pt idx="7">
                  <c:v>Total general</c:v>
                </c:pt>
              </c:strCache>
            </c:strRef>
          </c:cat>
          <c:val>
            <c:numRef>
              <c:f>'Datos 2021-2022'!$D$4:$D$10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2-4961-9E9F-A16110294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/>
              <a:t>Distribucion de casos sospechosos - positivos de Chikungunya </a:t>
            </a:r>
          </a:p>
          <a:p>
            <a:pPr>
              <a:defRPr sz="1200"/>
            </a:pPr>
            <a:r>
              <a:rPr lang="en-US" sz="1200"/>
              <a:t>periodo epidemico, Chuquisaca 2020-2021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2021-2022'!$C$17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2021-2022'!$B$18:$B$22</c:f>
              <c:strCache>
                <c:ptCount val="5"/>
                <c:pt idx="0">
                  <c:v>Villa Vacaguzman</c:v>
                </c:pt>
                <c:pt idx="1">
                  <c:v>Huacareta</c:v>
                </c:pt>
                <c:pt idx="2">
                  <c:v>Monteagudo</c:v>
                </c:pt>
                <c:pt idx="3">
                  <c:v>Machareti</c:v>
                </c:pt>
                <c:pt idx="4">
                  <c:v>Total general</c:v>
                </c:pt>
              </c:strCache>
            </c:strRef>
          </c:cat>
          <c:val>
            <c:numRef>
              <c:f>'Datos 2021-2022'!$C$18:$C$21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D-4385-ADA3-7757636D3BB6}"/>
            </c:ext>
          </c:extLst>
        </c:ser>
        <c:ser>
          <c:idx val="1"/>
          <c:order val="1"/>
          <c:tx>
            <c:strRef>
              <c:f>'Datos 2021-2022'!$D$17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2021-2022'!$B$18:$B$22</c:f>
              <c:strCache>
                <c:ptCount val="5"/>
                <c:pt idx="0">
                  <c:v>Villa Vacaguzman</c:v>
                </c:pt>
                <c:pt idx="1">
                  <c:v>Huacareta</c:v>
                </c:pt>
                <c:pt idx="2">
                  <c:v>Monteagudo</c:v>
                </c:pt>
                <c:pt idx="3">
                  <c:v>Machareti</c:v>
                </c:pt>
                <c:pt idx="4">
                  <c:v>Total general</c:v>
                </c:pt>
              </c:strCache>
            </c:strRef>
          </c:cat>
          <c:val>
            <c:numRef>
              <c:f>'Datos 2021-2022'!$D$18:$D$21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D-4385-ADA3-7757636D3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/>
              <a:t>Distribucion de casos sospechosos - positivos de Zika </a:t>
            </a:r>
          </a:p>
          <a:p>
            <a:pPr>
              <a:defRPr sz="1200"/>
            </a:pPr>
            <a:r>
              <a:rPr lang="en-US" sz="1200"/>
              <a:t>periodo epidemico, Chuquisaca 2020-2021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2021-2022'!$C$27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2021-2022'!$B$28:$B$30</c:f>
              <c:strCache>
                <c:ptCount val="3"/>
                <c:pt idx="0">
                  <c:v>Villa Vacaguzman</c:v>
                </c:pt>
                <c:pt idx="1">
                  <c:v>Sucre</c:v>
                </c:pt>
                <c:pt idx="2">
                  <c:v>Total general</c:v>
                </c:pt>
              </c:strCache>
            </c:strRef>
          </c:cat>
          <c:val>
            <c:numRef>
              <c:f>'Datos 2021-2022'!$C$28:$C$29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F-4DD4-9761-420FA54EB429}"/>
            </c:ext>
          </c:extLst>
        </c:ser>
        <c:ser>
          <c:idx val="1"/>
          <c:order val="1"/>
          <c:tx>
            <c:strRef>
              <c:f>'Datos 2021-2022'!$D$27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2021-2022'!$B$28:$B$30</c:f>
              <c:strCache>
                <c:ptCount val="3"/>
                <c:pt idx="0">
                  <c:v>Villa Vacaguzman</c:v>
                </c:pt>
                <c:pt idx="1">
                  <c:v>Sucre</c:v>
                </c:pt>
                <c:pt idx="2">
                  <c:v>Total general</c:v>
                </c:pt>
              </c:strCache>
            </c:strRef>
          </c:cat>
          <c:val>
            <c:numRef>
              <c:f>'Datos 2021-2022'!$D$28:$D$29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F-4DD4-9761-420FA54EB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/>
              <a:t>Casos Positivos - dengue - </a:t>
            </a:r>
          </a:p>
          <a:p>
            <a:pPr>
              <a:defRPr sz="1200"/>
            </a:pPr>
            <a:r>
              <a:rPr lang="en-US" sz="1200"/>
              <a:t>grupos de edad y 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8389107611548552E-2"/>
          <c:y val="0.26483958922610407"/>
          <c:w val="0.90105533683289585"/>
          <c:h val="0.53850266289529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2021-2022'!$C$41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2021-2022'!$B$42:$B$45</c:f>
              <c:strCache>
                <c:ptCount val="4"/>
                <c:pt idx="0">
                  <c:v>1-4</c:v>
                </c:pt>
                <c:pt idx="1">
                  <c:v>5-14</c:v>
                </c:pt>
                <c:pt idx="2">
                  <c:v>15-59</c:v>
                </c:pt>
                <c:pt idx="3">
                  <c:v>60+</c:v>
                </c:pt>
              </c:strCache>
            </c:strRef>
          </c:cat>
          <c:val>
            <c:numRef>
              <c:f>'Datos 2021-2022'!$C$42:$C$45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2-49F9-857F-E3A632F83B8A}"/>
            </c:ext>
          </c:extLst>
        </c:ser>
        <c:ser>
          <c:idx val="1"/>
          <c:order val="1"/>
          <c:tx>
            <c:strRef>
              <c:f>'Datos 2021-2022'!$D$41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2021-2022'!$B$42:$B$45</c:f>
              <c:strCache>
                <c:ptCount val="4"/>
                <c:pt idx="0">
                  <c:v>1-4</c:v>
                </c:pt>
                <c:pt idx="1">
                  <c:v>5-14</c:v>
                </c:pt>
                <c:pt idx="2">
                  <c:v>15-59</c:v>
                </c:pt>
                <c:pt idx="3">
                  <c:v>60+</c:v>
                </c:pt>
              </c:strCache>
            </c:strRef>
          </c:cat>
          <c:val>
            <c:numRef>
              <c:f>'Datos 2021-2022'!$D$42:$D$45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2-49F9-857F-E3A632F83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771440"/>
        <c:axId val="1588771856"/>
      </c:barChart>
      <c:catAx>
        <c:axId val="158877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8771856"/>
        <c:crosses val="autoZero"/>
        <c:auto val="1"/>
        <c:lblAlgn val="ctr"/>
        <c:lblOffset val="100"/>
        <c:noMultiLvlLbl val="0"/>
      </c:catAx>
      <c:valAx>
        <c:axId val="15887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87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33770778652668"/>
          <c:y val="0.90591748399871064"/>
          <c:w val="0.28132458442694663"/>
          <c:h val="9.4082516001289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>
        <a:alphaModFix amt="20000"/>
      </a:blip>
      <a:stretch>
        <a:fillRect/>
      </a:stretch>
    </a:blip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/>
              <a:t>Casos positivos de dengue - procedencia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06-49E7-879B-596AAAD564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'Datos 2021-2022'!$A$50:$B$51</c:f>
              <c:multiLvlStrCache>
                <c:ptCount val="2"/>
                <c:lvl>
                  <c:pt idx="0">
                    <c:v>Villa Vacaguzman</c:v>
                  </c:pt>
                  <c:pt idx="1">
                    <c:v>Tarija</c:v>
                  </c:pt>
                </c:lvl>
                <c:lvl>
                  <c:pt idx="0">
                    <c:v>Autoctonos</c:v>
                  </c:pt>
                  <c:pt idx="1">
                    <c:v>Importados</c:v>
                  </c:pt>
                </c:lvl>
              </c:multiLvlStrCache>
            </c:multiLvlStrRef>
          </c:cat>
          <c:val>
            <c:numRef>
              <c:f>'Datos 2021-2022'!$C$50:$C$51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1-45D0-8FFB-10148E275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464688"/>
        <c:axId val="1584485072"/>
      </c:barChart>
      <c:catAx>
        <c:axId val="158446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4485072"/>
        <c:crosses val="autoZero"/>
        <c:auto val="1"/>
        <c:lblAlgn val="ctr"/>
        <c:lblOffset val="100"/>
        <c:noMultiLvlLbl val="0"/>
      </c:catAx>
      <c:valAx>
        <c:axId val="158448507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75000"/>
                </a:schemeClr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58446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 dpi="0" rotWithShape="1">
      <a:blip xmlns:r="http://schemas.openxmlformats.org/officeDocument/2006/relationships" r:embed="rId3">
        <a:alphaModFix amt="20000"/>
      </a:blip>
      <a:srcRect/>
      <a:stretch>
        <a:fillRect/>
      </a:stretch>
    </a:blip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/>
              <a:t>Distribucion de casos sospechosos - positivos de Microcefalia </a:t>
            </a:r>
          </a:p>
          <a:p>
            <a:pPr>
              <a:defRPr sz="1200"/>
            </a:pPr>
            <a:r>
              <a:rPr lang="en-US" sz="1200"/>
              <a:t>periodo epidemico, Chuquisaca 2020-2021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0097805363906058E-2"/>
          <c:y val="0.42257777777777777"/>
          <c:w val="0.93601511537442184"/>
          <c:h val="0.308016797900262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2021-2022'!$C$27</c:f>
              <c:strCache>
                <c:ptCount val="1"/>
                <c:pt idx="0">
                  <c:v>Sospechosos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2021-2022'!$B$36</c:f>
              <c:strCache>
                <c:ptCount val="1"/>
                <c:pt idx="0">
                  <c:v>Sucre</c:v>
                </c:pt>
              </c:strCache>
            </c:strRef>
          </c:cat>
          <c:val>
            <c:numRef>
              <c:f>'Datos 2021-2022'!$C$36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2-4DD5-88EC-BE24980E20F6}"/>
            </c:ext>
          </c:extLst>
        </c:ser>
        <c:ser>
          <c:idx val="1"/>
          <c:order val="1"/>
          <c:tx>
            <c:strRef>
              <c:f>'Datos 2021-2022'!$D$27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2021-2022'!$B$36</c:f>
              <c:strCache>
                <c:ptCount val="1"/>
                <c:pt idx="0">
                  <c:v>Sucre</c:v>
                </c:pt>
              </c:strCache>
            </c:strRef>
          </c:cat>
          <c:val>
            <c:numRef>
              <c:f>'Datos 2021-2022'!$D$36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2-4DD5-88EC-BE24980E2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197215"/>
        <c:axId val="1903193055"/>
      </c:barChart>
      <c:catAx>
        <c:axId val="1903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3055"/>
        <c:crosses val="autoZero"/>
        <c:auto val="1"/>
        <c:lblAlgn val="ctr"/>
        <c:lblOffset val="100"/>
        <c:noMultiLvlLbl val="0"/>
      </c:catAx>
      <c:valAx>
        <c:axId val="19031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9031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89261928578144"/>
          <c:y val="0.84810568678915133"/>
          <c:w val="0.24021459044003865"/>
          <c:h val="0.143005424321959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workbookViewId="0"/>
  </sheetViews>
  <pageMargins left="0.26" right="0.26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workbookViewId="0"/>
  </sheetViews>
  <pageMargins left="0.26" right="0.26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00B0F0"/>
  </sheetPr>
  <sheetViews>
    <sheetView zoomScale="90" workbookViewId="0"/>
  </sheetViews>
  <pageMargins left="0.17" right="0.13" top="0.41" bottom="0.24" header="0.3" footer="0.3"/>
  <pageSetup paperSize="9" orientation="landscape" horizontalDpi="360" verticalDpi="360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0" workbookViewId="0"/>
  </sheetViews>
  <pageMargins left="0.31496062992125984" right="0.31496062992125984" top="0.74803149606299213" bottom="0.74803149606299213" header="0.31496062992125984" footer="0.31496062992125984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31496062992125984" right="0.31496062992125984" top="0.74803149606299213" bottom="0.74803149606299213" header="0.31496062992125984" footer="0.31496062992125984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70" workbookViewId="0"/>
  </sheetViews>
  <pageMargins left="0.31496062992125984" right="0.31496062992125984" top="0.74803149606299213" bottom="0.74803149606299213" header="0.31496062992125984" footer="0.31496062992125984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chart" Target="../charts/chart9.xml"/><Relationship Id="rId19" Type="http://schemas.openxmlformats.org/officeDocument/2006/relationships/chart" Target="../charts/chart17.xml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1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13" Type="http://schemas.openxmlformats.org/officeDocument/2006/relationships/chart" Target="../charts/chart36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12" Type="http://schemas.openxmlformats.org/officeDocument/2006/relationships/chart" Target="../charts/chart35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11" Type="http://schemas.openxmlformats.org/officeDocument/2006/relationships/chart" Target="../charts/chart34.xml"/><Relationship Id="rId5" Type="http://schemas.openxmlformats.org/officeDocument/2006/relationships/chart" Target="../charts/chart28.xml"/><Relationship Id="rId10" Type="http://schemas.openxmlformats.org/officeDocument/2006/relationships/chart" Target="../charts/chart33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7</xdr:row>
      <xdr:rowOff>2114</xdr:rowOff>
    </xdr:from>
    <xdr:to>
      <xdr:col>9</xdr:col>
      <xdr:colOff>333375</xdr:colOff>
      <xdr:row>32</xdr:row>
      <xdr:rowOff>15875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87</xdr:row>
      <xdr:rowOff>0</xdr:rowOff>
    </xdr:from>
    <xdr:to>
      <xdr:col>10</xdr:col>
      <xdr:colOff>349250</xdr:colOff>
      <xdr:row>118</xdr:row>
      <xdr:rowOff>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460374</xdr:colOff>
      <xdr:row>6</xdr:row>
      <xdr:rowOff>63500</xdr:rowOff>
    </xdr:from>
    <xdr:to>
      <xdr:col>25</xdr:col>
      <xdr:colOff>333374</xdr:colOff>
      <xdr:row>32</xdr:row>
      <xdr:rowOff>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34</xdr:row>
      <xdr:rowOff>15876</xdr:rowOff>
    </xdr:from>
    <xdr:to>
      <xdr:col>25</xdr:col>
      <xdr:colOff>304799</xdr:colOff>
      <xdr:row>84</xdr:row>
      <xdr:rowOff>15875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47626</xdr:colOff>
      <xdr:row>179</xdr:row>
      <xdr:rowOff>31751</xdr:rowOff>
    </xdr:from>
    <xdr:to>
      <xdr:col>25</xdr:col>
      <xdr:colOff>266700</xdr:colOff>
      <xdr:row>209</xdr:row>
      <xdr:rowOff>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95250</xdr:colOff>
      <xdr:row>118</xdr:row>
      <xdr:rowOff>95250</xdr:rowOff>
    </xdr:from>
    <xdr:to>
      <xdr:col>25</xdr:col>
      <xdr:colOff>247650</xdr:colOff>
      <xdr:row>147</xdr:row>
      <xdr:rowOff>111125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476250</xdr:colOff>
      <xdr:row>87</xdr:row>
      <xdr:rowOff>0</xdr:rowOff>
    </xdr:from>
    <xdr:to>
      <xdr:col>25</xdr:col>
      <xdr:colOff>342900</xdr:colOff>
      <xdr:row>118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412750</xdr:colOff>
      <xdr:row>149</xdr:row>
      <xdr:rowOff>31750</xdr:rowOff>
    </xdr:from>
    <xdr:to>
      <xdr:col>25</xdr:col>
      <xdr:colOff>266700</xdr:colOff>
      <xdr:row>178</xdr:row>
      <xdr:rowOff>79375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807789</xdr:colOff>
      <xdr:row>0</xdr:row>
      <xdr:rowOff>79376</xdr:rowOff>
    </xdr:from>
    <xdr:to>
      <xdr:col>1</xdr:col>
      <xdr:colOff>1381125</xdr:colOff>
      <xdr:row>4</xdr:row>
      <xdr:rowOff>112486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89" y="79376"/>
          <a:ext cx="1875086" cy="1620610"/>
        </a:xfrm>
        <a:prstGeom prst="rect">
          <a:avLst/>
        </a:prstGeom>
      </xdr:spPr>
    </xdr:pic>
    <xdr:clientData/>
  </xdr:twoCellAnchor>
  <xdr:twoCellAnchor>
    <xdr:from>
      <xdr:col>25</xdr:col>
      <xdr:colOff>577847</xdr:colOff>
      <xdr:row>7</xdr:row>
      <xdr:rowOff>3175</xdr:rowOff>
    </xdr:from>
    <xdr:to>
      <xdr:col>39</xdr:col>
      <xdr:colOff>230456</xdr:colOff>
      <xdr:row>32</xdr:row>
      <xdr:rowOff>34925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161622" y="2212975"/>
          <a:ext cx="10939734" cy="7080250"/>
          <a:chOff x="8720011" y="10554292"/>
          <a:chExt cx="7417171" cy="5270500"/>
        </a:xfrm>
      </xdr:grpSpPr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aphicFramePr>
            <a:graphicFrameLocks/>
          </xdr:cNvGraphicFramePr>
        </xdr:nvGraphicFramePr>
        <xdr:xfrm>
          <a:off x="8720011" y="10554292"/>
          <a:ext cx="7334250" cy="5270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aphicFramePr>
            <a:graphicFrameLocks/>
          </xdr:cNvGraphicFramePr>
        </xdr:nvGraphicFramePr>
        <xdr:xfrm>
          <a:off x="12700364" y="11330445"/>
          <a:ext cx="3436818" cy="27515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 editAs="oneCell">
    <xdr:from>
      <xdr:col>19</xdr:col>
      <xdr:colOff>512476</xdr:colOff>
      <xdr:row>0</xdr:row>
      <xdr:rowOff>31750</xdr:rowOff>
    </xdr:from>
    <xdr:to>
      <xdr:col>23</xdr:col>
      <xdr:colOff>873126</xdr:colOff>
      <xdr:row>3</xdr:row>
      <xdr:rowOff>1140961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1851" y="31750"/>
          <a:ext cx="3408650" cy="1474336"/>
        </a:xfrm>
        <a:prstGeom prst="rect">
          <a:avLst/>
        </a:prstGeom>
      </xdr:spPr>
    </xdr:pic>
    <xdr:clientData/>
  </xdr:twoCellAnchor>
  <xdr:twoCellAnchor>
    <xdr:from>
      <xdr:col>0</xdr:col>
      <xdr:colOff>79375</xdr:colOff>
      <xdr:row>149</xdr:row>
      <xdr:rowOff>47627</xdr:rowOff>
    </xdr:from>
    <xdr:to>
      <xdr:col>10</xdr:col>
      <xdr:colOff>285750</xdr:colOff>
      <xdr:row>178</xdr:row>
      <xdr:rowOff>111126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590550</xdr:colOff>
      <xdr:row>33</xdr:row>
      <xdr:rowOff>127000</xdr:rowOff>
    </xdr:from>
    <xdr:to>
      <xdr:col>39</xdr:col>
      <xdr:colOff>209550</xdr:colOff>
      <xdr:row>75</xdr:row>
      <xdr:rowOff>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3174325" y="9518650"/>
          <a:ext cx="10906125" cy="7626350"/>
          <a:chOff x="0" y="12795250"/>
          <a:chExt cx="7889874" cy="6111875"/>
        </a:xfrm>
      </xdr:grpSpPr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GraphicFramePr>
            <a:graphicFrameLocks/>
          </xdr:cNvGraphicFramePr>
        </xdr:nvGraphicFramePr>
        <xdr:xfrm>
          <a:off x="0" y="12795250"/>
          <a:ext cx="7889874" cy="6111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32" name="Gráfico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GraphicFramePr>
            <a:graphicFrameLocks/>
          </xdr:cNvGraphicFramePr>
        </xdr:nvGraphicFramePr>
        <xdr:xfrm>
          <a:off x="608001" y="14147297"/>
          <a:ext cx="3468809" cy="22821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>
    <xdr:from>
      <xdr:col>25</xdr:col>
      <xdr:colOff>666748</xdr:colOff>
      <xdr:row>76</xdr:row>
      <xdr:rowOff>57150</xdr:rowOff>
    </xdr:from>
    <xdr:to>
      <xdr:col>39</xdr:col>
      <xdr:colOff>312812</xdr:colOff>
      <xdr:row>115</xdr:row>
      <xdr:rowOff>133350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23250523" y="17335500"/>
          <a:ext cx="10933189" cy="5974080"/>
          <a:chOff x="9236781" y="10581983"/>
          <a:chExt cx="7334250" cy="5270500"/>
        </a:xfrm>
      </xdr:grpSpPr>
      <xdr:graphicFrame macro="">
        <xdr:nvGraphicFramePr>
          <xdr:cNvPr id="24" name="Gráfico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GraphicFramePr>
            <a:graphicFrameLocks/>
          </xdr:cNvGraphicFramePr>
        </xdr:nvGraphicFramePr>
        <xdr:xfrm>
          <a:off x="9236781" y="10581983"/>
          <a:ext cx="7334250" cy="5270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GraphicFramePr>
            <a:graphicFrameLocks/>
          </xdr:cNvGraphicFramePr>
        </xdr:nvGraphicFramePr>
        <xdr:xfrm>
          <a:off x="10905463" y="11161725"/>
          <a:ext cx="3301415" cy="26927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  <xdr:twoCellAnchor>
    <xdr:from>
      <xdr:col>25</xdr:col>
      <xdr:colOff>685800</xdr:colOff>
      <xdr:row>116</xdr:row>
      <xdr:rowOff>114300</xdr:rowOff>
    </xdr:from>
    <xdr:to>
      <xdr:col>39</xdr:col>
      <xdr:colOff>304800</xdr:colOff>
      <xdr:row>160</xdr:row>
      <xdr:rowOff>0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23269575" y="23431500"/>
          <a:ext cx="10906125" cy="6534150"/>
          <a:chOff x="0" y="12795250"/>
          <a:chExt cx="7889874" cy="6111875"/>
        </a:xfrm>
      </xdr:grpSpPr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aphicFramePr>
            <a:graphicFrameLocks/>
          </xdr:cNvGraphicFramePr>
        </xdr:nvGraphicFramePr>
        <xdr:xfrm>
          <a:off x="0" y="12795250"/>
          <a:ext cx="7889874" cy="6111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graphicFrame macro="">
        <xdr:nvGraphicFramePr>
          <xdr:cNvPr id="33" name="Gráfico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>
            <a:graphicFrameLocks/>
          </xdr:cNvGraphicFramePr>
        </xdr:nvGraphicFramePr>
        <xdr:xfrm>
          <a:off x="1193204" y="14176375"/>
          <a:ext cx="4053780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0.68137</cdr:x>
      <cdr:y>0.26403</cdr:y>
    </cdr:from>
    <cdr:to>
      <cdr:x>0.89679</cdr:x>
      <cdr:y>0.40291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7779423" y="1914631"/>
          <a:ext cx="2459514" cy="100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1800" b="1">
              <a:solidFill>
                <a:sysClr val="windowText" lastClr="000000"/>
              </a:solidFill>
              <a:latin typeface="Arial Narrow" panose="020B0606020202030204" pitchFamily="34" charset="0"/>
            </a:rPr>
            <a:t>Sospechosos</a:t>
          </a:r>
          <a:r>
            <a:rPr lang="es-ES" sz="18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: 701</a:t>
          </a:r>
        </a:p>
        <a:p xmlns:a="http://schemas.openxmlformats.org/drawingml/2006/main">
          <a:r>
            <a:rPr lang="es-ES" sz="1800" b="1" baseline="0">
              <a:solidFill>
                <a:srgbClr val="FF0000"/>
              </a:solidFill>
              <a:latin typeface="Arial Narrow" panose="020B0606020202030204" pitchFamily="34" charset="0"/>
            </a:rPr>
            <a:t>Positivos :         123</a:t>
          </a:r>
          <a:endParaRPr lang="es-ES" sz="1800" b="1">
            <a:solidFill>
              <a:srgbClr val="FF0000"/>
            </a:solidFill>
            <a:latin typeface="Arial Narrow" panose="020B060602020203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7166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0.24839</cdr:x>
      <cdr:y>0.13384</cdr:y>
    </cdr:from>
    <cdr:to>
      <cdr:x>0.37028</cdr:x>
      <cdr:y>0.17483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2145918" y="842677"/>
          <a:ext cx="1053029" cy="258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EPIDEMIA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0.24169</cdr:x>
      <cdr:y>0.59137</cdr:y>
    </cdr:from>
    <cdr:to>
      <cdr:x>0.34266</cdr:x>
      <cdr:y>0.63257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2286000" y="3723280"/>
          <a:ext cx="954990" cy="2593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ALARMA</a:t>
          </a:r>
        </a:p>
      </cdr:txBody>
    </cdr:sp>
  </cdr:relSizeAnchor>
  <cdr:relSizeAnchor xmlns:cdr="http://schemas.openxmlformats.org/drawingml/2006/chartDrawing">
    <cdr:from>
      <cdr:x>0.28463</cdr:x>
      <cdr:y>0.82705</cdr:y>
    </cdr:from>
    <cdr:to>
      <cdr:x>0.43975</cdr:x>
      <cdr:y>0.87366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2692109" y="5207155"/>
          <a:ext cx="1467176" cy="2934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SEGURIDAD</a:t>
          </a:r>
        </a:p>
      </cdr:txBody>
    </cdr:sp>
  </cdr:relSizeAnchor>
  <cdr:relSizeAnchor xmlns:cdr="http://schemas.openxmlformats.org/drawingml/2006/chartDrawing">
    <cdr:from>
      <cdr:x>0.30551</cdr:x>
      <cdr:y>0.86609</cdr:y>
    </cdr:from>
    <cdr:to>
      <cdr:x>0.38861</cdr:x>
      <cdr:y>0.91906</cdr:y>
    </cdr:to>
    <cdr:sp macro="" textlink="">
      <cdr:nvSpPr>
        <cdr:cNvPr id="5" name="CuadroTexto 4"/>
        <cdr:cNvSpPr txBox="1"/>
      </cdr:nvSpPr>
      <cdr:spPr>
        <a:xfrm xmlns:a="http://schemas.openxmlformats.org/drawingml/2006/main">
          <a:off x="2639367" y="5452951"/>
          <a:ext cx="717916" cy="3335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EXITO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58325" cy="62960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0.24839</cdr:x>
      <cdr:y>0.13384</cdr:y>
    </cdr:from>
    <cdr:to>
      <cdr:x>0.37028</cdr:x>
      <cdr:y>0.17483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2145918" y="842677"/>
          <a:ext cx="1053029" cy="258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EPIDEMIA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0.17922</cdr:x>
      <cdr:y>0.59137</cdr:y>
    </cdr:from>
    <cdr:to>
      <cdr:x>0.34266</cdr:x>
      <cdr:y>0.63257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1548337" y="3723260"/>
          <a:ext cx="1411986" cy="2593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ALARMA</a:t>
          </a:r>
        </a:p>
      </cdr:txBody>
    </cdr:sp>
  </cdr:relSizeAnchor>
  <cdr:relSizeAnchor xmlns:cdr="http://schemas.openxmlformats.org/drawingml/2006/chartDrawing">
    <cdr:from>
      <cdr:x>0.17788</cdr:x>
      <cdr:y>0.8331</cdr:y>
    </cdr:from>
    <cdr:to>
      <cdr:x>0.333</cdr:x>
      <cdr:y>0.87971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1682472" y="5245245"/>
          <a:ext cx="1467175" cy="2934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SEGURIDAD</a:t>
          </a:r>
        </a:p>
      </cdr:txBody>
    </cdr:sp>
  </cdr:relSizeAnchor>
  <cdr:relSizeAnchor xmlns:cdr="http://schemas.openxmlformats.org/drawingml/2006/chartDrawing">
    <cdr:from>
      <cdr:x>0.25214</cdr:x>
      <cdr:y>0.87063</cdr:y>
    </cdr:from>
    <cdr:to>
      <cdr:x>0.33524</cdr:x>
      <cdr:y>0.9236</cdr:y>
    </cdr:to>
    <cdr:sp macro="" textlink="">
      <cdr:nvSpPr>
        <cdr:cNvPr id="5" name="CuadroTexto 4"/>
        <cdr:cNvSpPr txBox="1"/>
      </cdr:nvSpPr>
      <cdr:spPr>
        <a:xfrm xmlns:a="http://schemas.openxmlformats.org/drawingml/2006/main">
          <a:off x="2384788" y="5481499"/>
          <a:ext cx="785987" cy="3335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EXITO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0297583" cy="68580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61714" cy="629194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61714" cy="629194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361714" cy="629194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45</xdr:row>
      <xdr:rowOff>0</xdr:rowOff>
    </xdr:from>
    <xdr:to>
      <xdr:col>20</xdr:col>
      <xdr:colOff>723900</xdr:colOff>
      <xdr:row>57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28575</xdr:colOff>
      <xdr:row>50</xdr:row>
      <xdr:rowOff>57149</xdr:rowOff>
    </xdr:from>
    <xdr:to>
      <xdr:col>33</xdr:col>
      <xdr:colOff>28575</xdr:colOff>
      <xdr:row>61</xdr:row>
      <xdr:rowOff>38099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381000</xdr:colOff>
      <xdr:row>57</xdr:row>
      <xdr:rowOff>133350</xdr:rowOff>
    </xdr:from>
    <xdr:to>
      <xdr:col>21</xdr:col>
      <xdr:colOff>619125</xdr:colOff>
      <xdr:row>63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67</xdr:row>
      <xdr:rowOff>114300</xdr:rowOff>
    </xdr:from>
    <xdr:to>
      <xdr:col>13</xdr:col>
      <xdr:colOff>457199</xdr:colOff>
      <xdr:row>75</xdr:row>
      <xdr:rowOff>200024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209550</xdr:colOff>
      <xdr:row>43</xdr:row>
      <xdr:rowOff>95250</xdr:rowOff>
    </xdr:from>
    <xdr:to>
      <xdr:col>14</xdr:col>
      <xdr:colOff>380999</xdr:colOff>
      <xdr:row>51</xdr:row>
      <xdr:rowOff>180974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314325</xdr:colOff>
      <xdr:row>67</xdr:row>
      <xdr:rowOff>104775</xdr:rowOff>
    </xdr:from>
    <xdr:to>
      <xdr:col>32</xdr:col>
      <xdr:colOff>352425</xdr:colOff>
      <xdr:row>85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161925</xdr:colOff>
      <xdr:row>25</xdr:row>
      <xdr:rowOff>47624</xdr:rowOff>
    </xdr:from>
    <xdr:to>
      <xdr:col>26</xdr:col>
      <xdr:colOff>400049</xdr:colOff>
      <xdr:row>34</xdr:row>
      <xdr:rowOff>95249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752475</xdr:colOff>
      <xdr:row>17</xdr:row>
      <xdr:rowOff>0</xdr:rowOff>
    </xdr:from>
    <xdr:to>
      <xdr:col>35</xdr:col>
      <xdr:colOff>9525</xdr:colOff>
      <xdr:row>30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219075</xdr:colOff>
      <xdr:row>37</xdr:row>
      <xdr:rowOff>200024</xdr:rowOff>
    </xdr:from>
    <xdr:to>
      <xdr:col>35</xdr:col>
      <xdr:colOff>307975</xdr:colOff>
      <xdr:row>46</xdr:row>
      <xdr:rowOff>168277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19050</xdr:colOff>
      <xdr:row>2</xdr:row>
      <xdr:rowOff>28575</xdr:rowOff>
    </xdr:from>
    <xdr:to>
      <xdr:col>20</xdr:col>
      <xdr:colOff>714375</xdr:colOff>
      <xdr:row>26</xdr:row>
      <xdr:rowOff>95250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absoluteAnchor>
    <xdr:pos x="11791950" y="12287250"/>
    <xdr:ext cx="9334500" cy="6272893"/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absoluteAnchor>
  <xdr:twoCellAnchor>
    <xdr:from>
      <xdr:col>8</xdr:col>
      <xdr:colOff>371475</xdr:colOff>
      <xdr:row>97</xdr:row>
      <xdr:rowOff>47625</xdr:rowOff>
    </xdr:from>
    <xdr:to>
      <xdr:col>23</xdr:col>
      <xdr:colOff>352425</xdr:colOff>
      <xdr:row>129</xdr:row>
      <xdr:rowOff>123825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130</xdr:row>
      <xdr:rowOff>123824</xdr:rowOff>
    </xdr:from>
    <xdr:to>
      <xdr:col>21</xdr:col>
      <xdr:colOff>19050</xdr:colOff>
      <xdr:row>148</xdr:row>
      <xdr:rowOff>114299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1190624</xdr:colOff>
      <xdr:row>0</xdr:row>
      <xdr:rowOff>171449</xdr:rowOff>
    </xdr:from>
    <xdr:to>
      <xdr:col>14</xdr:col>
      <xdr:colOff>1009649</xdr:colOff>
      <xdr:row>32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114298</xdr:colOff>
      <xdr:row>34</xdr:row>
      <xdr:rowOff>180972</xdr:rowOff>
    </xdr:from>
    <xdr:to>
      <xdr:col>10</xdr:col>
      <xdr:colOff>333374</xdr:colOff>
      <xdr:row>68</xdr:row>
      <xdr:rowOff>57149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1362075</xdr:colOff>
      <xdr:row>37</xdr:row>
      <xdr:rowOff>152400</xdr:rowOff>
    </xdr:from>
    <xdr:to>
      <xdr:col>9</xdr:col>
      <xdr:colOff>1257300</xdr:colOff>
      <xdr:row>42</xdr:row>
      <xdr:rowOff>152400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10791825" y="7200900"/>
          <a:ext cx="1762125" cy="952500"/>
        </a:xfrm>
        <a:prstGeom prst="rect">
          <a:avLst/>
        </a:prstGeom>
        <a:solidFill>
          <a:schemeClr val="lt1"/>
        </a:solidFill>
        <a:ln w="19050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TOTAL DPTO.</a:t>
          </a:r>
        </a:p>
        <a:p>
          <a:pPr algn="ctr"/>
          <a:endParaRPr lang="es-E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2022  =  2,8</a:t>
          </a:r>
        </a:p>
        <a:p>
          <a:pPr algn="ctr"/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2023  </a:t>
          </a:r>
          <a:r>
            <a:rPr lang="es-ES" sz="1100" baseline="0">
              <a:latin typeface="Arial" panose="020B0604020202020204" pitchFamily="34" charset="0"/>
              <a:cs typeface="Arial" panose="020B0604020202020204" pitchFamily="34" charset="0"/>
            </a:rPr>
            <a:t>=  57,0</a:t>
          </a:r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13</xdr:col>
      <xdr:colOff>685800</xdr:colOff>
      <xdr:row>4</xdr:row>
      <xdr:rowOff>0</xdr:rowOff>
    </xdr:from>
    <xdr:to>
      <xdr:col>14</xdr:col>
      <xdr:colOff>581025</xdr:colOff>
      <xdr:row>9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19450050" y="762000"/>
          <a:ext cx="1762125" cy="952500"/>
        </a:xfrm>
        <a:prstGeom prst="rect">
          <a:avLst/>
        </a:prstGeom>
        <a:solidFill>
          <a:schemeClr val="lt1"/>
        </a:solidFill>
        <a:ln w="19050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TOTAL DPTO.</a:t>
          </a:r>
        </a:p>
        <a:p>
          <a:pPr algn="ctr"/>
          <a:endParaRPr lang="es-E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2022  =  172</a:t>
          </a:r>
        </a:p>
        <a:p>
          <a:pPr algn="ctr"/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2023  </a:t>
          </a:r>
          <a:r>
            <a:rPr lang="es-ES" sz="1100" baseline="0">
              <a:latin typeface="Arial" panose="020B0604020202020204" pitchFamily="34" charset="0"/>
              <a:cs typeface="Arial" panose="020B0604020202020204" pitchFamily="34" charset="0"/>
            </a:rPr>
            <a:t>=  2075</a:t>
          </a:r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</xdr:row>
      <xdr:rowOff>0</xdr:rowOff>
    </xdr:from>
    <xdr:to>
      <xdr:col>16</xdr:col>
      <xdr:colOff>409575</xdr:colOff>
      <xdr:row>10</xdr:row>
      <xdr:rowOff>209549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13</xdr:row>
      <xdr:rowOff>180976</xdr:rowOff>
    </xdr:from>
    <xdr:to>
      <xdr:col>16</xdr:col>
      <xdr:colOff>476250</xdr:colOff>
      <xdr:row>24</xdr:row>
      <xdr:rowOff>66676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25</xdr:row>
      <xdr:rowOff>9526</xdr:rowOff>
    </xdr:from>
    <xdr:to>
      <xdr:col>16</xdr:col>
      <xdr:colOff>476250</xdr:colOff>
      <xdr:row>32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276225</xdr:colOff>
      <xdr:row>40</xdr:row>
      <xdr:rowOff>76199</xdr:rowOff>
    </xdr:from>
    <xdr:to>
      <xdr:col>16</xdr:col>
      <xdr:colOff>123825</xdr:colOff>
      <xdr:row>49</xdr:row>
      <xdr:rowOff>57149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209550</xdr:colOff>
      <xdr:row>51</xdr:row>
      <xdr:rowOff>0</xdr:rowOff>
    </xdr:from>
    <xdr:to>
      <xdr:col>16</xdr:col>
      <xdr:colOff>57150</xdr:colOff>
      <xdr:row>60</xdr:row>
      <xdr:rowOff>200025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419100</xdr:colOff>
      <xdr:row>32</xdr:row>
      <xdr:rowOff>200025</xdr:rowOff>
    </xdr:from>
    <xdr:to>
      <xdr:col>16</xdr:col>
      <xdr:colOff>390525</xdr:colOff>
      <xdr:row>39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3:AE211"/>
  <sheetViews>
    <sheetView showGridLines="0" tabSelected="1" topLeftCell="A59" zoomScale="80" zoomScaleNormal="80" workbookViewId="0">
      <selection activeCell="AK167" sqref="AK167"/>
    </sheetView>
  </sheetViews>
  <sheetFormatPr defaultColWidth="11.44140625" defaultRowHeight="10.199999999999999" x14ac:dyDescent="0.2"/>
  <cols>
    <col min="1" max="1" width="19.5546875" style="10" customWidth="1"/>
    <col min="2" max="2" width="29.5546875" style="10" customWidth="1"/>
    <col min="3" max="3" width="25" style="10" customWidth="1"/>
    <col min="4" max="4" width="18" style="10" customWidth="1"/>
    <col min="5" max="5" width="20.88671875" style="10" customWidth="1"/>
    <col min="6" max="6" width="15.44140625" style="10" customWidth="1"/>
    <col min="7" max="7" width="5.88671875" style="10" customWidth="1"/>
    <col min="8" max="13" width="11.44140625" style="10"/>
    <col min="14" max="14" width="20.6640625" style="10" customWidth="1"/>
    <col min="15" max="15" width="6.109375" style="10" customWidth="1"/>
    <col min="16" max="16" width="6.88671875" style="10" customWidth="1"/>
    <col min="17" max="17" width="11.44140625" style="10"/>
    <col min="18" max="18" width="8.109375" style="10" customWidth="1"/>
    <col min="19" max="23" width="11.44140625" style="10"/>
    <col min="24" max="24" width="14" style="10" customWidth="1"/>
    <col min="25" max="25" width="2.44140625" style="10" customWidth="1"/>
    <col min="26" max="26" width="20" style="10" customWidth="1"/>
    <col min="27" max="29" width="11.44140625" style="10"/>
    <col min="30" max="30" width="14" style="10" customWidth="1"/>
    <col min="31" max="31" width="5.33203125" style="10" customWidth="1"/>
    <col min="32" max="16384" width="11.44140625" style="10"/>
  </cols>
  <sheetData>
    <row r="3" spans="1:31" ht="6" customHeight="1" x14ac:dyDescent="0.2"/>
    <row r="4" spans="1:31" ht="96.75" customHeight="1" x14ac:dyDescent="0.2">
      <c r="A4" s="173" t="s">
        <v>193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41"/>
      <c r="AA4" s="141"/>
      <c r="AB4" s="141"/>
      <c r="AC4" s="141"/>
      <c r="AD4" s="141"/>
      <c r="AE4" s="141"/>
    </row>
    <row r="5" spans="1:31" ht="9.75" customHeight="1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31" ht="33" customHeight="1" x14ac:dyDescent="0.2">
      <c r="A6" s="176" t="s">
        <v>6</v>
      </c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64"/>
      <c r="AA6" s="64"/>
      <c r="AB6" s="64"/>
      <c r="AC6" s="64"/>
      <c r="AD6" s="64"/>
      <c r="AE6" s="64"/>
    </row>
    <row r="7" spans="1:31" ht="7.5" customHeight="1" x14ac:dyDescent="0.2"/>
    <row r="8" spans="1:31" s="11" customFormat="1" ht="50.25" customHeight="1" x14ac:dyDescent="0.25">
      <c r="A8" s="55"/>
      <c r="B8" s="55"/>
      <c r="C8" s="55"/>
      <c r="D8" s="56"/>
      <c r="E8" s="56"/>
      <c r="F8" s="57"/>
    </row>
    <row r="9" spans="1:31" s="1" customFormat="1" ht="25.5" customHeight="1" x14ac:dyDescent="0.3">
      <c r="A9" s="58"/>
      <c r="B9" s="59"/>
      <c r="C9" s="60"/>
      <c r="D9" s="61"/>
      <c r="E9" s="61"/>
      <c r="F9" s="61"/>
    </row>
    <row r="10" spans="1:31" s="1" customFormat="1" ht="25.5" customHeight="1" x14ac:dyDescent="0.3">
      <c r="A10" s="58"/>
      <c r="B10" s="59"/>
      <c r="C10" s="60"/>
      <c r="D10" s="61"/>
      <c r="E10" s="61"/>
      <c r="F10" s="61"/>
    </row>
    <row r="11" spans="1:31" s="1" customFormat="1" ht="25.5" customHeight="1" x14ac:dyDescent="0.3">
      <c r="A11" s="58"/>
      <c r="B11" s="59"/>
      <c r="C11" s="60"/>
      <c r="D11" s="61"/>
      <c r="E11" s="61"/>
      <c r="F11" s="61"/>
    </row>
    <row r="12" spans="1:31" s="1" customFormat="1" ht="25.5" customHeight="1" x14ac:dyDescent="0.3">
      <c r="A12" s="58"/>
      <c r="B12" s="59"/>
      <c r="C12" s="60"/>
      <c r="D12" s="61"/>
      <c r="E12" s="61"/>
      <c r="F12" s="61"/>
    </row>
    <row r="13" spans="1:31" s="1" customFormat="1" ht="25.5" customHeight="1" x14ac:dyDescent="0.3">
      <c r="A13" s="58"/>
      <c r="B13" s="59"/>
      <c r="C13" s="60"/>
      <c r="D13" s="61"/>
      <c r="E13" s="61"/>
      <c r="F13" s="61"/>
    </row>
    <row r="14" spans="1:31" s="1" customFormat="1" ht="25.5" customHeight="1" x14ac:dyDescent="0.3">
      <c r="A14" s="58"/>
      <c r="B14" s="59"/>
      <c r="C14" s="60"/>
      <c r="D14" s="61"/>
      <c r="E14" s="61"/>
      <c r="F14" s="61"/>
    </row>
    <row r="15" spans="1:31" s="1" customFormat="1" ht="25.5" customHeight="1" x14ac:dyDescent="0.3">
      <c r="A15" s="58"/>
      <c r="B15" s="59"/>
      <c r="C15" s="60"/>
      <c r="D15" s="61"/>
      <c r="E15" s="61"/>
      <c r="F15" s="61"/>
    </row>
    <row r="16" spans="1:31" s="1" customFormat="1" ht="25.5" customHeight="1" x14ac:dyDescent="0.3">
      <c r="A16" s="58"/>
      <c r="B16" s="59"/>
      <c r="C16" s="60"/>
      <c r="D16" s="61"/>
      <c r="E16" s="61"/>
      <c r="F16" s="61"/>
    </row>
    <row r="17" spans="1:31" s="1" customFormat="1" ht="25.5" customHeight="1" x14ac:dyDescent="0.3">
      <c r="A17" s="58"/>
      <c r="B17" s="59"/>
      <c r="C17" s="60"/>
      <c r="D17" s="61"/>
      <c r="E17" s="61"/>
      <c r="F17" s="61"/>
    </row>
    <row r="18" spans="1:31" s="1" customFormat="1" ht="25.5" customHeight="1" x14ac:dyDescent="0.3">
      <c r="A18" s="58"/>
      <c r="B18" s="59"/>
      <c r="C18" s="60"/>
      <c r="D18" s="61"/>
      <c r="E18" s="61"/>
      <c r="F18" s="61"/>
    </row>
    <row r="19" spans="1:31" s="1" customFormat="1" ht="25.5" customHeight="1" x14ac:dyDescent="0.3">
      <c r="A19" s="58"/>
      <c r="B19" s="59"/>
      <c r="C19" s="60"/>
      <c r="D19" s="61"/>
      <c r="E19" s="61"/>
      <c r="F19" s="61"/>
    </row>
    <row r="20" spans="1:31" s="1" customFormat="1" ht="25.5" customHeight="1" x14ac:dyDescent="0.3">
      <c r="A20" s="58"/>
      <c r="B20" s="59"/>
      <c r="C20" s="60"/>
      <c r="D20" s="61"/>
      <c r="E20" s="61"/>
      <c r="F20" s="61"/>
    </row>
    <row r="21" spans="1:31" s="15" customFormat="1" ht="25.5" customHeight="1" x14ac:dyDescent="0.3">
      <c r="A21" s="62"/>
      <c r="B21" s="62"/>
      <c r="C21" s="62"/>
      <c r="D21" s="56"/>
      <c r="E21" s="63"/>
      <c r="F21" s="63"/>
    </row>
    <row r="25" spans="1:31" ht="30" x14ac:dyDescent="0.2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</row>
    <row r="26" spans="1:31" ht="30" x14ac:dyDescent="0.2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</row>
    <row r="27" spans="1:31" ht="30" x14ac:dyDescent="0.2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</row>
    <row r="28" spans="1:31" x14ac:dyDescent="0.2"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</row>
    <row r="36" spans="1:24" ht="57" customHeight="1" x14ac:dyDescent="0.2"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</row>
    <row r="38" spans="1:24" ht="50.25" customHeight="1" x14ac:dyDescent="0.2"/>
    <row r="43" spans="1:24" ht="20.25" customHeight="1" x14ac:dyDescent="0.2"/>
    <row r="48" spans="1:24" ht="57" customHeight="1" x14ac:dyDescent="0.25">
      <c r="A48" s="179"/>
      <c r="B48" s="179"/>
      <c r="C48" s="179"/>
      <c r="D48" s="179"/>
      <c r="E48" s="179"/>
      <c r="F48" s="179"/>
      <c r="S48" s="125"/>
      <c r="T48" s="180"/>
      <c r="U48" s="180"/>
      <c r="V48" s="180"/>
      <c r="W48" s="180"/>
      <c r="X48" s="125"/>
    </row>
    <row r="49" spans="19:24" ht="13.8" x14ac:dyDescent="0.25">
      <c r="S49" s="125"/>
      <c r="T49" s="126"/>
      <c r="U49" s="127"/>
      <c r="V49" s="127"/>
      <c r="W49" s="127"/>
      <c r="X49" s="125"/>
    </row>
    <row r="50" spans="19:24" ht="15.6" x14ac:dyDescent="0.25">
      <c r="S50" s="125"/>
      <c r="T50" s="128"/>
      <c r="U50" s="127"/>
      <c r="V50" s="127"/>
      <c r="W50" s="129"/>
      <c r="X50" s="125"/>
    </row>
    <row r="53" spans="19:24" ht="27.75" customHeight="1" x14ac:dyDescent="0.2"/>
    <row r="70" spans="16:16" ht="13.8" x14ac:dyDescent="0.25">
      <c r="P70" s="13"/>
    </row>
    <row r="87" spans="1:31" ht="46.5" customHeight="1" x14ac:dyDescent="0.7">
      <c r="A87" s="174" t="s">
        <v>56</v>
      </c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</row>
    <row r="88" spans="1:31" s="40" customFormat="1" ht="30" x14ac:dyDescent="0.35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</row>
    <row r="129" spans="1:31" ht="30" x14ac:dyDescent="0.2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</row>
    <row r="149" spans="1:25" ht="52.5" customHeight="1" x14ac:dyDescent="0.7">
      <c r="A149" s="174" t="s">
        <v>57</v>
      </c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</row>
    <row r="211" spans="1:1" s="145" customFormat="1" ht="25.2" x14ac:dyDescent="0.45">
      <c r="A211" s="144" t="s">
        <v>136</v>
      </c>
    </row>
  </sheetData>
  <mergeCells count="10">
    <mergeCell ref="A4:Y4"/>
    <mergeCell ref="A149:Y149"/>
    <mergeCell ref="A6:Y6"/>
    <mergeCell ref="A88:AE88"/>
    <mergeCell ref="A129:AE129"/>
    <mergeCell ref="A48:F48"/>
    <mergeCell ref="T48:W48"/>
    <mergeCell ref="A87:Y87"/>
    <mergeCell ref="H28:AD28"/>
    <mergeCell ref="A26:AE26"/>
  </mergeCells>
  <phoneticPr fontId="16" type="noConversion"/>
  <pageMargins left="0.21" right="0" top="0.11811023622047245" bottom="0.11811023622047245" header="0" footer="0"/>
  <pageSetup scale="95" orientation="landscape" r:id="rId1"/>
  <rowBreaks count="1" manualBreakCount="1">
    <brk id="85" max="2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52"/>
  <sheetViews>
    <sheetView zoomScale="140" zoomScaleNormal="140" workbookViewId="0">
      <pane xSplit="2" ySplit="2" topLeftCell="C3" activePane="bottomRight" state="frozen"/>
      <selection activeCell="C13" sqref="C13"/>
      <selection pane="topRight" activeCell="C13" sqref="C13"/>
      <selection pane="bottomLeft" activeCell="C13" sqref="C13"/>
      <selection pane="bottomRight" activeCell="A2" sqref="A2:XFD2"/>
    </sheetView>
  </sheetViews>
  <sheetFormatPr defaultColWidth="11.44140625" defaultRowHeight="13.8" x14ac:dyDescent="0.25"/>
  <cols>
    <col min="1" max="1" width="16.44140625" style="16" customWidth="1"/>
    <col min="2" max="2" width="14.109375" style="16" customWidth="1"/>
    <col min="3" max="3" width="11" style="16" customWidth="1"/>
    <col min="4" max="4" width="11.109375" style="16" customWidth="1"/>
    <col min="5" max="5" width="11" style="16" customWidth="1"/>
    <col min="6" max="13" width="8.109375" style="16" customWidth="1"/>
    <col min="14" max="14" width="8.109375" style="22" customWidth="1"/>
    <col min="15" max="15" width="9.109375" style="22" customWidth="1"/>
    <col min="16" max="16" width="9.5546875" style="22" customWidth="1"/>
    <col min="17" max="17" width="8.6640625" style="22" customWidth="1"/>
    <col min="18" max="18" width="8.33203125" style="16" customWidth="1"/>
    <col min="19" max="19" width="7.6640625" style="16" customWidth="1"/>
    <col min="20" max="16384" width="11.44140625" style="16"/>
  </cols>
  <sheetData>
    <row r="2" spans="2:19" x14ac:dyDescent="0.25">
      <c r="B2" s="105" t="s">
        <v>6</v>
      </c>
      <c r="C2" s="109">
        <v>2009</v>
      </c>
      <c r="D2" s="110">
        <v>2010</v>
      </c>
      <c r="E2" s="110">
        <v>2011</v>
      </c>
      <c r="F2" s="110">
        <v>2012</v>
      </c>
      <c r="G2" s="110">
        <v>2013</v>
      </c>
      <c r="H2" s="110">
        <v>2014</v>
      </c>
      <c r="I2" s="110">
        <v>2015</v>
      </c>
      <c r="J2" s="110">
        <v>2016</v>
      </c>
      <c r="K2" s="110">
        <v>2017</v>
      </c>
      <c r="L2" s="110">
        <v>2018</v>
      </c>
      <c r="M2" s="110">
        <v>2019</v>
      </c>
      <c r="N2" s="110">
        <v>2020</v>
      </c>
      <c r="O2" s="110">
        <v>2021</v>
      </c>
      <c r="P2" s="110">
        <v>2022</v>
      </c>
      <c r="Q2" s="157">
        <v>2023</v>
      </c>
      <c r="R2" s="157">
        <v>2024</v>
      </c>
      <c r="S2" s="110">
        <v>2025</v>
      </c>
    </row>
    <row r="3" spans="2:19" x14ac:dyDescent="0.25">
      <c r="B3" s="17" t="s">
        <v>66</v>
      </c>
      <c r="C3" s="18">
        <f>214913+26504+12562+10007+10748+7386</f>
        <v>282120</v>
      </c>
      <c r="D3" s="25">
        <f>214913+26504+10007+(3269)</f>
        <v>254693</v>
      </c>
      <c r="E3" s="26">
        <v>365936</v>
      </c>
      <c r="F3" s="17">
        <v>368887</v>
      </c>
      <c r="G3" s="17">
        <v>367102</v>
      </c>
      <c r="H3" s="17">
        <v>354407</v>
      </c>
      <c r="I3" s="17">
        <v>362175</v>
      </c>
      <c r="J3" s="19">
        <v>399115</v>
      </c>
      <c r="K3" s="19">
        <v>361001</v>
      </c>
      <c r="L3" s="19">
        <v>361547</v>
      </c>
      <c r="M3" s="19">
        <v>362220</v>
      </c>
      <c r="N3" s="19">
        <v>363462</v>
      </c>
      <c r="O3" s="19">
        <v>364148</v>
      </c>
      <c r="P3" s="19">
        <v>364385</v>
      </c>
      <c r="Q3" s="19">
        <v>366642</v>
      </c>
      <c r="R3" s="19">
        <v>367712</v>
      </c>
      <c r="S3" s="19">
        <v>367712</v>
      </c>
    </row>
    <row r="4" spans="2:19" x14ac:dyDescent="0.25">
      <c r="B4" s="17" t="s">
        <v>53</v>
      </c>
      <c r="C4" s="18">
        <v>979</v>
      </c>
      <c r="D4" s="19">
        <v>52</v>
      </c>
      <c r="E4" s="19">
        <v>174</v>
      </c>
      <c r="F4" s="19">
        <v>443</v>
      </c>
      <c r="G4" s="19">
        <v>318</v>
      </c>
      <c r="H4" s="19">
        <v>912</v>
      </c>
      <c r="I4" s="19">
        <v>535</v>
      </c>
      <c r="J4" s="19">
        <v>574</v>
      </c>
      <c r="K4" s="19">
        <v>231</v>
      </c>
      <c r="L4" s="19">
        <f>+'Datos Semana'!BC8</f>
        <v>213</v>
      </c>
      <c r="M4" s="19">
        <f>'Datos Semana'!BD13</f>
        <v>221</v>
      </c>
      <c r="N4" s="19">
        <f>'Datos Semana'!BD18</f>
        <v>4110</v>
      </c>
      <c r="O4" s="19">
        <f>'Datos Semana'!BD23</f>
        <v>242</v>
      </c>
      <c r="P4" s="19">
        <f>'Datos Semana'!BD28</f>
        <v>650</v>
      </c>
      <c r="Q4" s="19">
        <f>'Datos Semana'!BD32</f>
        <v>4981</v>
      </c>
      <c r="R4" s="19">
        <f>'Datos Semana'!BD36</f>
        <v>1436</v>
      </c>
      <c r="S4" s="19">
        <f>'Datos Semana'!BD40</f>
        <v>701</v>
      </c>
    </row>
    <row r="5" spans="2:19" x14ac:dyDescent="0.25">
      <c r="B5" s="17" t="s">
        <v>54</v>
      </c>
      <c r="C5" s="18">
        <v>370</v>
      </c>
      <c r="D5" s="19">
        <v>3</v>
      </c>
      <c r="E5" s="19">
        <v>38</v>
      </c>
      <c r="F5" s="19">
        <v>189</v>
      </c>
      <c r="G5" s="19">
        <v>59</v>
      </c>
      <c r="H5" s="19">
        <v>139</v>
      </c>
      <c r="I5" s="19">
        <v>15</v>
      </c>
      <c r="J5" s="19">
        <v>39</v>
      </c>
      <c r="K5" s="19">
        <v>20</v>
      </c>
      <c r="L5" s="19">
        <f>+'Datos Semana'!BC9</f>
        <v>9</v>
      </c>
      <c r="M5" s="19">
        <f>'Datos Semana'!BD14</f>
        <v>55</v>
      </c>
      <c r="N5" s="19">
        <v>2589</v>
      </c>
      <c r="O5" s="19">
        <f>'Datos Semana'!BD24</f>
        <v>27</v>
      </c>
      <c r="P5" s="19">
        <f>'Datos Semana'!BD29</f>
        <v>102</v>
      </c>
      <c r="Q5" s="19">
        <f>'Datos Semana'!BD33</f>
        <v>2077</v>
      </c>
      <c r="R5" s="19">
        <f>'Datos Semana'!BD37</f>
        <v>325</v>
      </c>
      <c r="S5" s="19">
        <f>'Datos Semana'!BD41</f>
        <v>123</v>
      </c>
    </row>
    <row r="6" spans="2:19" x14ac:dyDescent="0.25">
      <c r="B6" s="17" t="s">
        <v>61</v>
      </c>
      <c r="C6" s="20">
        <f t="shared" ref="C6:S6" si="0">C5/C3*10000</f>
        <v>13.114986530554374</v>
      </c>
      <c r="D6" s="21">
        <f t="shared" si="0"/>
        <v>0.11778886738151423</v>
      </c>
      <c r="E6" s="20">
        <f t="shared" si="0"/>
        <v>1.0384329500240479</v>
      </c>
      <c r="F6" s="20">
        <f t="shared" si="0"/>
        <v>5.1235202107962596</v>
      </c>
      <c r="G6" s="20">
        <f t="shared" si="0"/>
        <v>1.607182744850205</v>
      </c>
      <c r="H6" s="20">
        <f t="shared" si="0"/>
        <v>3.9220444291450227</v>
      </c>
      <c r="I6" s="20">
        <f t="shared" si="0"/>
        <v>0.41416442327604058</v>
      </c>
      <c r="J6" s="20">
        <f t="shared" si="0"/>
        <v>0.97716197086052892</v>
      </c>
      <c r="K6" s="20">
        <f t="shared" si="0"/>
        <v>0.55401508583078718</v>
      </c>
      <c r="L6" s="20">
        <f t="shared" si="0"/>
        <v>0.24893029122078178</v>
      </c>
      <c r="M6" s="20">
        <f t="shared" si="0"/>
        <v>1.5184142234001436</v>
      </c>
      <c r="N6" s="20">
        <f t="shared" si="0"/>
        <v>71.231655578850052</v>
      </c>
      <c r="O6" s="20">
        <f t="shared" si="0"/>
        <v>0.74145677032415391</v>
      </c>
      <c r="P6" s="20">
        <f t="shared" si="0"/>
        <v>2.7992370706807357</v>
      </c>
      <c r="Q6" s="20">
        <f t="shared" si="0"/>
        <v>56.649265496042467</v>
      </c>
      <c r="R6" s="20">
        <f t="shared" si="0"/>
        <v>8.8384387781742237</v>
      </c>
      <c r="S6" s="20">
        <f t="shared" si="0"/>
        <v>3.345009137585937</v>
      </c>
    </row>
    <row r="8" spans="2:19" x14ac:dyDescent="0.25">
      <c r="B8" s="106" t="s">
        <v>56</v>
      </c>
      <c r="C8" s="107">
        <v>2015</v>
      </c>
      <c r="D8" s="107">
        <v>2016</v>
      </c>
      <c r="E8" s="107">
        <v>2017</v>
      </c>
      <c r="F8" s="107">
        <v>2018</v>
      </c>
      <c r="G8" s="107">
        <v>2019</v>
      </c>
      <c r="H8" s="107">
        <v>2020</v>
      </c>
      <c r="I8" s="107">
        <v>2021</v>
      </c>
      <c r="J8" s="107">
        <v>2022</v>
      </c>
      <c r="K8" s="107">
        <v>2023</v>
      </c>
      <c r="L8" s="106">
        <v>2024</v>
      </c>
      <c r="M8" s="107">
        <v>2025</v>
      </c>
    </row>
    <row r="9" spans="2:19" x14ac:dyDescent="0.25">
      <c r="B9" s="17" t="s">
        <v>66</v>
      </c>
      <c r="C9" s="19">
        <v>338134</v>
      </c>
      <c r="D9" s="19">
        <v>3008689</v>
      </c>
      <c r="E9" s="19">
        <v>295021</v>
      </c>
      <c r="F9" s="17">
        <v>329219</v>
      </c>
      <c r="G9" s="19">
        <v>322084</v>
      </c>
      <c r="H9" s="19">
        <v>305933</v>
      </c>
      <c r="I9" s="19">
        <v>305933</v>
      </c>
      <c r="J9" s="19">
        <v>305933</v>
      </c>
      <c r="K9" s="19">
        <v>305933</v>
      </c>
      <c r="L9" s="19">
        <v>305933</v>
      </c>
      <c r="M9" s="19">
        <v>305933</v>
      </c>
    </row>
    <row r="10" spans="2:19" x14ac:dyDescent="0.25">
      <c r="B10" s="17" t="s">
        <v>53</v>
      </c>
      <c r="C10" s="19">
        <v>82</v>
      </c>
      <c r="D10" s="19">
        <v>373</v>
      </c>
      <c r="E10" s="19">
        <v>174</v>
      </c>
      <c r="F10" s="19">
        <f>+'Datos Semana'!BC96</f>
        <v>159</v>
      </c>
      <c r="G10" s="19">
        <f>'Datos Semana'!BD101</f>
        <v>59</v>
      </c>
      <c r="H10" s="19">
        <f>'Datos Semana'!BD105</f>
        <v>353</v>
      </c>
      <c r="I10" s="19">
        <f>'Datos Semana'!BD110</f>
        <v>39</v>
      </c>
      <c r="J10" s="19">
        <f>'Datos Semana'!BD115</f>
        <v>57</v>
      </c>
      <c r="K10" s="19">
        <f>'Datos Semana'!BD119</f>
        <v>184</v>
      </c>
      <c r="L10" s="19">
        <f>'Datos Semana'!BD123</f>
        <v>15</v>
      </c>
      <c r="M10" s="19">
        <f>'Datos Semana'!BD127</f>
        <v>131</v>
      </c>
    </row>
    <row r="11" spans="2:19" x14ac:dyDescent="0.25">
      <c r="B11" s="17" t="s">
        <v>54</v>
      </c>
      <c r="C11" s="19">
        <v>11</v>
      </c>
      <c r="D11" s="19">
        <v>19</v>
      </c>
      <c r="E11" s="19">
        <v>2</v>
      </c>
      <c r="F11" s="19">
        <f>+'Datos Semana'!BC97</f>
        <v>4</v>
      </c>
      <c r="G11" s="19">
        <f>'Datos Semana'!BD102</f>
        <v>3</v>
      </c>
      <c r="H11" s="19">
        <f>'Datos Semana'!BD106</f>
        <v>5</v>
      </c>
      <c r="I11" s="19">
        <f>'Datos Semana'!BD111</f>
        <v>0</v>
      </c>
      <c r="J11" s="19">
        <f>'Datos Semana'!BD116</f>
        <v>0</v>
      </c>
      <c r="K11" s="19">
        <f>'Datos Semana'!BD120</f>
        <v>1</v>
      </c>
      <c r="L11" s="19">
        <v>0</v>
      </c>
      <c r="M11" s="19">
        <f>'Datos Semana'!BD128</f>
        <v>16</v>
      </c>
    </row>
    <row r="12" spans="2:19" x14ac:dyDescent="0.25">
      <c r="B12" s="17" t="s">
        <v>61</v>
      </c>
      <c r="C12" s="20">
        <f t="shared" ref="C12:M12" si="1">C11/C9*10000</f>
        <v>0.32531481601968454</v>
      </c>
      <c r="D12" s="20">
        <f t="shared" si="1"/>
        <v>6.315042864184367E-2</v>
      </c>
      <c r="E12" s="20">
        <f t="shared" si="1"/>
        <v>6.7791784313659023E-2</v>
      </c>
      <c r="F12" s="20">
        <f t="shared" si="1"/>
        <v>0.12149967043214395</v>
      </c>
      <c r="G12" s="20">
        <f t="shared" si="1"/>
        <v>9.314340358415818E-2</v>
      </c>
      <c r="H12" s="20">
        <f t="shared" si="1"/>
        <v>0.16343447748363202</v>
      </c>
      <c r="I12" s="20">
        <f t="shared" si="1"/>
        <v>0</v>
      </c>
      <c r="J12" s="20">
        <f t="shared" si="1"/>
        <v>0</v>
      </c>
      <c r="K12" s="20">
        <f t="shared" si="1"/>
        <v>3.2686895496726404E-2</v>
      </c>
      <c r="L12" s="20">
        <f t="shared" si="1"/>
        <v>0</v>
      </c>
      <c r="M12" s="20">
        <f t="shared" si="1"/>
        <v>0.52299032794762246</v>
      </c>
    </row>
    <row r="14" spans="2:19" x14ac:dyDescent="0.25">
      <c r="I14" s="27"/>
    </row>
    <row r="15" spans="2:19" s="22" customFormat="1" x14ac:dyDescent="0.25">
      <c r="B15" s="111" t="s">
        <v>57</v>
      </c>
      <c r="C15" s="108">
        <v>2016</v>
      </c>
      <c r="D15" s="108">
        <v>2017</v>
      </c>
      <c r="E15" s="108">
        <v>2018</v>
      </c>
      <c r="F15" s="108">
        <v>2019</v>
      </c>
      <c r="G15" s="108">
        <v>2020</v>
      </c>
      <c r="H15" s="108">
        <v>2021</v>
      </c>
      <c r="I15" s="108">
        <v>2022</v>
      </c>
      <c r="J15" s="108">
        <v>2023</v>
      </c>
      <c r="K15" s="108">
        <v>2024</v>
      </c>
      <c r="L15" s="108">
        <v>2025</v>
      </c>
    </row>
    <row r="16" spans="2:19" s="22" customFormat="1" x14ac:dyDescent="0.25">
      <c r="B16" s="17" t="s">
        <v>66</v>
      </c>
      <c r="C16" s="19">
        <v>2954981</v>
      </c>
      <c r="D16" s="19">
        <v>321075</v>
      </c>
      <c r="E16" s="19">
        <v>313179</v>
      </c>
      <c r="F16" s="17">
        <v>295353</v>
      </c>
      <c r="G16" s="17">
        <v>295353</v>
      </c>
      <c r="H16" s="17">
        <v>295353</v>
      </c>
      <c r="I16" s="17">
        <v>295353</v>
      </c>
      <c r="J16" s="17">
        <v>295353</v>
      </c>
      <c r="K16" s="17">
        <v>295353</v>
      </c>
      <c r="L16" s="17">
        <v>295353</v>
      </c>
    </row>
    <row r="17" spans="2:17" s="22" customFormat="1" x14ac:dyDescent="0.25">
      <c r="B17" s="23" t="s">
        <v>53</v>
      </c>
      <c r="C17" s="19">
        <v>152</v>
      </c>
      <c r="D17" s="19">
        <v>91</v>
      </c>
      <c r="E17" s="19">
        <f>+'Datos Semana'!BC173</f>
        <v>121</v>
      </c>
      <c r="F17" s="19">
        <f>'Datos Semana'!BD178</f>
        <v>41</v>
      </c>
      <c r="G17" s="19">
        <f>'Datos Semana'!BD182</f>
        <v>230</v>
      </c>
      <c r="H17" s="19">
        <f>'Datos Semana'!BD187</f>
        <v>30</v>
      </c>
      <c r="I17" s="19">
        <f>'Datos Semana'!BD191</f>
        <v>49</v>
      </c>
      <c r="J17" s="19">
        <f>'Datos Semana'!BD195</f>
        <v>141</v>
      </c>
      <c r="K17" s="19">
        <f>'Datos Semana'!BD199</f>
        <v>5</v>
      </c>
      <c r="L17" s="19">
        <f>'Datos Semana'!BD203</f>
        <v>74</v>
      </c>
    </row>
    <row r="18" spans="2:17" s="22" customFormat="1" x14ac:dyDescent="0.25">
      <c r="B18" s="23" t="s">
        <v>54</v>
      </c>
      <c r="C18" s="19">
        <v>1</v>
      </c>
      <c r="D18" s="19">
        <v>5</v>
      </c>
      <c r="E18" s="19">
        <f>+'Datos Semana'!BC174</f>
        <v>11</v>
      </c>
      <c r="F18" s="19">
        <f>'Datos Semana'!BD179</f>
        <v>1</v>
      </c>
      <c r="G18" s="19">
        <f>'Datos Semana'!BD183</f>
        <v>0</v>
      </c>
      <c r="H18" s="19">
        <f>'Datos Semana'!BD188</f>
        <v>0</v>
      </c>
      <c r="I18" s="19">
        <f>'Datos Semana'!BD192</f>
        <v>0</v>
      </c>
      <c r="J18" s="19">
        <f>'Datos Semana'!BD196</f>
        <v>0</v>
      </c>
      <c r="K18" s="19">
        <f>'Datos Semana'!BD200</f>
        <v>0</v>
      </c>
      <c r="L18" s="19">
        <f>'Datos Semana'!BD204</f>
        <v>0</v>
      </c>
    </row>
    <row r="19" spans="2:17" x14ac:dyDescent="0.25">
      <c r="B19" s="17" t="s">
        <v>61</v>
      </c>
      <c r="C19" s="20">
        <f>C18/C16*10000</f>
        <v>3.3841165137779229E-3</v>
      </c>
      <c r="D19" s="20">
        <f t="shared" ref="D19:L19" si="2">D18/D16*10000</f>
        <v>0.15572685509616133</v>
      </c>
      <c r="E19" s="20">
        <f t="shared" si="2"/>
        <v>0.35123683261010474</v>
      </c>
      <c r="F19" s="20">
        <f t="shared" si="2"/>
        <v>3.3857790508307006E-2</v>
      </c>
      <c r="G19" s="20">
        <f t="shared" si="2"/>
        <v>0</v>
      </c>
      <c r="H19" s="20">
        <f t="shared" si="2"/>
        <v>0</v>
      </c>
      <c r="I19" s="20">
        <f t="shared" si="2"/>
        <v>0</v>
      </c>
      <c r="J19" s="20">
        <f t="shared" si="2"/>
        <v>0</v>
      </c>
      <c r="K19" s="20">
        <f t="shared" si="2"/>
        <v>0</v>
      </c>
      <c r="L19" s="20">
        <f t="shared" si="2"/>
        <v>0</v>
      </c>
    </row>
    <row r="21" spans="2:17" s="24" customFormat="1" x14ac:dyDescent="0.3">
      <c r="B21" s="32"/>
      <c r="C21" s="32"/>
      <c r="N21" s="36"/>
      <c r="O21" s="36"/>
      <c r="P21" s="36"/>
      <c r="Q21" s="36"/>
    </row>
    <row r="22" spans="2:17" s="24" customFormat="1" x14ac:dyDescent="0.3">
      <c r="B22" s="32"/>
      <c r="C22" s="32"/>
      <c r="N22" s="36"/>
      <c r="O22" s="36"/>
      <c r="P22" s="36"/>
      <c r="Q22" s="36"/>
    </row>
    <row r="23" spans="2:17" s="24" customFormat="1" x14ac:dyDescent="0.3">
      <c r="B23" s="32"/>
      <c r="C23" s="32"/>
      <c r="N23" s="36"/>
      <c r="O23" s="36"/>
      <c r="P23" s="36"/>
      <c r="Q23" s="36"/>
    </row>
    <row r="24" spans="2:17" s="24" customFormat="1" x14ac:dyDescent="0.3">
      <c r="B24" s="32"/>
      <c r="C24" s="32"/>
      <c r="N24" s="36"/>
      <c r="O24" s="36"/>
      <c r="P24" s="36"/>
      <c r="Q24" s="36"/>
    </row>
    <row r="27" spans="2:17" x14ac:dyDescent="0.25">
      <c r="B27" s="112"/>
    </row>
    <row r="34" spans="1:17" s="46" customFormat="1" x14ac:dyDescent="0.25">
      <c r="B34" s="45"/>
      <c r="C34" s="13"/>
      <c r="D34" s="13"/>
      <c r="E34" s="13"/>
      <c r="F34" s="13"/>
      <c r="N34" s="48"/>
      <c r="O34" s="48"/>
      <c r="P34" s="48"/>
      <c r="Q34" s="48"/>
    </row>
    <row r="35" spans="1:17" s="24" customFormat="1" ht="14.4" x14ac:dyDescent="0.3">
      <c r="A35" s="186"/>
      <c r="B35" s="50"/>
      <c r="C35" s="1"/>
      <c r="E35" s="41"/>
      <c r="N35" s="36"/>
      <c r="O35" s="36"/>
      <c r="P35" s="36"/>
      <c r="Q35" s="36"/>
    </row>
    <row r="36" spans="1:17" s="24" customFormat="1" ht="14.4" x14ac:dyDescent="0.3">
      <c r="A36" s="186"/>
      <c r="B36" s="50"/>
      <c r="C36" s="1"/>
      <c r="E36" s="51"/>
      <c r="N36" s="36"/>
      <c r="O36" s="36"/>
      <c r="P36" s="36"/>
      <c r="Q36" s="36"/>
    </row>
    <row r="37" spans="1:17" s="24" customFormat="1" ht="14.4" x14ac:dyDescent="0.3">
      <c r="A37" s="186"/>
      <c r="C37" s="1"/>
      <c r="D37" s="52"/>
      <c r="E37" s="51"/>
      <c r="F37" s="41"/>
      <c r="N37" s="36"/>
      <c r="O37" s="36"/>
      <c r="P37" s="36"/>
      <c r="Q37" s="36"/>
    </row>
    <row r="38" spans="1:17" s="24" customFormat="1" ht="14.4" x14ac:dyDescent="0.3">
      <c r="A38" s="183"/>
      <c r="B38" s="183"/>
      <c r="C38" s="1"/>
      <c r="D38" s="52"/>
      <c r="E38" s="51"/>
      <c r="F38" s="52"/>
      <c r="N38" s="36"/>
      <c r="O38" s="36"/>
      <c r="P38" s="36"/>
      <c r="Q38" s="36"/>
    </row>
    <row r="39" spans="1:17" s="24" customFormat="1" ht="14.4" x14ac:dyDescent="0.3">
      <c r="A39" s="183"/>
      <c r="B39" s="183"/>
      <c r="C39" s="1"/>
      <c r="D39" s="1"/>
      <c r="E39" s="41"/>
      <c r="F39" s="52"/>
      <c r="N39" s="36"/>
      <c r="O39" s="36"/>
      <c r="P39" s="36"/>
      <c r="Q39" s="36"/>
    </row>
    <row r="40" spans="1:17" s="24" customFormat="1" ht="14.4" x14ac:dyDescent="0.3">
      <c r="A40" s="33"/>
      <c r="B40" s="33"/>
      <c r="C40" s="1"/>
      <c r="D40" s="1"/>
      <c r="E40" s="41"/>
      <c r="F40" s="52"/>
      <c r="N40" s="36"/>
      <c r="O40" s="36"/>
      <c r="P40" s="36"/>
      <c r="Q40" s="36"/>
    </row>
    <row r="41" spans="1:17" s="24" customFormat="1" ht="14.4" x14ac:dyDescent="0.3">
      <c r="A41" s="33"/>
      <c r="B41" s="33"/>
      <c r="C41" s="1"/>
      <c r="D41" s="1"/>
      <c r="E41" s="41"/>
      <c r="F41" s="52"/>
      <c r="N41" s="36"/>
      <c r="O41" s="36"/>
      <c r="P41" s="36"/>
      <c r="Q41" s="36"/>
    </row>
    <row r="42" spans="1:17" s="24" customFormat="1" ht="14.4" x14ac:dyDescent="0.25">
      <c r="A42" s="184"/>
      <c r="B42" s="184"/>
      <c r="C42" s="184"/>
      <c r="D42" s="1"/>
      <c r="E42" s="41"/>
      <c r="F42" s="52"/>
      <c r="N42" s="36"/>
      <c r="O42" s="36"/>
      <c r="P42" s="36"/>
      <c r="Q42" s="36"/>
    </row>
    <row r="43" spans="1:17" s="24" customFormat="1" ht="14.4" x14ac:dyDescent="0.3">
      <c r="A43" s="53"/>
      <c r="B43" s="54"/>
      <c r="C43" s="49"/>
      <c r="D43" s="1"/>
      <c r="E43" s="41"/>
      <c r="F43" s="52"/>
      <c r="N43" s="36"/>
      <c r="O43" s="36"/>
      <c r="P43" s="36"/>
      <c r="Q43" s="36"/>
    </row>
    <row r="44" spans="1:17" s="24" customFormat="1" ht="14.4" x14ac:dyDescent="0.3">
      <c r="A44" s="53"/>
      <c r="B44" s="5"/>
      <c r="C44" s="49"/>
      <c r="D44" s="1"/>
      <c r="E44" s="41"/>
      <c r="F44" s="52"/>
      <c r="N44" s="36"/>
      <c r="O44" s="36"/>
      <c r="P44" s="36"/>
      <c r="Q44" s="36"/>
    </row>
    <row r="45" spans="1:17" s="24" customFormat="1" ht="14.4" x14ac:dyDescent="0.3">
      <c r="A45" s="53"/>
      <c r="B45" s="5"/>
      <c r="C45" s="49"/>
      <c r="D45" s="1"/>
      <c r="E45" s="41"/>
      <c r="F45" s="52"/>
      <c r="N45" s="36"/>
      <c r="O45" s="36"/>
      <c r="P45" s="36"/>
      <c r="Q45" s="36"/>
    </row>
    <row r="46" spans="1:17" ht="14.4" x14ac:dyDescent="0.3">
      <c r="A46" s="53"/>
      <c r="B46" s="5"/>
      <c r="C46" s="49"/>
      <c r="D46" s="3"/>
      <c r="E46"/>
      <c r="F46" s="49"/>
    </row>
    <row r="47" spans="1:17" ht="14.4" x14ac:dyDescent="0.3">
      <c r="A47" s="185"/>
      <c r="B47" s="185"/>
      <c r="C47" s="185"/>
      <c r="D47" s="3"/>
      <c r="E47"/>
      <c r="F47"/>
    </row>
    <row r="48" spans="1:17" ht="14.4" x14ac:dyDescent="0.3">
      <c r="A48" s="53"/>
      <c r="B48" s="47"/>
      <c r="C48" s="49"/>
      <c r="D48" s="3"/>
      <c r="E48"/>
      <c r="F48"/>
    </row>
    <row r="49" spans="1:6" ht="14.4" x14ac:dyDescent="0.3">
      <c r="A49" s="53"/>
      <c r="B49" s="47"/>
      <c r="C49" s="49"/>
      <c r="D49"/>
      <c r="E49"/>
      <c r="F49"/>
    </row>
    <row r="50" spans="1:6" ht="14.4" x14ac:dyDescent="0.3">
      <c r="B50"/>
      <c r="C50"/>
      <c r="D50"/>
      <c r="E50"/>
      <c r="F50"/>
    </row>
    <row r="51" spans="1:6" ht="14.4" x14ac:dyDescent="0.3">
      <c r="B51"/>
      <c r="C51"/>
      <c r="D51"/>
      <c r="E51"/>
      <c r="F51"/>
    </row>
    <row r="52" spans="1:6" ht="14.4" x14ac:dyDescent="0.3">
      <c r="B52"/>
      <c r="C52"/>
      <c r="D52"/>
      <c r="E52"/>
      <c r="F52"/>
    </row>
  </sheetData>
  <mergeCells count="5">
    <mergeCell ref="A39:B39"/>
    <mergeCell ref="A42:C42"/>
    <mergeCell ref="A47:C47"/>
    <mergeCell ref="A38:B38"/>
    <mergeCell ref="A35:A3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G7:H12"/>
  <sheetViews>
    <sheetView workbookViewId="0">
      <selection activeCell="H25" sqref="H25"/>
    </sheetView>
  </sheetViews>
  <sheetFormatPr defaultColWidth="11.5546875" defaultRowHeight="14.4" x14ac:dyDescent="0.3"/>
  <cols>
    <col min="7" max="7" width="49.33203125" customWidth="1"/>
    <col min="8" max="8" width="11.44140625" style="162"/>
  </cols>
  <sheetData>
    <row r="7" spans="7:8" s="166" customFormat="1" ht="28.5" customHeight="1" x14ac:dyDescent="0.3">
      <c r="G7" s="187" t="s">
        <v>182</v>
      </c>
      <c r="H7" s="187"/>
    </row>
    <row r="8" spans="7:8" s="41" customFormat="1" ht="22.5" customHeight="1" x14ac:dyDescent="0.3">
      <c r="G8" s="163" t="s">
        <v>183</v>
      </c>
      <c r="H8" s="164">
        <v>367712</v>
      </c>
    </row>
    <row r="9" spans="7:8" s="41" customFormat="1" ht="22.5" customHeight="1" x14ac:dyDescent="0.3">
      <c r="G9" s="163" t="s">
        <v>184</v>
      </c>
      <c r="H9" s="165">
        <v>17</v>
      </c>
    </row>
    <row r="10" spans="7:8" s="41" customFormat="1" ht="22.5" customHeight="1" x14ac:dyDescent="0.3">
      <c r="G10" s="163" t="s">
        <v>186</v>
      </c>
      <c r="H10" s="165">
        <v>50</v>
      </c>
    </row>
    <row r="11" spans="7:8" s="41" customFormat="1" ht="22.5" customHeight="1" x14ac:dyDescent="0.3">
      <c r="G11" s="163" t="s">
        <v>185</v>
      </c>
      <c r="H11" s="165">
        <v>120</v>
      </c>
    </row>
    <row r="12" spans="7:8" ht="22.5" customHeight="1" x14ac:dyDescent="0.3"/>
  </sheetData>
  <mergeCells count="1">
    <mergeCell ref="G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52"/>
  <sheetViews>
    <sheetView topLeftCell="A49" workbookViewId="0">
      <selection activeCell="D102" sqref="D102"/>
    </sheetView>
  </sheetViews>
  <sheetFormatPr defaultColWidth="11.44140625" defaultRowHeight="13.8" x14ac:dyDescent="0.25"/>
  <cols>
    <col min="1" max="2" width="11.44140625" style="83"/>
    <col min="3" max="3" width="18.33203125" style="83" customWidth="1"/>
    <col min="4" max="4" width="12.88671875" style="83" customWidth="1"/>
    <col min="5" max="5" width="12" style="83" customWidth="1"/>
    <col min="6" max="6" width="12.6640625" style="83" customWidth="1"/>
    <col min="7" max="7" width="7.44140625" style="132" customWidth="1"/>
    <col min="8" max="8" width="7.6640625" style="132" customWidth="1"/>
    <col min="9" max="9" width="7.44140625" style="132" customWidth="1"/>
    <col min="10" max="16" width="7.44140625" style="83" customWidth="1"/>
    <col min="17" max="16384" width="11.44140625" style="83"/>
  </cols>
  <sheetData>
    <row r="1" spans="3:10" s="80" customFormat="1" x14ac:dyDescent="0.3">
      <c r="C1" s="81"/>
      <c r="D1" s="81"/>
      <c r="E1" s="82"/>
    </row>
    <row r="2" spans="3:10" s="80" customFormat="1" x14ac:dyDescent="0.25">
      <c r="C2" s="78" t="s">
        <v>2</v>
      </c>
      <c r="D2" s="83"/>
      <c r="E2" s="83"/>
      <c r="J2" s="156"/>
    </row>
    <row r="3" spans="3:10" s="80" customFormat="1" ht="14.4" x14ac:dyDescent="0.3">
      <c r="C3" s="73" t="s">
        <v>58</v>
      </c>
      <c r="D3" s="74" t="s">
        <v>53</v>
      </c>
      <c r="E3" s="74" t="s">
        <v>54</v>
      </c>
      <c r="J3" s="156"/>
    </row>
    <row r="4" spans="3:10" s="80" customFormat="1" ht="16.5" customHeight="1" x14ac:dyDescent="0.25">
      <c r="C4" s="75" t="s">
        <v>59</v>
      </c>
      <c r="D4" s="76">
        <v>460</v>
      </c>
      <c r="E4" s="77">
        <v>79</v>
      </c>
      <c r="F4" s="167"/>
    </row>
    <row r="5" spans="3:10" s="80" customFormat="1" ht="16.5" customHeight="1" x14ac:dyDescent="0.25">
      <c r="C5" s="75" t="s">
        <v>0</v>
      </c>
      <c r="D5" s="76">
        <v>63</v>
      </c>
      <c r="E5" s="77">
        <v>1</v>
      </c>
      <c r="F5" s="167"/>
    </row>
    <row r="6" spans="3:10" s="80" customFormat="1" x14ac:dyDescent="0.25">
      <c r="C6" s="75" t="s">
        <v>62</v>
      </c>
      <c r="D6" s="76">
        <v>56</v>
      </c>
      <c r="E6" s="77">
        <v>37</v>
      </c>
      <c r="F6" s="167"/>
    </row>
    <row r="7" spans="3:10" s="80" customFormat="1" x14ac:dyDescent="0.25">
      <c r="C7" s="75" t="s">
        <v>142</v>
      </c>
      <c r="D7" s="76">
        <v>48</v>
      </c>
      <c r="E7" s="77">
        <v>5</v>
      </c>
      <c r="F7" s="167"/>
    </row>
    <row r="8" spans="3:10" s="80" customFormat="1" x14ac:dyDescent="0.25">
      <c r="C8" s="75" t="s">
        <v>60</v>
      </c>
      <c r="D8" s="76">
        <v>36</v>
      </c>
      <c r="E8" s="77">
        <v>1</v>
      </c>
      <c r="F8" s="167"/>
    </row>
    <row r="9" spans="3:10" s="80" customFormat="1" x14ac:dyDescent="0.25">
      <c r="C9" s="75" t="s">
        <v>1</v>
      </c>
      <c r="D9" s="76">
        <v>16</v>
      </c>
      <c r="E9" s="77">
        <v>0</v>
      </c>
      <c r="F9" s="167"/>
    </row>
    <row r="10" spans="3:10" s="80" customFormat="1" x14ac:dyDescent="0.25">
      <c r="C10" s="75" t="s">
        <v>152</v>
      </c>
      <c r="D10" s="76">
        <v>4</v>
      </c>
      <c r="E10" s="77">
        <v>0</v>
      </c>
      <c r="F10" s="167"/>
    </row>
    <row r="11" spans="3:10" s="80" customFormat="1" x14ac:dyDescent="0.25">
      <c r="C11" s="75" t="s">
        <v>84</v>
      </c>
      <c r="D11" s="76">
        <v>3</v>
      </c>
      <c r="E11" s="77">
        <v>0</v>
      </c>
      <c r="F11" s="167"/>
    </row>
    <row r="12" spans="3:10" s="80" customFormat="1" x14ac:dyDescent="0.25">
      <c r="C12" s="75" t="s">
        <v>88</v>
      </c>
      <c r="D12" s="76">
        <v>3</v>
      </c>
      <c r="E12" s="77">
        <v>0</v>
      </c>
      <c r="F12" s="167"/>
    </row>
    <row r="13" spans="3:10" s="80" customFormat="1" x14ac:dyDescent="0.25">
      <c r="C13" s="75" t="s">
        <v>144</v>
      </c>
      <c r="D13" s="76">
        <v>3</v>
      </c>
      <c r="E13" s="77">
        <v>0</v>
      </c>
      <c r="F13" s="167"/>
    </row>
    <row r="14" spans="3:10" s="80" customFormat="1" x14ac:dyDescent="0.25">
      <c r="C14" s="75" t="s">
        <v>149</v>
      </c>
      <c r="D14" s="76">
        <v>2</v>
      </c>
      <c r="E14" s="77">
        <v>0</v>
      </c>
      <c r="F14" s="167"/>
    </row>
    <row r="15" spans="3:10" s="80" customFormat="1" x14ac:dyDescent="0.25">
      <c r="C15" s="75" t="s">
        <v>145</v>
      </c>
      <c r="D15" s="76">
        <v>2</v>
      </c>
      <c r="E15" s="77">
        <v>0</v>
      </c>
      <c r="F15" s="167"/>
    </row>
    <row r="16" spans="3:10" s="80" customFormat="1" x14ac:dyDescent="0.25">
      <c r="C16" s="75" t="s">
        <v>69</v>
      </c>
      <c r="D16" s="76">
        <v>1</v>
      </c>
      <c r="E16" s="77">
        <v>0</v>
      </c>
      <c r="F16" s="167"/>
    </row>
    <row r="17" spans="3:6" s="80" customFormat="1" x14ac:dyDescent="0.25">
      <c r="C17" s="75" t="s">
        <v>68</v>
      </c>
      <c r="D17" s="76">
        <v>1</v>
      </c>
      <c r="E17" s="77">
        <v>0</v>
      </c>
      <c r="F17" s="167"/>
    </row>
    <row r="18" spans="3:6" s="80" customFormat="1" x14ac:dyDescent="0.25">
      <c r="C18" s="75" t="s">
        <v>167</v>
      </c>
      <c r="D18" s="76">
        <v>1</v>
      </c>
      <c r="E18" s="77">
        <v>0</v>
      </c>
      <c r="F18" s="167"/>
    </row>
    <row r="19" spans="3:6" s="80" customFormat="1" x14ac:dyDescent="0.25">
      <c r="C19" s="75" t="s">
        <v>141</v>
      </c>
      <c r="D19" s="76">
        <v>1</v>
      </c>
      <c r="E19" s="77">
        <v>0</v>
      </c>
      <c r="F19" s="167"/>
    </row>
    <row r="20" spans="3:6" s="80" customFormat="1" x14ac:dyDescent="0.25">
      <c r="C20" s="75" t="s">
        <v>91</v>
      </c>
      <c r="D20" s="76">
        <v>1</v>
      </c>
      <c r="E20" s="77">
        <v>0</v>
      </c>
      <c r="F20" s="167"/>
    </row>
    <row r="21" spans="3:6" s="80" customFormat="1" ht="16.5" customHeight="1" x14ac:dyDescent="0.3">
      <c r="C21" s="161" t="s">
        <v>82</v>
      </c>
      <c r="D21" s="160">
        <f>SUM(D4:D20)</f>
        <v>701</v>
      </c>
      <c r="E21" s="160">
        <f>SUM(E4:E20)</f>
        <v>123</v>
      </c>
      <c r="F21" s="167"/>
    </row>
    <row r="22" spans="3:6" s="80" customFormat="1" x14ac:dyDescent="0.3">
      <c r="C22" s="79"/>
    </row>
    <row r="23" spans="3:6" s="80" customFormat="1" x14ac:dyDescent="0.3">
      <c r="C23" s="79"/>
    </row>
    <row r="25" spans="3:6" x14ac:dyDescent="0.25">
      <c r="C25" s="83" t="s">
        <v>101</v>
      </c>
    </row>
    <row r="26" spans="3:6" ht="14.4" x14ac:dyDescent="0.3">
      <c r="C26" s="73" t="s">
        <v>58</v>
      </c>
      <c r="D26" s="74" t="s">
        <v>53</v>
      </c>
      <c r="E26" s="74" t="s">
        <v>54</v>
      </c>
    </row>
    <row r="27" spans="3:6" x14ac:dyDescent="0.25">
      <c r="C27" s="75" t="s">
        <v>1</v>
      </c>
      <c r="D27" s="76">
        <v>14</v>
      </c>
      <c r="E27" s="77">
        <v>6</v>
      </c>
    </row>
    <row r="28" spans="3:6" x14ac:dyDescent="0.25">
      <c r="C28" s="75" t="s">
        <v>0</v>
      </c>
      <c r="D28" s="76">
        <v>8</v>
      </c>
      <c r="E28" s="77">
        <v>5</v>
      </c>
    </row>
    <row r="29" spans="3:6" x14ac:dyDescent="0.25">
      <c r="C29" s="75" t="s">
        <v>59</v>
      </c>
      <c r="D29" s="76">
        <v>55</v>
      </c>
      <c r="E29" s="77">
        <v>3</v>
      </c>
    </row>
    <row r="30" spans="3:6" x14ac:dyDescent="0.25">
      <c r="C30" s="75" t="s">
        <v>60</v>
      </c>
      <c r="D30" s="76">
        <v>51</v>
      </c>
      <c r="E30" s="77">
        <v>1</v>
      </c>
    </row>
    <row r="31" spans="3:6" x14ac:dyDescent="0.25">
      <c r="C31" s="75" t="s">
        <v>69</v>
      </c>
      <c r="D31" s="76">
        <v>1</v>
      </c>
      <c r="E31" s="77">
        <v>1</v>
      </c>
    </row>
    <row r="32" spans="3:6" x14ac:dyDescent="0.25">
      <c r="C32" s="75" t="s">
        <v>144</v>
      </c>
      <c r="D32" s="76">
        <v>1</v>
      </c>
      <c r="E32" s="77">
        <v>0</v>
      </c>
    </row>
    <row r="33" spans="3:5" x14ac:dyDescent="0.25">
      <c r="C33" s="161" t="s">
        <v>82</v>
      </c>
      <c r="D33" s="160">
        <f>SUM(D27:D32)</f>
        <v>130</v>
      </c>
      <c r="E33" s="160">
        <f>SUM(E27:E32)</f>
        <v>16</v>
      </c>
    </row>
    <row r="34" spans="3:5" x14ac:dyDescent="0.25">
      <c r="C34" s="79"/>
      <c r="D34" s="80"/>
      <c r="E34" s="80"/>
    </row>
    <row r="36" spans="3:5" x14ac:dyDescent="0.25">
      <c r="C36" s="78" t="s">
        <v>3</v>
      </c>
    </row>
    <row r="37" spans="3:5" ht="14.4" x14ac:dyDescent="0.3">
      <c r="C37" s="73" t="s">
        <v>58</v>
      </c>
      <c r="D37" s="74" t="s">
        <v>53</v>
      </c>
      <c r="E37" s="74" t="s">
        <v>54</v>
      </c>
    </row>
    <row r="38" spans="3:5" x14ac:dyDescent="0.25">
      <c r="C38" s="75" t="s">
        <v>59</v>
      </c>
      <c r="D38" s="76">
        <v>14</v>
      </c>
      <c r="E38" s="77">
        <v>0</v>
      </c>
    </row>
    <row r="39" spans="3:5" x14ac:dyDescent="0.25">
      <c r="C39" s="75" t="s">
        <v>60</v>
      </c>
      <c r="D39" s="76">
        <v>51</v>
      </c>
      <c r="E39" s="77">
        <v>0</v>
      </c>
    </row>
    <row r="40" spans="3:5" x14ac:dyDescent="0.25">
      <c r="C40" s="75" t="s">
        <v>0</v>
      </c>
      <c r="D40" s="76">
        <v>6</v>
      </c>
      <c r="E40" s="77">
        <v>0</v>
      </c>
    </row>
    <row r="41" spans="3:5" x14ac:dyDescent="0.25">
      <c r="C41" s="75" t="s">
        <v>1</v>
      </c>
      <c r="D41" s="76">
        <v>3</v>
      </c>
      <c r="E41" s="77">
        <v>0</v>
      </c>
    </row>
    <row r="42" spans="3:5" x14ac:dyDescent="0.25">
      <c r="C42" s="75" t="s">
        <v>144</v>
      </c>
      <c r="D42" s="76">
        <v>1</v>
      </c>
      <c r="E42" s="77">
        <v>0</v>
      </c>
    </row>
    <row r="43" spans="3:5" x14ac:dyDescent="0.25">
      <c r="C43" s="161" t="s">
        <v>82</v>
      </c>
      <c r="D43" s="160">
        <f>SUM(D38:D42)</f>
        <v>75</v>
      </c>
      <c r="E43" s="160">
        <f>SUM(E38:E42)</f>
        <v>0</v>
      </c>
    </row>
    <row r="44" spans="3:5" x14ac:dyDescent="0.25">
      <c r="C44" s="79"/>
      <c r="D44" s="80"/>
      <c r="E44" s="80"/>
    </row>
    <row r="46" spans="3:5" x14ac:dyDescent="0.25">
      <c r="C46" s="79" t="s">
        <v>119</v>
      </c>
      <c r="D46" s="80"/>
      <c r="E46" s="80"/>
    </row>
    <row r="47" spans="3:5" ht="14.4" x14ac:dyDescent="0.3">
      <c r="C47" s="73" t="s">
        <v>58</v>
      </c>
      <c r="D47" s="74" t="s">
        <v>53</v>
      </c>
      <c r="E47" s="74" t="s">
        <v>54</v>
      </c>
    </row>
    <row r="48" spans="3:5" x14ac:dyDescent="0.25">
      <c r="C48" s="75" t="s">
        <v>0</v>
      </c>
      <c r="D48" s="76">
        <v>1</v>
      </c>
      <c r="E48" s="77">
        <v>0</v>
      </c>
    </row>
    <row r="49" spans="1:9" x14ac:dyDescent="0.25">
      <c r="C49" s="75" t="s">
        <v>82</v>
      </c>
      <c r="D49" s="76">
        <f>SUM(D48:D48)</f>
        <v>1</v>
      </c>
      <c r="E49" s="76">
        <f>SUM(E48:E48)</f>
        <v>0</v>
      </c>
    </row>
    <row r="51" spans="1:9" s="134" customFormat="1" ht="14.4" x14ac:dyDescent="0.3">
      <c r="B51" s="168" t="s">
        <v>6</v>
      </c>
      <c r="C51" s="135" t="s">
        <v>132</v>
      </c>
      <c r="D51" s="190" t="s">
        <v>105</v>
      </c>
      <c r="E51" s="191"/>
      <c r="F51" s="191"/>
      <c r="G51" s="189" t="s">
        <v>133</v>
      </c>
      <c r="H51" s="189"/>
      <c r="I51" s="189"/>
    </row>
    <row r="52" spans="1:9" s="80" customFormat="1" ht="32.25" customHeight="1" x14ac:dyDescent="0.3">
      <c r="C52" s="90" t="s">
        <v>104</v>
      </c>
      <c r="D52" s="90" t="s">
        <v>87</v>
      </c>
      <c r="E52" s="90" t="s">
        <v>86</v>
      </c>
      <c r="F52" s="91" t="s">
        <v>82</v>
      </c>
      <c r="G52" s="136" t="s">
        <v>87</v>
      </c>
      <c r="H52" s="136" t="s">
        <v>86</v>
      </c>
      <c r="I52" s="137" t="s">
        <v>82</v>
      </c>
    </row>
    <row r="53" spans="1:9" ht="14.4" x14ac:dyDescent="0.3">
      <c r="C53" s="86" t="s">
        <v>89</v>
      </c>
      <c r="D53" s="87">
        <v>2</v>
      </c>
      <c r="E53" s="87">
        <v>2</v>
      </c>
      <c r="F53" s="85">
        <f>D53+E53</f>
        <v>4</v>
      </c>
      <c r="G53" s="139">
        <v>0</v>
      </c>
      <c r="H53" s="139">
        <v>0</v>
      </c>
      <c r="I53" s="139">
        <f>SUM(G53:H53)</f>
        <v>0</v>
      </c>
    </row>
    <row r="54" spans="1:9" ht="14.4" x14ac:dyDescent="0.3">
      <c r="C54" s="89" t="s">
        <v>107</v>
      </c>
      <c r="D54" s="87">
        <v>11</v>
      </c>
      <c r="E54" s="87">
        <v>22</v>
      </c>
      <c r="F54" s="85">
        <f>D54+E54</f>
        <v>33</v>
      </c>
      <c r="G54" s="139">
        <v>0</v>
      </c>
      <c r="H54" s="139">
        <v>0</v>
      </c>
      <c r="I54" s="139">
        <f>SUM(G54:H54)</f>
        <v>0</v>
      </c>
    </row>
    <row r="55" spans="1:9" ht="14.4" x14ac:dyDescent="0.3">
      <c r="C55" s="86" t="s">
        <v>103</v>
      </c>
      <c r="D55" s="87">
        <v>37</v>
      </c>
      <c r="E55" s="87">
        <v>29</v>
      </c>
      <c r="F55" s="85">
        <f>D55+E55</f>
        <v>66</v>
      </c>
      <c r="G55" s="139">
        <v>0</v>
      </c>
      <c r="H55" s="139">
        <v>0</v>
      </c>
      <c r="I55" s="139">
        <f>SUM(G55:H55)</f>
        <v>0</v>
      </c>
    </row>
    <row r="56" spans="1:9" ht="14.4" x14ac:dyDescent="0.3">
      <c r="C56" s="86" t="s">
        <v>106</v>
      </c>
      <c r="D56" s="87">
        <v>15</v>
      </c>
      <c r="E56" s="87">
        <v>5</v>
      </c>
      <c r="F56" s="85">
        <f>D56+E56</f>
        <v>20</v>
      </c>
      <c r="G56" s="139">
        <v>0</v>
      </c>
      <c r="H56" s="139">
        <v>0</v>
      </c>
      <c r="I56" s="139">
        <f>SUM(G56:H56)</f>
        <v>0</v>
      </c>
    </row>
    <row r="57" spans="1:9" ht="14.4" x14ac:dyDescent="0.3">
      <c r="C57" s="101" t="s">
        <v>82</v>
      </c>
      <c r="D57" s="102">
        <f>SUM(D53:D56)</f>
        <v>65</v>
      </c>
      <c r="E57" s="102">
        <f>SUM(E53:E56)</f>
        <v>58</v>
      </c>
      <c r="F57" s="103">
        <f>D57+E57</f>
        <v>123</v>
      </c>
      <c r="G57" s="138">
        <f>SUM(G53:G56)</f>
        <v>0</v>
      </c>
      <c r="H57" s="138">
        <f>SUM(H53:H56)</f>
        <v>0</v>
      </c>
      <c r="I57" s="122">
        <f>SUM(G57:H57)</f>
        <v>0</v>
      </c>
    </row>
    <row r="58" spans="1:9" x14ac:dyDescent="0.25">
      <c r="D58" s="130">
        <f>D57/F57</f>
        <v>0.52845528455284552</v>
      </c>
      <c r="E58" s="131">
        <f>E57/F57</f>
        <v>0.47154471544715448</v>
      </c>
    </row>
    <row r="62" spans="1:9" x14ac:dyDescent="0.25">
      <c r="A62" s="192" t="s">
        <v>6</v>
      </c>
      <c r="B62" s="193"/>
      <c r="C62" s="104" t="s">
        <v>108</v>
      </c>
      <c r="D62" s="74" t="s">
        <v>148</v>
      </c>
    </row>
    <row r="63" spans="1:9" x14ac:dyDescent="0.25">
      <c r="A63" s="194" t="s">
        <v>64</v>
      </c>
      <c r="B63" s="194" t="s">
        <v>64</v>
      </c>
      <c r="C63" s="148" t="s">
        <v>59</v>
      </c>
      <c r="D63" s="99">
        <v>76</v>
      </c>
      <c r="F63" s="147">
        <f>D63/D70*100</f>
        <v>62.295081967213115</v>
      </c>
    </row>
    <row r="64" spans="1:9" x14ac:dyDescent="0.25">
      <c r="A64" s="195"/>
      <c r="B64" s="195"/>
      <c r="C64" s="99" t="s">
        <v>60</v>
      </c>
      <c r="D64" s="99">
        <v>38</v>
      </c>
      <c r="F64" s="147">
        <f>D64/D70*100</f>
        <v>31.147540983606557</v>
      </c>
    </row>
    <row r="65" spans="1:9" x14ac:dyDescent="0.25">
      <c r="A65" s="195"/>
      <c r="B65" s="195"/>
      <c r="C65" s="99" t="s">
        <v>62</v>
      </c>
      <c r="D65" s="99">
        <v>7</v>
      </c>
      <c r="F65" s="147"/>
    </row>
    <row r="66" spans="1:9" x14ac:dyDescent="0.25">
      <c r="A66" s="196"/>
      <c r="B66" s="196"/>
      <c r="C66" s="99" t="s">
        <v>1</v>
      </c>
      <c r="D66" s="99">
        <v>1</v>
      </c>
      <c r="F66" s="147"/>
    </row>
    <row r="67" spans="1:9" x14ac:dyDescent="0.25">
      <c r="A67" s="76" t="s">
        <v>65</v>
      </c>
      <c r="B67" s="76" t="s">
        <v>65</v>
      </c>
      <c r="C67" s="99" t="s">
        <v>5</v>
      </c>
      <c r="D67" s="99">
        <v>1</v>
      </c>
      <c r="F67" s="147" t="e">
        <f>D67/D74*100</f>
        <v>#DIV/0!</v>
      </c>
    </row>
    <row r="68" spans="1:9" x14ac:dyDescent="0.25">
      <c r="A68" s="99"/>
      <c r="B68" s="99"/>
      <c r="C68" s="104" t="s">
        <v>52</v>
      </c>
      <c r="D68" s="104">
        <f>SUM(D63:D67)</f>
        <v>123</v>
      </c>
    </row>
    <row r="70" spans="1:9" x14ac:dyDescent="0.25">
      <c r="C70" s="83" t="s">
        <v>64</v>
      </c>
      <c r="D70" s="83">
        <f>SUM(D63:D66)</f>
        <v>122</v>
      </c>
      <c r="F70" s="83">
        <f>D70</f>
        <v>122</v>
      </c>
      <c r="G70" s="133">
        <f>F70/D68*100</f>
        <v>99.1869918699187</v>
      </c>
    </row>
    <row r="71" spans="1:9" x14ac:dyDescent="0.25">
      <c r="C71" s="83" t="s">
        <v>65</v>
      </c>
      <c r="D71" s="83">
        <f>SUM(D67:D67)</f>
        <v>1</v>
      </c>
      <c r="F71" s="83">
        <f>D71</f>
        <v>1</v>
      </c>
      <c r="G71" s="133">
        <f>F71/D68*100</f>
        <v>0.81300813008130091</v>
      </c>
    </row>
    <row r="72" spans="1:9" x14ac:dyDescent="0.25">
      <c r="D72" s="83">
        <f>SUM(D70:D71)</f>
        <v>123</v>
      </c>
    </row>
    <row r="76" spans="1:9" x14ac:dyDescent="0.25">
      <c r="C76" s="188" t="s">
        <v>154</v>
      </c>
      <c r="D76" s="188"/>
      <c r="E76" s="188"/>
      <c r="F76" s="188"/>
    </row>
    <row r="77" spans="1:9" s="134" customFormat="1" x14ac:dyDescent="0.25">
      <c r="C77" s="146" t="s">
        <v>131</v>
      </c>
      <c r="D77" s="142">
        <v>2022</v>
      </c>
      <c r="E77" s="140">
        <v>2023</v>
      </c>
      <c r="F77" s="123" t="s">
        <v>113</v>
      </c>
      <c r="G77" s="143"/>
      <c r="H77" s="143"/>
      <c r="I77" s="143"/>
    </row>
    <row r="78" spans="1:9" s="134" customFormat="1" ht="15.6" x14ac:dyDescent="0.25">
      <c r="C78" s="146" t="s">
        <v>137</v>
      </c>
      <c r="D78" s="142">
        <v>0</v>
      </c>
      <c r="E78" s="140">
        <f>'Datos Semana'!BE33</f>
        <v>0</v>
      </c>
      <c r="F78" s="124" t="e">
        <f>E78/D78-1</f>
        <v>#DIV/0!</v>
      </c>
      <c r="G78" s="143"/>
      <c r="H78" s="143"/>
      <c r="I78" s="143"/>
    </row>
    <row r="85" spans="1:8" ht="14.4" x14ac:dyDescent="0.3">
      <c r="A85" s="168" t="s">
        <v>188</v>
      </c>
      <c r="B85" s="135" t="s">
        <v>132</v>
      </c>
      <c r="C85" s="190" t="s">
        <v>105</v>
      </c>
      <c r="D85" s="191"/>
      <c r="E85" s="191"/>
      <c r="F85" s="189" t="s">
        <v>133</v>
      </c>
      <c r="G85" s="189"/>
      <c r="H85" s="189"/>
    </row>
    <row r="86" spans="1:8" ht="26.4" x14ac:dyDescent="0.25">
      <c r="A86" s="80"/>
      <c r="B86" s="90" t="s">
        <v>104</v>
      </c>
      <c r="C86" s="90" t="s">
        <v>87</v>
      </c>
      <c r="D86" s="90" t="s">
        <v>86</v>
      </c>
      <c r="E86" s="91" t="s">
        <v>82</v>
      </c>
      <c r="F86" s="136" t="s">
        <v>87</v>
      </c>
      <c r="G86" s="136" t="s">
        <v>86</v>
      </c>
      <c r="H86" s="137" t="s">
        <v>82</v>
      </c>
    </row>
    <row r="87" spans="1:8" ht="14.4" x14ac:dyDescent="0.3">
      <c r="B87" s="86" t="s">
        <v>89</v>
      </c>
      <c r="C87" s="87">
        <v>0</v>
      </c>
      <c r="D87" s="87">
        <v>0</v>
      </c>
      <c r="E87" s="85">
        <f>C87+D87</f>
        <v>0</v>
      </c>
      <c r="F87" s="139">
        <v>0</v>
      </c>
      <c r="G87" s="139">
        <v>0</v>
      </c>
      <c r="H87" s="139">
        <f>SUM(F87:G87)</f>
        <v>0</v>
      </c>
    </row>
    <row r="88" spans="1:8" ht="14.4" x14ac:dyDescent="0.3">
      <c r="B88" s="89" t="s">
        <v>107</v>
      </c>
      <c r="C88" s="87">
        <v>1</v>
      </c>
      <c r="D88" s="87">
        <v>1</v>
      </c>
      <c r="E88" s="85">
        <f>C88+D88</f>
        <v>2</v>
      </c>
      <c r="F88" s="139">
        <v>0</v>
      </c>
      <c r="G88" s="139">
        <v>0</v>
      </c>
      <c r="H88" s="139">
        <f>SUM(F88:G88)</f>
        <v>0</v>
      </c>
    </row>
    <row r="89" spans="1:8" ht="14.4" x14ac:dyDescent="0.3">
      <c r="B89" s="86" t="s">
        <v>103</v>
      </c>
      <c r="C89" s="87">
        <v>7</v>
      </c>
      <c r="D89" s="87">
        <v>6</v>
      </c>
      <c r="E89" s="85">
        <f>C89+D89</f>
        <v>13</v>
      </c>
      <c r="F89" s="139">
        <v>0</v>
      </c>
      <c r="G89" s="139">
        <v>0</v>
      </c>
      <c r="H89" s="139">
        <f>SUM(F89:G89)</f>
        <v>0</v>
      </c>
    </row>
    <row r="90" spans="1:8" ht="14.4" x14ac:dyDescent="0.3">
      <c r="B90" s="86" t="s">
        <v>106</v>
      </c>
      <c r="C90" s="87">
        <v>1</v>
      </c>
      <c r="D90" s="87">
        <v>0</v>
      </c>
      <c r="E90" s="85">
        <f>C90+D90</f>
        <v>1</v>
      </c>
      <c r="F90" s="139">
        <v>0</v>
      </c>
      <c r="G90" s="139">
        <v>0</v>
      </c>
      <c r="H90" s="139">
        <f>SUM(F90:G90)</f>
        <v>0</v>
      </c>
    </row>
    <row r="91" spans="1:8" ht="14.4" x14ac:dyDescent="0.3">
      <c r="B91" s="101" t="s">
        <v>82</v>
      </c>
      <c r="C91" s="102">
        <f>SUM(C87:C90)</f>
        <v>9</v>
      </c>
      <c r="D91" s="102">
        <f>SUM(D87:D90)</f>
        <v>7</v>
      </c>
      <c r="E91" s="103">
        <f>C91+D91</f>
        <v>16</v>
      </c>
      <c r="F91" s="138">
        <f>SUM(F87:F90)</f>
        <v>0</v>
      </c>
      <c r="G91" s="138">
        <f>SUM(G87:G90)</f>
        <v>0</v>
      </c>
      <c r="H91" s="122">
        <f>SUM(F91:G91)</f>
        <v>0</v>
      </c>
    </row>
    <row r="92" spans="1:8" x14ac:dyDescent="0.25">
      <c r="C92" s="130">
        <f>C91/E91</f>
        <v>0.5625</v>
      </c>
      <c r="D92" s="131">
        <f>D91/E91</f>
        <v>0.4375</v>
      </c>
      <c r="F92" s="132"/>
    </row>
    <row r="97" spans="1:7" x14ac:dyDescent="0.25">
      <c r="A97" s="192" t="s">
        <v>188</v>
      </c>
      <c r="B97" s="193"/>
      <c r="C97" s="104" t="s">
        <v>108</v>
      </c>
      <c r="D97" s="74" t="s">
        <v>148</v>
      </c>
    </row>
    <row r="98" spans="1:7" x14ac:dyDescent="0.25">
      <c r="A98" s="169" t="s">
        <v>64</v>
      </c>
      <c r="B98" s="169" t="s">
        <v>64</v>
      </c>
      <c r="C98" s="148" t="s">
        <v>1</v>
      </c>
      <c r="D98" s="99">
        <v>4</v>
      </c>
      <c r="F98" s="147">
        <f>D98/D105*100</f>
        <v>100</v>
      </c>
    </row>
    <row r="99" spans="1:7" x14ac:dyDescent="0.25">
      <c r="A99" s="169"/>
      <c r="B99" s="169"/>
      <c r="C99" s="148" t="s">
        <v>59</v>
      </c>
      <c r="D99" s="99">
        <v>2</v>
      </c>
      <c r="F99" s="147"/>
    </row>
    <row r="100" spans="1:7" x14ac:dyDescent="0.25">
      <c r="A100" s="169"/>
      <c r="B100" s="169"/>
      <c r="C100" s="148" t="s">
        <v>194</v>
      </c>
      <c r="D100" s="99">
        <v>1</v>
      </c>
      <c r="F100" s="147"/>
    </row>
    <row r="101" spans="1:7" x14ac:dyDescent="0.25">
      <c r="A101" s="194" t="s">
        <v>65</v>
      </c>
      <c r="B101" s="194" t="s">
        <v>65</v>
      </c>
      <c r="C101" s="99" t="s">
        <v>189</v>
      </c>
      <c r="D101" s="99">
        <v>8</v>
      </c>
      <c r="F101" s="147" t="e">
        <f>D101/D109*100</f>
        <v>#DIV/0!</v>
      </c>
    </row>
    <row r="102" spans="1:7" x14ac:dyDescent="0.25">
      <c r="A102" s="196"/>
      <c r="B102" s="196"/>
      <c r="C102" s="99" t="s">
        <v>190</v>
      </c>
      <c r="D102" s="99">
        <v>1</v>
      </c>
      <c r="F102" s="147"/>
    </row>
    <row r="103" spans="1:7" x14ac:dyDescent="0.25">
      <c r="A103" s="99"/>
      <c r="B103" s="99"/>
      <c r="C103" s="104" t="s">
        <v>52</v>
      </c>
      <c r="D103" s="104">
        <f>SUM(D98:D102)</f>
        <v>16</v>
      </c>
    </row>
    <row r="105" spans="1:7" x14ac:dyDescent="0.25">
      <c r="C105" s="83" t="s">
        <v>64</v>
      </c>
      <c r="D105" s="83">
        <f>SUM(D98:D98)</f>
        <v>4</v>
      </c>
      <c r="F105" s="83">
        <f>D105</f>
        <v>4</v>
      </c>
      <c r="G105" s="133">
        <f>F105/D103*100</f>
        <v>25</v>
      </c>
    </row>
    <row r="106" spans="1:7" x14ac:dyDescent="0.25">
      <c r="C106" s="83" t="s">
        <v>65</v>
      </c>
      <c r="D106" s="83">
        <f>SUM(D101:D102)</f>
        <v>9</v>
      </c>
      <c r="F106" s="83">
        <f>D106</f>
        <v>9</v>
      </c>
      <c r="G106" s="133">
        <f>F106/D103*100</f>
        <v>56.25</v>
      </c>
    </row>
    <row r="107" spans="1:7" x14ac:dyDescent="0.25">
      <c r="D107" s="83">
        <f>SUM(D105:D106)</f>
        <v>13</v>
      </c>
    </row>
    <row r="134" spans="3:7" ht="14.4" x14ac:dyDescent="0.3">
      <c r="C134" s="73" t="s">
        <v>58</v>
      </c>
      <c r="D134" s="74">
        <v>2024</v>
      </c>
      <c r="E134" s="74">
        <v>2025</v>
      </c>
      <c r="F134" s="170"/>
    </row>
    <row r="135" spans="3:7" x14ac:dyDescent="0.25">
      <c r="C135" s="75" t="s">
        <v>59</v>
      </c>
      <c r="D135" s="76">
        <v>223</v>
      </c>
      <c r="E135" s="77">
        <v>79</v>
      </c>
      <c r="F135" s="79"/>
      <c r="G135" s="80"/>
    </row>
    <row r="136" spans="3:7" x14ac:dyDescent="0.25">
      <c r="C136" s="75" t="s">
        <v>0</v>
      </c>
      <c r="D136" s="76">
        <v>76</v>
      </c>
      <c r="E136" s="77">
        <v>1</v>
      </c>
      <c r="F136" s="79"/>
      <c r="G136" s="80"/>
    </row>
    <row r="137" spans="3:7" x14ac:dyDescent="0.25">
      <c r="C137" s="75" t="s">
        <v>179</v>
      </c>
      <c r="D137" s="76">
        <v>10</v>
      </c>
      <c r="E137" s="77">
        <v>0</v>
      </c>
      <c r="F137" s="79"/>
      <c r="G137" s="80"/>
    </row>
    <row r="138" spans="3:7" x14ac:dyDescent="0.25">
      <c r="C138" s="75" t="s">
        <v>60</v>
      </c>
      <c r="D138" s="76">
        <v>6</v>
      </c>
      <c r="E138" s="77">
        <v>37</v>
      </c>
      <c r="F138" s="79"/>
      <c r="G138" s="80"/>
    </row>
    <row r="139" spans="3:7" x14ac:dyDescent="0.25">
      <c r="C139" s="75" t="s">
        <v>149</v>
      </c>
      <c r="D139" s="76">
        <v>4</v>
      </c>
      <c r="E139" s="77">
        <v>0</v>
      </c>
      <c r="F139" s="79"/>
      <c r="G139" s="80"/>
    </row>
    <row r="140" spans="3:7" x14ac:dyDescent="0.25">
      <c r="C140" s="75" t="s">
        <v>62</v>
      </c>
      <c r="D140" s="76">
        <v>4</v>
      </c>
      <c r="E140" s="77">
        <v>5</v>
      </c>
      <c r="F140" s="79"/>
      <c r="G140" s="80"/>
    </row>
    <row r="141" spans="3:7" x14ac:dyDescent="0.25">
      <c r="C141" s="75" t="s">
        <v>69</v>
      </c>
      <c r="D141" s="76">
        <v>1</v>
      </c>
      <c r="E141" s="77">
        <v>0</v>
      </c>
      <c r="F141" s="79"/>
      <c r="G141" s="80"/>
    </row>
    <row r="142" spans="3:7" x14ac:dyDescent="0.25">
      <c r="C142" s="75" t="s">
        <v>1</v>
      </c>
      <c r="D142" s="76">
        <v>0</v>
      </c>
      <c r="E142" s="77">
        <v>1</v>
      </c>
      <c r="F142" s="79"/>
      <c r="G142" s="80"/>
    </row>
    <row r="143" spans="3:7" x14ac:dyDescent="0.25">
      <c r="C143" s="75" t="s">
        <v>152</v>
      </c>
      <c r="D143" s="76">
        <v>1</v>
      </c>
      <c r="E143" s="77">
        <v>0</v>
      </c>
      <c r="F143" s="79"/>
      <c r="G143" s="80"/>
    </row>
    <row r="144" spans="3:7" x14ac:dyDescent="0.25">
      <c r="C144" s="161" t="s">
        <v>82</v>
      </c>
      <c r="D144" s="160">
        <f>SUM(D135:D143)</f>
        <v>325</v>
      </c>
      <c r="E144" s="160">
        <f>SUM(E135:E143)</f>
        <v>123</v>
      </c>
      <c r="F144" s="79"/>
      <c r="G144" s="80"/>
    </row>
    <row r="145" spans="4:7" x14ac:dyDescent="0.25">
      <c r="F145" s="79"/>
      <c r="G145" s="80"/>
    </row>
    <row r="150" spans="4:7" x14ac:dyDescent="0.25">
      <c r="D150" s="197" t="s">
        <v>192</v>
      </c>
      <c r="E150" s="198"/>
    </row>
    <row r="151" spans="4:7" x14ac:dyDescent="0.25">
      <c r="D151" s="171">
        <v>2024</v>
      </c>
      <c r="E151" s="171">
        <v>325</v>
      </c>
    </row>
    <row r="152" spans="4:7" x14ac:dyDescent="0.25">
      <c r="D152" s="172">
        <v>2025</v>
      </c>
      <c r="E152" s="172">
        <v>123</v>
      </c>
    </row>
  </sheetData>
  <sortState xmlns:xlrd2="http://schemas.microsoft.com/office/spreadsheetml/2017/richdata2" ref="C27:E32">
    <sortCondition descending="1" ref="E27:E32"/>
  </sortState>
  <mergeCells count="12">
    <mergeCell ref="D150:E150"/>
    <mergeCell ref="A101:A102"/>
    <mergeCell ref="B101:B102"/>
    <mergeCell ref="C85:E85"/>
    <mergeCell ref="F85:H85"/>
    <mergeCell ref="A97:B97"/>
    <mergeCell ref="C76:F76"/>
    <mergeCell ref="G51:I51"/>
    <mergeCell ref="D51:F51"/>
    <mergeCell ref="A62:B62"/>
    <mergeCell ref="A63:A66"/>
    <mergeCell ref="B63:B66"/>
  </mergeCells>
  <pageMargins left="0.7" right="0.7" top="0.75" bottom="0.75" header="0.3" footer="0.3"/>
  <pageSetup paperSize="9" scale="95" orientation="portrait" horizontalDpi="0" verticalDpi="0" r:id="rId1"/>
  <ignoredErrors>
    <ignoredError sqref="C54 B88" twoDigitTextYear="1"/>
    <ignoredError sqref="F57 E91" formula="1"/>
    <ignoredError sqref="D144:E144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2"/>
  <sheetViews>
    <sheetView topLeftCell="F25" workbookViewId="0">
      <selection activeCell="L42" sqref="L42"/>
    </sheetView>
  </sheetViews>
  <sheetFormatPr defaultColWidth="28" defaultRowHeight="14.4" x14ac:dyDescent="0.3"/>
  <cols>
    <col min="2" max="2" width="16.109375" customWidth="1"/>
    <col min="3" max="3" width="13.88671875" customWidth="1"/>
    <col min="4" max="6" width="13.88671875" style="152" customWidth="1"/>
    <col min="7" max="7" width="13.88671875" style="154" customWidth="1"/>
  </cols>
  <sheetData>
    <row r="1" spans="1:7" x14ac:dyDescent="0.3">
      <c r="D1" s="152">
        <v>2022</v>
      </c>
      <c r="E1" s="152">
        <v>2022</v>
      </c>
      <c r="F1" s="152">
        <v>2023</v>
      </c>
      <c r="G1" s="153">
        <v>2023</v>
      </c>
    </row>
    <row r="2" spans="1:7" x14ac:dyDescent="0.3">
      <c r="A2" s="45" t="s">
        <v>156</v>
      </c>
      <c r="B2" s="45" t="s">
        <v>58</v>
      </c>
      <c r="C2" t="s">
        <v>165</v>
      </c>
      <c r="D2" s="152" t="s">
        <v>148</v>
      </c>
      <c r="E2" s="152" t="s">
        <v>164</v>
      </c>
      <c r="F2" s="152" t="s">
        <v>148</v>
      </c>
      <c r="G2" s="154" t="s">
        <v>164</v>
      </c>
    </row>
    <row r="3" spans="1:7" x14ac:dyDescent="0.3">
      <c r="A3" s="150" t="s">
        <v>157</v>
      </c>
      <c r="B3" s="150" t="s">
        <v>0</v>
      </c>
      <c r="C3" s="151">
        <v>367216</v>
      </c>
      <c r="D3" s="152">
        <v>7</v>
      </c>
      <c r="E3" s="154">
        <f>D3/C3*10000</f>
        <v>0.19062350224391095</v>
      </c>
      <c r="F3" s="155">
        <v>165</v>
      </c>
      <c r="G3" s="154">
        <f>F3/C3*10000</f>
        <v>4.4932682671779007</v>
      </c>
    </row>
    <row r="4" spans="1:7" x14ac:dyDescent="0.3">
      <c r="A4" s="201" t="s">
        <v>158</v>
      </c>
      <c r="B4" s="150" t="s">
        <v>150</v>
      </c>
      <c r="C4" s="151">
        <v>8051</v>
      </c>
      <c r="D4" s="152">
        <v>0</v>
      </c>
      <c r="E4" s="154">
        <f t="shared" ref="E4:E31" si="0">D4/C4*10000</f>
        <v>0</v>
      </c>
      <c r="F4" s="155">
        <v>3</v>
      </c>
      <c r="G4" s="154">
        <f t="shared" ref="G4:G31" si="1">F4/C4*10000</f>
        <v>3.7262451869333004</v>
      </c>
    </row>
    <row r="5" spans="1:7" x14ac:dyDescent="0.3">
      <c r="A5" s="201"/>
      <c r="B5" s="150" t="s">
        <v>84</v>
      </c>
      <c r="C5" s="151">
        <v>9982</v>
      </c>
      <c r="D5" s="152">
        <v>0</v>
      </c>
      <c r="E5" s="154">
        <f t="shared" si="0"/>
        <v>0</v>
      </c>
      <c r="F5" s="155">
        <v>2</v>
      </c>
      <c r="G5" s="154">
        <f t="shared" si="1"/>
        <v>2.0036064916850331</v>
      </c>
    </row>
    <row r="6" spans="1:7" x14ac:dyDescent="0.3">
      <c r="A6" s="201"/>
      <c r="B6" s="150" t="s">
        <v>69</v>
      </c>
      <c r="C6" s="151">
        <v>15262</v>
      </c>
      <c r="D6" s="152">
        <v>0</v>
      </c>
      <c r="E6" s="154">
        <f t="shared" si="0"/>
        <v>0</v>
      </c>
      <c r="F6" s="155">
        <v>9</v>
      </c>
      <c r="G6" s="154">
        <f t="shared" si="1"/>
        <v>5.8969990826890317</v>
      </c>
    </row>
    <row r="7" spans="1:7" x14ac:dyDescent="0.3">
      <c r="A7" s="201"/>
      <c r="B7" s="150" t="s">
        <v>145</v>
      </c>
      <c r="C7" s="151">
        <v>8459</v>
      </c>
      <c r="D7" s="152">
        <v>0</v>
      </c>
      <c r="E7" s="154">
        <f t="shared" si="0"/>
        <v>0</v>
      </c>
      <c r="F7" s="155">
        <v>2</v>
      </c>
      <c r="G7" s="154">
        <f t="shared" si="1"/>
        <v>2.3643456673365648</v>
      </c>
    </row>
    <row r="8" spans="1:7" x14ac:dyDescent="0.3">
      <c r="A8" s="201"/>
      <c r="B8" s="150" t="s">
        <v>146</v>
      </c>
      <c r="C8" s="151">
        <v>7598</v>
      </c>
      <c r="D8" s="152">
        <v>0</v>
      </c>
      <c r="E8" s="154">
        <f t="shared" si="0"/>
        <v>0</v>
      </c>
      <c r="F8" s="155">
        <v>1</v>
      </c>
      <c r="G8" s="154">
        <f t="shared" si="1"/>
        <v>1.3161358252171624</v>
      </c>
    </row>
    <row r="9" spans="1:7" x14ac:dyDescent="0.3">
      <c r="A9" s="201"/>
      <c r="B9" s="150" t="s">
        <v>153</v>
      </c>
      <c r="C9" s="151">
        <v>7845</v>
      </c>
      <c r="D9" s="152">
        <v>0</v>
      </c>
      <c r="E9" s="154">
        <f t="shared" si="0"/>
        <v>0</v>
      </c>
      <c r="F9" s="155">
        <v>0</v>
      </c>
      <c r="G9" s="154">
        <f t="shared" si="1"/>
        <v>0</v>
      </c>
    </row>
    <row r="10" spans="1:7" x14ac:dyDescent="0.3">
      <c r="A10" s="201" t="s">
        <v>159</v>
      </c>
      <c r="B10" s="150" t="s">
        <v>144</v>
      </c>
      <c r="C10" s="151">
        <v>2621</v>
      </c>
      <c r="D10" s="152">
        <v>0</v>
      </c>
      <c r="E10" s="154">
        <f t="shared" si="0"/>
        <v>0</v>
      </c>
      <c r="F10" s="155">
        <v>3</v>
      </c>
      <c r="G10" s="154">
        <f t="shared" si="1"/>
        <v>11.446012972148035</v>
      </c>
    </row>
    <row r="11" spans="1:7" x14ac:dyDescent="0.3">
      <c r="A11" s="202"/>
      <c r="B11" s="150" t="s">
        <v>152</v>
      </c>
      <c r="C11" s="151">
        <v>3963</v>
      </c>
      <c r="D11" s="152">
        <v>0</v>
      </c>
      <c r="E11" s="154">
        <f t="shared" si="0"/>
        <v>0</v>
      </c>
      <c r="F11" s="155">
        <v>2</v>
      </c>
      <c r="G11" s="154">
        <f t="shared" si="1"/>
        <v>5.0466818067120869</v>
      </c>
    </row>
    <row r="12" spans="1:7" x14ac:dyDescent="0.3">
      <c r="A12" s="202"/>
      <c r="B12" s="150" t="s">
        <v>88</v>
      </c>
      <c r="C12" s="151">
        <v>10230</v>
      </c>
      <c r="D12" s="152">
        <v>0</v>
      </c>
      <c r="E12" s="154">
        <f t="shared" si="0"/>
        <v>0</v>
      </c>
      <c r="F12" s="155">
        <v>11</v>
      </c>
      <c r="G12" s="154">
        <f t="shared" si="1"/>
        <v>10.75268817204301</v>
      </c>
    </row>
    <row r="13" spans="1:7" x14ac:dyDescent="0.3">
      <c r="A13" s="202"/>
      <c r="B13" s="150" t="s">
        <v>85</v>
      </c>
      <c r="C13" s="151">
        <v>9068</v>
      </c>
      <c r="D13" s="152">
        <v>0</v>
      </c>
      <c r="E13" s="154">
        <f t="shared" si="0"/>
        <v>0</v>
      </c>
      <c r="F13" s="155">
        <v>5</v>
      </c>
      <c r="G13" s="154">
        <f t="shared" si="1"/>
        <v>5.5138950154389059</v>
      </c>
    </row>
    <row r="14" spans="1:7" x14ac:dyDescent="0.3">
      <c r="A14" s="202"/>
      <c r="B14" s="150" t="s">
        <v>91</v>
      </c>
      <c r="C14" s="151">
        <v>10212</v>
      </c>
      <c r="D14" s="152">
        <v>0</v>
      </c>
      <c r="E14" s="154">
        <f t="shared" si="0"/>
        <v>0</v>
      </c>
      <c r="F14" s="155">
        <v>15</v>
      </c>
      <c r="G14" s="154">
        <f t="shared" si="1"/>
        <v>14.688601645123384</v>
      </c>
    </row>
    <row r="15" spans="1:7" x14ac:dyDescent="0.3">
      <c r="A15" s="201" t="s">
        <v>160</v>
      </c>
      <c r="B15" s="150" t="s">
        <v>63</v>
      </c>
      <c r="C15" s="151">
        <v>6057</v>
      </c>
      <c r="D15" s="152">
        <v>0</v>
      </c>
      <c r="E15" s="154">
        <f t="shared" si="0"/>
        <v>0</v>
      </c>
      <c r="F15" s="155">
        <v>1</v>
      </c>
      <c r="G15" s="154">
        <f t="shared" si="1"/>
        <v>1.6509823344890211</v>
      </c>
    </row>
    <row r="16" spans="1:7" x14ac:dyDescent="0.3">
      <c r="A16" s="201"/>
      <c r="B16" s="150" t="s">
        <v>166</v>
      </c>
      <c r="C16" s="151">
        <v>11239</v>
      </c>
      <c r="D16" s="152">
        <v>0</v>
      </c>
      <c r="E16" s="154">
        <f t="shared" si="0"/>
        <v>0</v>
      </c>
      <c r="F16" s="155">
        <v>0</v>
      </c>
      <c r="G16" s="154">
        <f t="shared" si="1"/>
        <v>0</v>
      </c>
    </row>
    <row r="17" spans="1:7" x14ac:dyDescent="0.3">
      <c r="A17" s="201"/>
      <c r="B17" s="150" t="s">
        <v>167</v>
      </c>
      <c r="C17" s="151">
        <v>13882</v>
      </c>
      <c r="D17" s="152">
        <v>0</v>
      </c>
      <c r="E17" s="154">
        <f t="shared" si="0"/>
        <v>0</v>
      </c>
      <c r="F17" s="155">
        <v>0</v>
      </c>
      <c r="G17" s="154">
        <f t="shared" si="1"/>
        <v>0</v>
      </c>
    </row>
    <row r="18" spans="1:7" x14ac:dyDescent="0.3">
      <c r="A18" s="201" t="s">
        <v>161</v>
      </c>
      <c r="B18" s="150" t="s">
        <v>62</v>
      </c>
      <c r="C18" s="151">
        <v>8268</v>
      </c>
      <c r="D18" s="152">
        <v>6</v>
      </c>
      <c r="E18" s="154">
        <f t="shared" si="0"/>
        <v>7.2568940493468794</v>
      </c>
      <c r="F18" s="155">
        <v>115</v>
      </c>
      <c r="G18" s="154">
        <f t="shared" si="1"/>
        <v>139.09046927914852</v>
      </c>
    </row>
    <row r="19" spans="1:7" x14ac:dyDescent="0.3">
      <c r="A19" s="202"/>
      <c r="B19" s="150" t="s">
        <v>142</v>
      </c>
      <c r="C19" s="151">
        <v>2499</v>
      </c>
      <c r="D19" s="152">
        <v>13</v>
      </c>
      <c r="E19" s="154">
        <f t="shared" si="0"/>
        <v>52.020808323329334</v>
      </c>
      <c r="F19" s="155">
        <v>38</v>
      </c>
      <c r="G19" s="154">
        <f t="shared" si="1"/>
        <v>152.0608243297319</v>
      </c>
    </row>
    <row r="20" spans="1:7" x14ac:dyDescent="0.3">
      <c r="A20" s="202"/>
      <c r="B20" s="150" t="s">
        <v>1</v>
      </c>
      <c r="C20" s="151">
        <v>7154</v>
      </c>
      <c r="D20" s="152">
        <v>2</v>
      </c>
      <c r="E20" s="154">
        <f t="shared" si="0"/>
        <v>2.7956388034665922</v>
      </c>
      <c r="F20" s="155">
        <v>249</v>
      </c>
      <c r="G20" s="154">
        <f t="shared" si="1"/>
        <v>348.05703103159072</v>
      </c>
    </row>
    <row r="21" spans="1:7" x14ac:dyDescent="0.3">
      <c r="A21" s="202"/>
      <c r="B21" s="150" t="s">
        <v>59</v>
      </c>
      <c r="C21" s="151">
        <v>25324</v>
      </c>
      <c r="D21" s="152">
        <v>65</v>
      </c>
      <c r="E21" s="154">
        <f t="shared" si="0"/>
        <v>25.66735112936345</v>
      </c>
      <c r="F21" s="155">
        <v>1109</v>
      </c>
      <c r="G21" s="154">
        <f t="shared" si="1"/>
        <v>437.92449849944717</v>
      </c>
    </row>
    <row r="22" spans="1:7" x14ac:dyDescent="0.3">
      <c r="A22" s="202"/>
      <c r="B22" s="150" t="s">
        <v>60</v>
      </c>
      <c r="C22" s="151">
        <v>9462</v>
      </c>
      <c r="D22" s="152">
        <v>1</v>
      </c>
      <c r="E22" s="154">
        <f t="shared" si="0"/>
        <v>1.056859015007398</v>
      </c>
      <c r="F22" s="155">
        <v>183</v>
      </c>
      <c r="G22" s="154">
        <f t="shared" si="1"/>
        <v>193.40519974635384</v>
      </c>
    </row>
    <row r="23" spans="1:7" x14ac:dyDescent="0.3">
      <c r="A23" s="201" t="s">
        <v>162</v>
      </c>
      <c r="B23" s="150" t="s">
        <v>149</v>
      </c>
      <c r="C23" s="151">
        <v>15599</v>
      </c>
      <c r="D23" s="152">
        <v>0</v>
      </c>
      <c r="E23" s="154">
        <f t="shared" si="0"/>
        <v>0</v>
      </c>
      <c r="F23" s="155">
        <v>2</v>
      </c>
      <c r="G23" s="154">
        <f t="shared" si="1"/>
        <v>1.2821334700942368</v>
      </c>
    </row>
    <row r="24" spans="1:7" x14ac:dyDescent="0.3">
      <c r="A24" s="201"/>
      <c r="B24" s="150" t="s">
        <v>90</v>
      </c>
      <c r="C24" s="151">
        <v>12635</v>
      </c>
      <c r="D24" s="152">
        <v>0</v>
      </c>
      <c r="E24" s="154">
        <f t="shared" si="0"/>
        <v>0</v>
      </c>
      <c r="F24" s="155">
        <v>6</v>
      </c>
      <c r="G24" s="154">
        <f t="shared" si="1"/>
        <v>4.748713889988128</v>
      </c>
    </row>
    <row r="25" spans="1:7" x14ac:dyDescent="0.3">
      <c r="A25" s="201"/>
      <c r="B25" s="150" t="s">
        <v>67</v>
      </c>
      <c r="C25" s="151">
        <v>31456</v>
      </c>
      <c r="D25" s="152">
        <v>0</v>
      </c>
      <c r="E25" s="154">
        <f t="shared" si="0"/>
        <v>0</v>
      </c>
      <c r="F25" s="155">
        <v>1</v>
      </c>
      <c r="G25" s="154">
        <f t="shared" si="1"/>
        <v>0.31790437436419122</v>
      </c>
    </row>
    <row r="26" spans="1:7" x14ac:dyDescent="0.3">
      <c r="A26" s="201"/>
      <c r="B26" s="150" t="s">
        <v>151</v>
      </c>
      <c r="C26" s="151">
        <v>15644</v>
      </c>
      <c r="D26" s="152">
        <v>0</v>
      </c>
      <c r="E26" s="154">
        <f t="shared" si="0"/>
        <v>0</v>
      </c>
      <c r="F26" s="155">
        <v>0</v>
      </c>
      <c r="G26" s="154">
        <f t="shared" si="1"/>
        <v>0</v>
      </c>
    </row>
    <row r="27" spans="1:7" x14ac:dyDescent="0.3">
      <c r="A27" s="201"/>
      <c r="B27" s="150" t="s">
        <v>68</v>
      </c>
      <c r="C27" s="151">
        <v>3351</v>
      </c>
      <c r="D27" s="152">
        <v>0</v>
      </c>
      <c r="E27" s="154">
        <f t="shared" si="0"/>
        <v>0</v>
      </c>
      <c r="F27" s="155">
        <v>0</v>
      </c>
      <c r="G27" s="154">
        <f t="shared" si="1"/>
        <v>0</v>
      </c>
    </row>
    <row r="28" spans="1:7" x14ac:dyDescent="0.3">
      <c r="A28" s="201"/>
      <c r="B28" s="150" t="s">
        <v>168</v>
      </c>
      <c r="C28" s="151">
        <v>3037</v>
      </c>
      <c r="D28" s="152">
        <v>0</v>
      </c>
      <c r="E28" s="154">
        <f t="shared" si="0"/>
        <v>0</v>
      </c>
      <c r="F28" s="155">
        <v>0</v>
      </c>
      <c r="G28" s="154">
        <f t="shared" si="1"/>
        <v>0</v>
      </c>
    </row>
    <row r="29" spans="1:7" x14ac:dyDescent="0.3">
      <c r="A29" s="201" t="s">
        <v>163</v>
      </c>
      <c r="B29" s="150" t="s">
        <v>147</v>
      </c>
      <c r="C29" s="151">
        <v>15759</v>
      </c>
      <c r="D29" s="152">
        <v>0</v>
      </c>
      <c r="E29" s="154">
        <f t="shared" si="0"/>
        <v>0</v>
      </c>
      <c r="F29" s="155">
        <v>2</v>
      </c>
      <c r="G29" s="154">
        <f t="shared" si="1"/>
        <v>1.2691160606637477</v>
      </c>
    </row>
    <row r="30" spans="1:7" x14ac:dyDescent="0.3">
      <c r="A30" s="203"/>
      <c r="B30" s="150" t="s">
        <v>0</v>
      </c>
      <c r="C30" s="151">
        <v>6423.7062835936758</v>
      </c>
      <c r="D30" s="152">
        <v>8</v>
      </c>
      <c r="E30" s="154">
        <f t="shared" si="0"/>
        <v>12.45386953701825</v>
      </c>
      <c r="F30" s="155">
        <v>145</v>
      </c>
      <c r="G30" s="154">
        <f t="shared" si="1"/>
        <v>225.72638535845579</v>
      </c>
    </row>
    <row r="31" spans="1:7" x14ac:dyDescent="0.3">
      <c r="A31" s="203"/>
      <c r="B31" s="150" t="s">
        <v>141</v>
      </c>
      <c r="C31" s="151">
        <v>9129</v>
      </c>
      <c r="D31" s="152">
        <v>0</v>
      </c>
      <c r="E31" s="154">
        <f t="shared" si="0"/>
        <v>0</v>
      </c>
      <c r="F31" s="155">
        <v>6</v>
      </c>
      <c r="G31" s="154">
        <f t="shared" si="1"/>
        <v>6.5724613867893531</v>
      </c>
    </row>
    <row r="32" spans="1:7" x14ac:dyDescent="0.3">
      <c r="A32" s="199" t="s">
        <v>82</v>
      </c>
      <c r="B32" s="200"/>
      <c r="C32" s="151">
        <v>668321</v>
      </c>
      <c r="D32" s="152">
        <f>SUM(D3:D31)</f>
        <v>102</v>
      </c>
      <c r="E32" s="154">
        <f>SUM(E3:E31)</f>
        <v>101.44204435977582</v>
      </c>
      <c r="F32" s="152">
        <f t="shared" ref="F32:G32" si="2">SUM(F3:F31)</f>
        <v>2075</v>
      </c>
      <c r="G32" s="154">
        <f t="shared" si="2"/>
        <v>1579.3541998936214</v>
      </c>
    </row>
  </sheetData>
  <mergeCells count="7">
    <mergeCell ref="A32:B32"/>
    <mergeCell ref="A15:A17"/>
    <mergeCell ref="A4:A9"/>
    <mergeCell ref="A23:A28"/>
    <mergeCell ref="A10:A14"/>
    <mergeCell ref="A18:A22"/>
    <mergeCell ref="A29:A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K311"/>
  <sheetViews>
    <sheetView zoomScaleNormal="100" workbookViewId="0">
      <pane xSplit="1" ySplit="2" topLeftCell="K205" activePane="bottomRight" state="frozen"/>
      <selection activeCell="C13" sqref="C13"/>
      <selection pane="topRight" activeCell="C13" sqref="C13"/>
      <selection pane="bottomLeft" activeCell="C13" sqref="C13"/>
      <selection pane="bottomRight" activeCell="Z238" sqref="Z238"/>
    </sheetView>
  </sheetViews>
  <sheetFormatPr defaultColWidth="11.44140625" defaultRowHeight="13.2" x14ac:dyDescent="0.25"/>
  <cols>
    <col min="1" max="1" width="20.33203125" style="3" customWidth="1"/>
    <col min="2" max="2" width="11.88671875" style="8" customWidth="1"/>
    <col min="3" max="3" width="5.5546875" style="8" customWidth="1"/>
    <col min="4" max="54" width="5.5546875" style="3" customWidth="1"/>
    <col min="55" max="55" width="5.5546875" style="8" customWidth="1"/>
    <col min="56" max="56" width="7" style="8" customWidth="1"/>
    <col min="57" max="57" width="5.88671875" style="3" customWidth="1"/>
    <col min="58" max="61" width="3.88671875" style="3" customWidth="1"/>
    <col min="62" max="62" width="6.5546875" style="3" customWidth="1"/>
    <col min="63" max="63" width="7" style="3" customWidth="1"/>
    <col min="64" max="65" width="3.88671875" style="3" customWidth="1"/>
    <col min="66" max="67" width="6.33203125" style="3" customWidth="1"/>
    <col min="68" max="72" width="3.88671875" style="3" customWidth="1"/>
    <col min="73" max="74" width="2.88671875" style="3" customWidth="1"/>
    <col min="75" max="75" width="2.44140625" style="3" customWidth="1"/>
    <col min="76" max="77" width="3.33203125" style="3" customWidth="1"/>
    <col min="78" max="78" width="3" style="3" bestFit="1" customWidth="1"/>
    <col min="79" max="79" width="2.109375" style="3" bestFit="1" customWidth="1"/>
    <col min="80" max="98" width="3" style="3" bestFit="1" customWidth="1"/>
    <col min="99" max="99" width="3" style="3" customWidth="1"/>
    <col min="100" max="101" width="3" style="3" bestFit="1" customWidth="1"/>
    <col min="102" max="103" width="3" style="3" customWidth="1"/>
    <col min="104" max="106" width="3" style="3" bestFit="1" customWidth="1"/>
    <col min="107" max="107" width="3" style="3" customWidth="1"/>
    <col min="108" max="109" width="3" style="3" bestFit="1" customWidth="1"/>
    <col min="110" max="111" width="3" style="3" customWidth="1"/>
    <col min="112" max="114" width="3" style="3" bestFit="1" customWidth="1"/>
    <col min="115" max="115" width="4" style="3" bestFit="1" customWidth="1"/>
    <col min="116" max="116" width="3" style="3" bestFit="1" customWidth="1"/>
    <col min="117" max="117" width="3" style="3" customWidth="1"/>
    <col min="118" max="121" width="3" style="3" bestFit="1" customWidth="1"/>
    <col min="122" max="122" width="4" style="3" bestFit="1" customWidth="1"/>
    <col min="123" max="124" width="3" style="3" bestFit="1" customWidth="1"/>
    <col min="125" max="125" width="4.33203125" style="8" customWidth="1"/>
    <col min="126" max="126" width="4.109375" style="8" customWidth="1"/>
    <col min="127" max="127" width="4.88671875" style="8" customWidth="1"/>
    <col min="128" max="129" width="4.33203125" style="8" customWidth="1"/>
    <col min="130" max="132" width="4.109375" style="8" customWidth="1"/>
    <col min="133" max="138" width="4.44140625" style="8" customWidth="1"/>
    <col min="139" max="144" width="5.33203125" style="3" customWidth="1"/>
    <col min="145" max="147" width="4.5546875" style="3" customWidth="1"/>
    <col min="148" max="154" width="4.109375" style="3" customWidth="1"/>
    <col min="155" max="159" width="4.6640625" style="3" customWidth="1"/>
    <col min="160" max="160" width="4.109375" style="3" customWidth="1"/>
    <col min="161" max="179" width="4.44140625" style="3" customWidth="1"/>
    <col min="180" max="193" width="3.44140625" style="3" customWidth="1"/>
    <col min="194" max="220" width="3.88671875" style="3" customWidth="1"/>
    <col min="221" max="221" width="4" style="3" customWidth="1"/>
    <col min="222" max="229" width="4.6640625" style="3" customWidth="1"/>
    <col min="230" max="231" width="4" style="3" customWidth="1"/>
    <col min="232" max="237" width="3.6640625" style="3" customWidth="1"/>
    <col min="238" max="239" width="4" style="3" customWidth="1"/>
    <col min="240" max="240" width="3.88671875" style="3" customWidth="1"/>
    <col min="241" max="241" width="3.109375" style="3" customWidth="1"/>
    <col min="242" max="242" width="3.88671875" style="3" customWidth="1"/>
    <col min="243" max="245" width="3.6640625" style="3" customWidth="1"/>
    <col min="246" max="247" width="4" style="3" customWidth="1"/>
    <col min="248" max="248" width="3.88671875" style="3" customWidth="1"/>
    <col min="249" max="249" width="4.109375" style="3" customWidth="1"/>
    <col min="250" max="250" width="4" style="3" customWidth="1"/>
    <col min="251" max="251" width="3.33203125" style="3" customWidth="1"/>
    <col min="252" max="252" width="3.6640625" style="3" customWidth="1"/>
    <col min="253" max="253" width="3.44140625" style="3" customWidth="1"/>
    <col min="254" max="254" width="4" style="3" customWidth="1"/>
    <col min="255" max="255" width="3.88671875" style="3" customWidth="1"/>
    <col min="256" max="256" width="4.44140625" style="3" customWidth="1"/>
    <col min="257" max="257" width="4.5546875" style="3" customWidth="1"/>
    <col min="258" max="258" width="4.33203125" style="3" customWidth="1"/>
    <col min="259" max="259" width="4.109375" style="3" customWidth="1"/>
    <col min="260" max="261" width="3.88671875" style="3" customWidth="1"/>
    <col min="262" max="264" width="4.109375" style="3" customWidth="1"/>
    <col min="265" max="266" width="4.44140625" style="3" customWidth="1"/>
    <col min="267" max="267" width="4.5546875" style="3" customWidth="1"/>
    <col min="268" max="269" width="4" style="3" customWidth="1"/>
    <col min="270" max="270" width="3.6640625" style="3" customWidth="1"/>
    <col min="271" max="271" width="3.88671875" style="3" customWidth="1"/>
    <col min="272" max="272" width="4.44140625" style="3" customWidth="1"/>
    <col min="273" max="273" width="3.6640625" style="3" customWidth="1"/>
    <col min="274" max="274" width="4.5546875" style="3" customWidth="1"/>
    <col min="275" max="275" width="3.5546875" style="3" customWidth="1"/>
    <col min="276" max="276" width="4.44140625" style="3" customWidth="1"/>
    <col min="277" max="277" width="4.5546875" style="3" customWidth="1"/>
    <col min="278" max="278" width="4.109375" style="3" customWidth="1"/>
    <col min="279" max="279" width="3.88671875" style="3" customWidth="1"/>
    <col min="280" max="280" width="4" style="3" customWidth="1"/>
    <col min="281" max="281" width="3.6640625" style="3" customWidth="1"/>
    <col min="282" max="282" width="4.44140625" style="8" customWidth="1"/>
    <col min="283" max="283" width="4" style="3" customWidth="1"/>
    <col min="284" max="284" width="3.88671875" style="3" customWidth="1"/>
    <col min="285" max="285" width="4.33203125" style="3" customWidth="1"/>
    <col min="286" max="286" width="5.109375" style="3" customWidth="1"/>
    <col min="287" max="287" width="5.33203125" style="3" customWidth="1"/>
    <col min="288" max="288" width="4.88671875" style="3" customWidth="1"/>
    <col min="289" max="289" width="5.33203125" style="3" customWidth="1"/>
    <col min="290" max="290" width="5" style="3" customWidth="1"/>
    <col min="291" max="291" width="4.6640625" style="3" customWidth="1"/>
    <col min="292" max="292" width="5.109375" style="3" customWidth="1"/>
    <col min="293" max="294" width="5" style="3" customWidth="1"/>
    <col min="295" max="295" width="4.6640625" style="3" customWidth="1"/>
    <col min="296" max="296" width="4.5546875" style="8" customWidth="1"/>
    <col min="297" max="298" width="5" style="3" customWidth="1"/>
    <col min="299" max="300" width="4.88671875" style="3" customWidth="1"/>
    <col min="301" max="301" width="4" style="3" customWidth="1"/>
    <col min="302" max="302" width="5" style="3" customWidth="1"/>
    <col min="303" max="304" width="5.88671875" style="3" customWidth="1"/>
    <col min="305" max="306" width="4.88671875" style="3" customWidth="1"/>
    <col min="307" max="307" width="4.5546875" style="3" customWidth="1"/>
    <col min="308" max="308" width="4.109375" style="3" customWidth="1"/>
    <col min="309" max="313" width="4.33203125" style="3" customWidth="1"/>
    <col min="314" max="317" width="3.88671875" style="3" customWidth="1"/>
    <col min="318" max="319" width="4.109375" style="3" customWidth="1"/>
    <col min="320" max="322" width="3.88671875" style="3" customWidth="1"/>
    <col min="323" max="325" width="4.88671875" style="3" customWidth="1"/>
    <col min="326" max="328" width="4.44140625" style="3" customWidth="1"/>
    <col min="329" max="329" width="4.109375" style="3" customWidth="1"/>
    <col min="330" max="330" width="3.6640625" style="3" customWidth="1"/>
    <col min="331" max="331" width="4.109375" style="3" customWidth="1"/>
    <col min="332" max="332" width="4" style="3" customWidth="1"/>
    <col min="333" max="338" width="4.33203125" style="3" customWidth="1"/>
    <col min="339" max="348" width="4.88671875" style="3" customWidth="1"/>
    <col min="349" max="349" width="5.6640625" style="3" customWidth="1"/>
    <col min="350" max="16384" width="11.44140625" style="3"/>
  </cols>
  <sheetData>
    <row r="1" spans="1:56" x14ac:dyDescent="0.25">
      <c r="A1" s="2" t="s">
        <v>6</v>
      </c>
      <c r="BC1" s="30"/>
    </row>
    <row r="2" spans="1:56" x14ac:dyDescent="0.25">
      <c r="A2" s="4">
        <v>2017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>
        <v>27</v>
      </c>
      <c r="AC2" s="4" t="s">
        <v>33</v>
      </c>
      <c r="AD2" s="4" t="s">
        <v>34</v>
      </c>
      <c r="AE2" s="4">
        <v>30</v>
      </c>
      <c r="AF2" s="4">
        <v>31</v>
      </c>
      <c r="AG2" s="4" t="s">
        <v>35</v>
      </c>
      <c r="AH2" s="4" t="s">
        <v>36</v>
      </c>
      <c r="AI2" s="4" t="s">
        <v>37</v>
      </c>
      <c r="AJ2" s="4">
        <v>35</v>
      </c>
      <c r="AK2" s="4" t="s">
        <v>38</v>
      </c>
      <c r="AL2" s="4" t="s">
        <v>39</v>
      </c>
      <c r="AM2" s="4">
        <v>38</v>
      </c>
      <c r="AN2" s="4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>
        <v>45</v>
      </c>
      <c r="AU2" s="4" t="s">
        <v>45</v>
      </c>
      <c r="AV2" s="4" t="s">
        <v>46</v>
      </c>
      <c r="AW2" s="4" t="s">
        <v>47</v>
      </c>
      <c r="AX2" s="4" t="s">
        <v>48</v>
      </c>
      <c r="AY2" s="4" t="s">
        <v>49</v>
      </c>
      <c r="AZ2" s="4" t="s">
        <v>50</v>
      </c>
      <c r="BA2" s="4" t="s">
        <v>51</v>
      </c>
      <c r="BB2" s="4">
        <v>53</v>
      </c>
      <c r="BC2" s="4" t="s">
        <v>52</v>
      </c>
    </row>
    <row r="3" spans="1:56" x14ac:dyDescent="0.25">
      <c r="A3" s="5" t="s">
        <v>53</v>
      </c>
      <c r="B3" s="8">
        <v>0</v>
      </c>
      <c r="C3" s="8">
        <v>2</v>
      </c>
      <c r="D3" s="3">
        <v>8</v>
      </c>
      <c r="E3" s="3">
        <v>5</v>
      </c>
      <c r="F3" s="3">
        <v>0</v>
      </c>
      <c r="G3" s="3">
        <v>7</v>
      </c>
      <c r="H3" s="3">
        <v>1</v>
      </c>
      <c r="I3" s="3">
        <v>4</v>
      </c>
      <c r="J3" s="3">
        <v>9</v>
      </c>
      <c r="K3" s="3">
        <v>6</v>
      </c>
      <c r="L3" s="3">
        <v>12</v>
      </c>
      <c r="M3" s="3">
        <v>18</v>
      </c>
      <c r="N3" s="3">
        <v>11</v>
      </c>
      <c r="O3" s="3">
        <v>12</v>
      </c>
      <c r="P3" s="3">
        <v>13</v>
      </c>
      <c r="Q3" s="3">
        <v>23</v>
      </c>
      <c r="R3" s="3">
        <v>7</v>
      </c>
      <c r="S3" s="3">
        <v>3</v>
      </c>
      <c r="T3" s="3">
        <v>13</v>
      </c>
      <c r="U3" s="3">
        <v>8</v>
      </c>
      <c r="V3" s="3">
        <v>2</v>
      </c>
      <c r="W3" s="3">
        <v>3</v>
      </c>
      <c r="X3" s="3">
        <v>2</v>
      </c>
      <c r="Y3" s="3">
        <v>1</v>
      </c>
      <c r="Z3" s="3">
        <v>6</v>
      </c>
      <c r="AA3" s="3">
        <v>1</v>
      </c>
      <c r="AB3" s="3">
        <v>0</v>
      </c>
      <c r="AC3" s="3">
        <v>1</v>
      </c>
      <c r="AD3" s="3">
        <v>1</v>
      </c>
      <c r="AE3" s="3">
        <v>0</v>
      </c>
      <c r="AF3" s="3">
        <v>0</v>
      </c>
      <c r="AG3" s="3">
        <v>2</v>
      </c>
      <c r="AH3" s="3">
        <v>2</v>
      </c>
      <c r="AI3" s="3">
        <v>2</v>
      </c>
      <c r="AJ3" s="3">
        <v>0</v>
      </c>
      <c r="AK3" s="3">
        <v>2</v>
      </c>
      <c r="AL3" s="3">
        <v>3</v>
      </c>
      <c r="AM3" s="3">
        <v>0</v>
      </c>
      <c r="AN3" s="3">
        <v>0</v>
      </c>
      <c r="AO3" s="3">
        <v>6</v>
      </c>
      <c r="AP3" s="3">
        <v>3</v>
      </c>
      <c r="AQ3" s="3">
        <v>3</v>
      </c>
      <c r="AR3" s="3">
        <v>1</v>
      </c>
      <c r="AS3" s="3">
        <v>3</v>
      </c>
      <c r="AT3" s="3">
        <v>0</v>
      </c>
      <c r="AU3" s="3">
        <v>5</v>
      </c>
      <c r="AV3" s="3">
        <v>3</v>
      </c>
      <c r="AW3" s="3">
        <v>2</v>
      </c>
      <c r="AX3" s="3">
        <v>4</v>
      </c>
      <c r="AY3" s="3">
        <v>4</v>
      </c>
      <c r="AZ3" s="3">
        <v>3</v>
      </c>
      <c r="BA3" s="3">
        <v>4</v>
      </c>
      <c r="BC3" s="30">
        <f>SUM(B3:BA3)</f>
        <v>231</v>
      </c>
    </row>
    <row r="4" spans="1:56" x14ac:dyDescent="0.25">
      <c r="A4" s="5" t="s">
        <v>54</v>
      </c>
      <c r="B4" s="8">
        <v>0</v>
      </c>
      <c r="C4" s="30">
        <v>0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1</v>
      </c>
      <c r="L4" s="1">
        <v>2</v>
      </c>
      <c r="M4" s="1">
        <v>1</v>
      </c>
      <c r="N4" s="1">
        <v>0</v>
      </c>
      <c r="O4" s="1">
        <v>1</v>
      </c>
      <c r="P4" s="1">
        <v>2</v>
      </c>
      <c r="Q4" s="1">
        <v>3</v>
      </c>
      <c r="R4" s="1">
        <v>1</v>
      </c>
      <c r="S4" s="1">
        <v>0</v>
      </c>
      <c r="T4" s="1">
        <v>1</v>
      </c>
      <c r="U4" s="1">
        <v>2</v>
      </c>
      <c r="V4" s="1">
        <v>0</v>
      </c>
      <c r="W4" s="1">
        <v>2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/>
      <c r="BC4" s="30">
        <f>SUM(B4:BA4)</f>
        <v>20</v>
      </c>
    </row>
    <row r="5" spans="1:56" x14ac:dyDescent="0.25">
      <c r="A5" s="5"/>
      <c r="C5" s="3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30"/>
    </row>
    <row r="6" spans="1:56" x14ac:dyDescent="0.25">
      <c r="A6" s="5"/>
      <c r="C6" s="3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30"/>
    </row>
    <row r="7" spans="1:56" x14ac:dyDescent="0.25">
      <c r="A7" s="6" t="s">
        <v>55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  <c r="M7" s="4" t="s">
        <v>18</v>
      </c>
      <c r="N7" s="4" t="s">
        <v>19</v>
      </c>
      <c r="O7" s="4" t="s">
        <v>20</v>
      </c>
      <c r="P7" s="4" t="s">
        <v>21</v>
      </c>
      <c r="Q7" s="4" t="s">
        <v>22</v>
      </c>
      <c r="R7" s="4" t="s">
        <v>23</v>
      </c>
      <c r="S7" s="4" t="s">
        <v>24</v>
      </c>
      <c r="T7" s="4" t="s">
        <v>25</v>
      </c>
      <c r="U7" s="4" t="s">
        <v>26</v>
      </c>
      <c r="V7" s="4" t="s">
        <v>27</v>
      </c>
      <c r="W7" s="4" t="s">
        <v>28</v>
      </c>
      <c r="X7" s="4" t="s">
        <v>29</v>
      </c>
      <c r="Y7" s="4" t="s">
        <v>30</v>
      </c>
      <c r="Z7" s="4" t="s">
        <v>31</v>
      </c>
      <c r="AA7" s="4" t="s">
        <v>32</v>
      </c>
      <c r="AB7" s="4">
        <v>27</v>
      </c>
      <c r="AC7" s="4" t="s">
        <v>33</v>
      </c>
      <c r="AD7" s="4" t="s">
        <v>34</v>
      </c>
      <c r="AE7" s="4">
        <v>30</v>
      </c>
      <c r="AF7" s="4">
        <v>31</v>
      </c>
      <c r="AG7" s="4" t="s">
        <v>35</v>
      </c>
      <c r="AH7" s="4" t="s">
        <v>36</v>
      </c>
      <c r="AI7" s="4" t="s">
        <v>37</v>
      </c>
      <c r="AJ7" s="4">
        <v>35</v>
      </c>
      <c r="AK7" s="4" t="s">
        <v>38</v>
      </c>
      <c r="AL7" s="4" t="s">
        <v>39</v>
      </c>
      <c r="AM7" s="4">
        <v>38</v>
      </c>
      <c r="AN7" s="4">
        <v>39</v>
      </c>
      <c r="AO7" s="4" t="s">
        <v>40</v>
      </c>
      <c r="AP7" s="4" t="s">
        <v>41</v>
      </c>
      <c r="AQ7" s="4" t="s">
        <v>42</v>
      </c>
      <c r="AR7" s="4" t="s">
        <v>43</v>
      </c>
      <c r="AS7" s="4" t="s">
        <v>44</v>
      </c>
      <c r="AT7" s="4">
        <v>45</v>
      </c>
      <c r="AU7" s="4" t="s">
        <v>45</v>
      </c>
      <c r="AV7" s="4" t="s">
        <v>46</v>
      </c>
      <c r="AW7" s="4" t="s">
        <v>47</v>
      </c>
      <c r="AX7" s="4" t="s">
        <v>48</v>
      </c>
      <c r="AY7" s="4" t="s">
        <v>49</v>
      </c>
      <c r="AZ7" s="4" t="s">
        <v>50</v>
      </c>
      <c r="BA7" s="4" t="s">
        <v>51</v>
      </c>
      <c r="BB7" s="4"/>
      <c r="BC7" s="4" t="s">
        <v>52</v>
      </c>
    </row>
    <row r="8" spans="1:56" x14ac:dyDescent="0.25">
      <c r="A8" s="5" t="s">
        <v>53</v>
      </c>
      <c r="B8" s="8">
        <v>8</v>
      </c>
      <c r="C8" s="30">
        <v>6</v>
      </c>
      <c r="D8" s="1">
        <v>6</v>
      </c>
      <c r="E8" s="1">
        <v>3</v>
      </c>
      <c r="F8" s="1">
        <v>6</v>
      </c>
      <c r="G8" s="1">
        <v>3</v>
      </c>
      <c r="H8" s="1">
        <v>3</v>
      </c>
      <c r="I8" s="1">
        <v>9</v>
      </c>
      <c r="J8" s="1">
        <v>5</v>
      </c>
      <c r="K8" s="1">
        <v>18</v>
      </c>
      <c r="L8" s="1">
        <v>6</v>
      </c>
      <c r="M8" s="1">
        <v>16</v>
      </c>
      <c r="N8" s="1">
        <v>7</v>
      </c>
      <c r="O8" s="1">
        <v>15</v>
      </c>
      <c r="P8" s="1">
        <v>7</v>
      </c>
      <c r="Q8" s="1">
        <v>10</v>
      </c>
      <c r="R8" s="1">
        <v>18</v>
      </c>
      <c r="S8" s="1">
        <v>14</v>
      </c>
      <c r="T8" s="1">
        <v>5</v>
      </c>
      <c r="U8" s="1">
        <v>8</v>
      </c>
      <c r="V8" s="3">
        <v>3</v>
      </c>
      <c r="W8" s="3">
        <v>1</v>
      </c>
      <c r="X8" s="3">
        <v>0</v>
      </c>
      <c r="Y8" s="3">
        <v>0</v>
      </c>
      <c r="Z8" s="3">
        <v>1</v>
      </c>
      <c r="AA8" s="3">
        <v>2</v>
      </c>
      <c r="AB8" s="3">
        <v>1</v>
      </c>
      <c r="AC8" s="3">
        <v>1</v>
      </c>
      <c r="AD8" s="3">
        <v>0</v>
      </c>
      <c r="AE8" s="3">
        <v>0</v>
      </c>
      <c r="AF8" s="3">
        <v>2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2</v>
      </c>
      <c r="AM8" s="3">
        <v>0</v>
      </c>
      <c r="AN8" s="3">
        <v>0</v>
      </c>
      <c r="AO8" s="3">
        <v>0</v>
      </c>
      <c r="AP8" s="3">
        <v>2</v>
      </c>
      <c r="AQ8" s="3">
        <v>4</v>
      </c>
      <c r="AR8" s="3">
        <v>0</v>
      </c>
      <c r="AS8" s="3">
        <v>1</v>
      </c>
      <c r="AT8" s="3">
        <v>8</v>
      </c>
      <c r="AU8" s="3">
        <v>1</v>
      </c>
      <c r="AV8" s="3">
        <v>1</v>
      </c>
      <c r="AW8" s="3">
        <v>3</v>
      </c>
      <c r="AX8" s="3">
        <v>1</v>
      </c>
      <c r="AY8" s="3">
        <v>2</v>
      </c>
      <c r="AZ8" s="3">
        <v>2</v>
      </c>
      <c r="BA8" s="3">
        <v>2</v>
      </c>
      <c r="BC8" s="30">
        <f>SUM(B8:BA8)</f>
        <v>213</v>
      </c>
      <c r="BD8" s="8">
        <f>SUM(B8:BA8)</f>
        <v>213</v>
      </c>
    </row>
    <row r="9" spans="1:56" x14ac:dyDescent="0.25">
      <c r="A9" s="5" t="s">
        <v>54</v>
      </c>
      <c r="B9" s="8">
        <v>0</v>
      </c>
      <c r="C9" s="8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2</v>
      </c>
      <c r="N9" s="3">
        <v>1</v>
      </c>
      <c r="O9" s="3">
        <v>1</v>
      </c>
      <c r="P9" s="3">
        <v>0</v>
      </c>
      <c r="Q9" s="3">
        <v>0</v>
      </c>
      <c r="R9" s="3">
        <v>2</v>
      </c>
      <c r="S9" s="3">
        <v>1</v>
      </c>
      <c r="T9" s="3">
        <v>0</v>
      </c>
      <c r="U9" s="3">
        <v>2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C9" s="30">
        <f>SUM(B9:BA9)</f>
        <v>9</v>
      </c>
      <c r="BD9" s="8">
        <f>SUM(B9:BA9)</f>
        <v>9</v>
      </c>
    </row>
    <row r="10" spans="1:56" x14ac:dyDescent="0.25">
      <c r="BC10" s="30"/>
    </row>
    <row r="11" spans="1:56" x14ac:dyDescent="0.25">
      <c r="BC11" s="30"/>
    </row>
    <row r="12" spans="1:56" x14ac:dyDescent="0.25">
      <c r="A12" s="8">
        <v>2019</v>
      </c>
      <c r="B12" s="4" t="s">
        <v>7</v>
      </c>
      <c r="C12" s="4" t="s">
        <v>8</v>
      </c>
      <c r="D12" s="4" t="s">
        <v>9</v>
      </c>
      <c r="E12" s="4" t="s">
        <v>10</v>
      </c>
      <c r="F12" s="4" t="s">
        <v>11</v>
      </c>
      <c r="G12" s="4" t="s">
        <v>12</v>
      </c>
      <c r="H12" s="4" t="s">
        <v>13</v>
      </c>
      <c r="I12" s="4" t="s">
        <v>14</v>
      </c>
      <c r="J12" s="4" t="s">
        <v>15</v>
      </c>
      <c r="K12" s="4" t="s">
        <v>16</v>
      </c>
      <c r="L12" s="4" t="s">
        <v>17</v>
      </c>
      <c r="M12" s="4" t="s">
        <v>18</v>
      </c>
      <c r="N12" s="4" t="s">
        <v>19</v>
      </c>
      <c r="O12" s="4" t="s">
        <v>20</v>
      </c>
      <c r="P12" s="4" t="s">
        <v>21</v>
      </c>
      <c r="Q12" s="4" t="s">
        <v>22</v>
      </c>
      <c r="R12" s="4" t="s">
        <v>23</v>
      </c>
      <c r="S12" s="4" t="s">
        <v>24</v>
      </c>
      <c r="T12" s="4" t="s">
        <v>25</v>
      </c>
      <c r="U12" s="4" t="s">
        <v>26</v>
      </c>
      <c r="V12" s="4" t="s">
        <v>27</v>
      </c>
      <c r="W12" s="4" t="s">
        <v>28</v>
      </c>
      <c r="X12" s="4" t="s">
        <v>29</v>
      </c>
      <c r="Y12" s="4" t="s">
        <v>30</v>
      </c>
      <c r="Z12" s="4" t="s">
        <v>31</v>
      </c>
      <c r="AA12" s="4" t="s">
        <v>32</v>
      </c>
      <c r="AB12" s="4">
        <v>27</v>
      </c>
      <c r="AC12" s="4" t="s">
        <v>33</v>
      </c>
      <c r="AD12" s="4" t="s">
        <v>34</v>
      </c>
      <c r="AE12" s="4">
        <v>30</v>
      </c>
      <c r="AF12" s="4">
        <v>31</v>
      </c>
      <c r="AG12" s="4" t="s">
        <v>35</v>
      </c>
      <c r="AH12" s="4" t="s">
        <v>36</v>
      </c>
      <c r="AI12" s="4" t="s">
        <v>37</v>
      </c>
      <c r="AJ12" s="4">
        <v>35</v>
      </c>
      <c r="AK12" s="4" t="s">
        <v>38</v>
      </c>
      <c r="AL12" s="4" t="s">
        <v>39</v>
      </c>
      <c r="AM12" s="4">
        <v>38</v>
      </c>
      <c r="AN12" s="4">
        <v>39</v>
      </c>
      <c r="AO12" s="4" t="s">
        <v>40</v>
      </c>
      <c r="AP12" s="4" t="s">
        <v>41</v>
      </c>
      <c r="AQ12" s="4" t="s">
        <v>42</v>
      </c>
      <c r="AR12" s="4" t="s">
        <v>43</v>
      </c>
      <c r="AS12" s="4" t="s">
        <v>44</v>
      </c>
      <c r="AT12" s="4">
        <v>45</v>
      </c>
      <c r="AU12" s="4" t="s">
        <v>45</v>
      </c>
      <c r="AV12" s="4" t="s">
        <v>46</v>
      </c>
      <c r="AW12" s="4" t="s">
        <v>47</v>
      </c>
      <c r="AX12" s="4" t="s">
        <v>48</v>
      </c>
      <c r="AY12" s="4" t="s">
        <v>49</v>
      </c>
      <c r="AZ12" s="4" t="s">
        <v>50</v>
      </c>
      <c r="BA12" s="4" t="s">
        <v>51</v>
      </c>
      <c r="BB12" s="4"/>
      <c r="BC12" s="4" t="s">
        <v>52</v>
      </c>
    </row>
    <row r="13" spans="1:56" x14ac:dyDescent="0.25">
      <c r="A13" s="5" t="s">
        <v>53</v>
      </c>
      <c r="B13" s="8">
        <v>5</v>
      </c>
      <c r="C13" s="8">
        <v>4</v>
      </c>
      <c r="D13" s="3">
        <v>4</v>
      </c>
      <c r="E13" s="3">
        <v>4</v>
      </c>
      <c r="F13" s="3">
        <v>5</v>
      </c>
      <c r="G13" s="3">
        <v>5</v>
      </c>
      <c r="H13" s="3">
        <v>3</v>
      </c>
      <c r="I13" s="3">
        <v>9</v>
      </c>
      <c r="J13" s="3">
        <v>4</v>
      </c>
      <c r="K13" s="3">
        <v>4</v>
      </c>
      <c r="L13" s="3">
        <v>2</v>
      </c>
      <c r="M13" s="3">
        <v>8</v>
      </c>
      <c r="N13" s="3">
        <v>7</v>
      </c>
      <c r="O13" s="3">
        <v>4</v>
      </c>
      <c r="P13" s="3">
        <v>4</v>
      </c>
      <c r="Q13" s="3">
        <v>1</v>
      </c>
      <c r="R13" s="3">
        <v>5</v>
      </c>
      <c r="S13" s="3">
        <v>2</v>
      </c>
      <c r="T13" s="3">
        <v>3</v>
      </c>
      <c r="U13" s="3">
        <v>2</v>
      </c>
      <c r="V13" s="3">
        <v>3</v>
      </c>
      <c r="W13" s="3">
        <v>4</v>
      </c>
      <c r="X13" s="3">
        <v>2</v>
      </c>
      <c r="Y13" s="3">
        <v>2</v>
      </c>
      <c r="Z13" s="3">
        <v>1</v>
      </c>
      <c r="AA13" s="3">
        <v>3</v>
      </c>
      <c r="AB13" s="3">
        <v>2</v>
      </c>
      <c r="AC13" s="3">
        <v>4</v>
      </c>
      <c r="AD13" s="3">
        <v>3</v>
      </c>
      <c r="AE13" s="3">
        <v>2</v>
      </c>
      <c r="AF13" s="3">
        <v>0</v>
      </c>
      <c r="AG13" s="3">
        <v>2</v>
      </c>
      <c r="AH13" s="3">
        <v>3</v>
      </c>
      <c r="AI13" s="3">
        <v>4</v>
      </c>
      <c r="AJ13" s="3">
        <v>2</v>
      </c>
      <c r="AK13" s="3">
        <v>0</v>
      </c>
      <c r="AL13" s="3">
        <v>1</v>
      </c>
      <c r="AM13" s="3">
        <v>0</v>
      </c>
      <c r="AN13" s="3">
        <v>0</v>
      </c>
      <c r="AO13" s="3">
        <v>5</v>
      </c>
      <c r="AP13" s="3">
        <v>0</v>
      </c>
      <c r="AQ13" s="3">
        <v>4</v>
      </c>
      <c r="AR13" s="3">
        <v>1</v>
      </c>
      <c r="AS13" s="3">
        <v>4</v>
      </c>
      <c r="AT13" s="3">
        <v>3</v>
      </c>
      <c r="AU13" s="3">
        <v>3</v>
      </c>
      <c r="AV13" s="3">
        <v>2</v>
      </c>
      <c r="AW13" s="3">
        <v>7</v>
      </c>
      <c r="AX13" s="3">
        <v>4</v>
      </c>
      <c r="AY13" s="3">
        <v>10</v>
      </c>
      <c r="AZ13" s="3">
        <v>17</v>
      </c>
      <c r="BA13" s="3">
        <v>38</v>
      </c>
      <c r="BC13" s="30">
        <f>SUM(B13:BA13)</f>
        <v>221</v>
      </c>
      <c r="BD13" s="8">
        <f>BC13</f>
        <v>221</v>
      </c>
    </row>
    <row r="14" spans="1:56" x14ac:dyDescent="0.25">
      <c r="A14" s="5" t="s">
        <v>54</v>
      </c>
      <c r="B14" s="8">
        <v>0</v>
      </c>
      <c r="C14" s="8">
        <v>0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1</v>
      </c>
      <c r="J14" s="3">
        <v>2</v>
      </c>
      <c r="K14" s="3">
        <v>0</v>
      </c>
      <c r="L14" s="3">
        <v>0</v>
      </c>
      <c r="M14" s="3">
        <v>1</v>
      </c>
      <c r="N14" s="3">
        <v>0</v>
      </c>
      <c r="O14" s="3">
        <v>1</v>
      </c>
      <c r="P14" s="3">
        <v>1</v>
      </c>
      <c r="Q14" s="3">
        <v>0</v>
      </c>
      <c r="R14" s="3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4</v>
      </c>
      <c r="AX14" s="3">
        <v>0</v>
      </c>
      <c r="AY14" s="3">
        <v>3</v>
      </c>
      <c r="AZ14" s="3">
        <v>9</v>
      </c>
      <c r="BA14" s="3">
        <v>28</v>
      </c>
      <c r="BC14" s="30">
        <f>SUM(B14:BA14)</f>
        <v>55</v>
      </c>
      <c r="BD14" s="8">
        <f>BC14</f>
        <v>55</v>
      </c>
    </row>
    <row r="15" spans="1:56" x14ac:dyDescent="0.25">
      <c r="A15" s="5"/>
      <c r="BC15" s="30"/>
    </row>
    <row r="16" spans="1:56" x14ac:dyDescent="0.25">
      <c r="A16" s="5"/>
      <c r="B16" s="4"/>
      <c r="BC16" s="30"/>
    </row>
    <row r="17" spans="1:57" ht="15.6" x14ac:dyDescent="0.25">
      <c r="A17" s="42" t="s">
        <v>95</v>
      </c>
      <c r="B17" s="4" t="s">
        <v>7</v>
      </c>
      <c r="C17" s="4" t="s">
        <v>8</v>
      </c>
      <c r="D17" s="4" t="s">
        <v>9</v>
      </c>
      <c r="E17" s="4" t="s">
        <v>10</v>
      </c>
      <c r="F17" s="4" t="s">
        <v>11</v>
      </c>
      <c r="G17" s="4" t="s">
        <v>12</v>
      </c>
      <c r="H17" s="4" t="s">
        <v>13</v>
      </c>
      <c r="I17" s="4" t="s">
        <v>14</v>
      </c>
      <c r="J17" s="4" t="s">
        <v>15</v>
      </c>
      <c r="K17" s="4" t="s">
        <v>16</v>
      </c>
      <c r="L17" s="4" t="s">
        <v>17</v>
      </c>
      <c r="M17" s="4" t="s">
        <v>18</v>
      </c>
      <c r="N17" s="4" t="s">
        <v>19</v>
      </c>
      <c r="O17" s="4" t="s">
        <v>20</v>
      </c>
      <c r="P17" s="4" t="s">
        <v>21</v>
      </c>
      <c r="Q17" s="4" t="s">
        <v>22</v>
      </c>
      <c r="R17" s="4" t="s">
        <v>23</v>
      </c>
      <c r="S17" s="4" t="s">
        <v>24</v>
      </c>
      <c r="T17" s="4" t="s">
        <v>25</v>
      </c>
      <c r="U17" s="4" t="s">
        <v>26</v>
      </c>
      <c r="V17" s="4" t="s">
        <v>27</v>
      </c>
      <c r="W17" s="4" t="s">
        <v>28</v>
      </c>
      <c r="X17" s="4" t="s">
        <v>29</v>
      </c>
      <c r="Y17" s="4" t="s">
        <v>30</v>
      </c>
      <c r="Z17" s="4" t="s">
        <v>31</v>
      </c>
      <c r="AA17" s="4" t="s">
        <v>32</v>
      </c>
      <c r="AB17" s="4">
        <v>27</v>
      </c>
      <c r="AC17" s="4" t="s">
        <v>33</v>
      </c>
      <c r="AD17" s="4" t="s">
        <v>34</v>
      </c>
      <c r="AE17" s="4">
        <v>30</v>
      </c>
      <c r="AF17" s="4">
        <v>31</v>
      </c>
      <c r="AG17" s="4" t="s">
        <v>35</v>
      </c>
      <c r="AH17" s="4" t="s">
        <v>36</v>
      </c>
      <c r="AI17" s="4" t="s">
        <v>37</v>
      </c>
      <c r="AJ17" s="4">
        <v>35</v>
      </c>
      <c r="AK17" s="4" t="s">
        <v>38</v>
      </c>
      <c r="AL17" s="4" t="s">
        <v>39</v>
      </c>
      <c r="AM17" s="4">
        <v>38</v>
      </c>
      <c r="AN17" s="4">
        <v>39</v>
      </c>
      <c r="AO17" s="4" t="s">
        <v>40</v>
      </c>
      <c r="AP17" s="4" t="s">
        <v>41</v>
      </c>
      <c r="AQ17" s="4" t="s">
        <v>42</v>
      </c>
      <c r="AR17" s="4" t="s">
        <v>43</v>
      </c>
      <c r="AS17" s="4" t="s">
        <v>44</v>
      </c>
      <c r="AT17" s="4">
        <v>45</v>
      </c>
      <c r="AU17" s="4" t="s">
        <v>45</v>
      </c>
      <c r="AV17" s="4" t="s">
        <v>46</v>
      </c>
      <c r="AW17" s="4" t="s">
        <v>47</v>
      </c>
      <c r="AX17" s="4" t="s">
        <v>48</v>
      </c>
      <c r="AY17" s="4" t="s">
        <v>49</v>
      </c>
      <c r="AZ17" s="4" t="s">
        <v>50</v>
      </c>
      <c r="BA17" s="4" t="s">
        <v>51</v>
      </c>
      <c r="BB17" s="4">
        <v>53</v>
      </c>
      <c r="BC17" s="30">
        <v>2019</v>
      </c>
      <c r="BD17" s="8">
        <v>2020</v>
      </c>
    </row>
    <row r="18" spans="1:57" x14ac:dyDescent="0.25">
      <c r="A18" s="5" t="s">
        <v>53</v>
      </c>
      <c r="B18" s="4">
        <v>22</v>
      </c>
      <c r="C18" s="8">
        <v>132</v>
      </c>
      <c r="D18" s="3">
        <v>197</v>
      </c>
      <c r="E18" s="3">
        <v>185</v>
      </c>
      <c r="F18" s="3">
        <v>307</v>
      </c>
      <c r="G18" s="3">
        <v>380</v>
      </c>
      <c r="H18" s="3">
        <v>440</v>
      </c>
      <c r="I18" s="3">
        <v>373</v>
      </c>
      <c r="J18" s="3">
        <v>293</v>
      </c>
      <c r="K18" s="3">
        <v>222</v>
      </c>
      <c r="L18" s="3">
        <v>269</v>
      </c>
      <c r="M18" s="3">
        <v>224</v>
      </c>
      <c r="N18" s="3">
        <v>175</v>
      </c>
      <c r="O18" s="3">
        <v>197</v>
      </c>
      <c r="P18" s="3">
        <v>215</v>
      </c>
      <c r="Q18" s="3">
        <v>128</v>
      </c>
      <c r="R18" s="3">
        <v>91</v>
      </c>
      <c r="S18" s="3">
        <v>48</v>
      </c>
      <c r="T18" s="3">
        <v>54</v>
      </c>
      <c r="U18" s="3">
        <v>40</v>
      </c>
      <c r="V18" s="3">
        <v>15</v>
      </c>
      <c r="W18" s="3">
        <v>11</v>
      </c>
      <c r="X18" s="3">
        <v>8</v>
      </c>
      <c r="Y18" s="3">
        <v>2</v>
      </c>
      <c r="Z18" s="3">
        <v>10</v>
      </c>
      <c r="AA18" s="3">
        <v>4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  <c r="AI18" s="3">
        <v>1</v>
      </c>
      <c r="AJ18" s="3">
        <v>1</v>
      </c>
      <c r="AK18" s="3">
        <v>1</v>
      </c>
      <c r="AL18" s="72">
        <v>0</v>
      </c>
      <c r="AM18" s="72">
        <v>0</v>
      </c>
      <c r="AN18" s="3">
        <v>3</v>
      </c>
      <c r="AO18" s="3">
        <v>0</v>
      </c>
      <c r="AP18" s="3">
        <v>1</v>
      </c>
      <c r="AQ18" s="3">
        <v>4</v>
      </c>
      <c r="AR18" s="3">
        <v>2</v>
      </c>
      <c r="AS18" s="3">
        <v>2</v>
      </c>
      <c r="AT18" s="3">
        <v>3</v>
      </c>
      <c r="AU18" s="3">
        <v>4</v>
      </c>
      <c r="AV18" s="3">
        <v>4</v>
      </c>
      <c r="AW18" s="3">
        <v>3</v>
      </c>
      <c r="AX18" s="3">
        <v>7</v>
      </c>
      <c r="AY18" s="3">
        <v>2</v>
      </c>
      <c r="AZ18" s="3">
        <v>12</v>
      </c>
      <c r="BA18" s="3">
        <v>13</v>
      </c>
      <c r="BB18" s="3">
        <v>4</v>
      </c>
      <c r="BC18" s="30">
        <f>SUM(B13:BA13)</f>
        <v>221</v>
      </c>
      <c r="BD18" s="8">
        <f>SUM(B18:BB18)</f>
        <v>4110</v>
      </c>
    </row>
    <row r="19" spans="1:57" x14ac:dyDescent="0.25">
      <c r="A19" s="5" t="s">
        <v>54</v>
      </c>
      <c r="B19" s="4">
        <v>9</v>
      </c>
      <c r="C19" s="8">
        <v>85</v>
      </c>
      <c r="D19" s="3">
        <v>127</v>
      </c>
      <c r="E19" s="3">
        <v>126</v>
      </c>
      <c r="F19" s="3">
        <v>188</v>
      </c>
      <c r="G19" s="3">
        <v>231</v>
      </c>
      <c r="H19" s="3">
        <v>304</v>
      </c>
      <c r="I19" s="3">
        <v>217</v>
      </c>
      <c r="J19" s="3">
        <v>156</v>
      </c>
      <c r="K19" s="3">
        <v>116</v>
      </c>
      <c r="L19" s="3">
        <v>155</v>
      </c>
      <c r="M19" s="3">
        <v>152</v>
      </c>
      <c r="N19" s="3">
        <v>128</v>
      </c>
      <c r="O19" s="3">
        <v>156</v>
      </c>
      <c r="P19" s="3">
        <v>177</v>
      </c>
      <c r="Q19" s="3">
        <v>87</v>
      </c>
      <c r="R19" s="3">
        <v>68</v>
      </c>
      <c r="S19" s="3">
        <v>32</v>
      </c>
      <c r="T19" s="3">
        <v>33</v>
      </c>
      <c r="U19" s="3">
        <v>19</v>
      </c>
      <c r="V19" s="3">
        <v>9</v>
      </c>
      <c r="W19" s="3">
        <v>6</v>
      </c>
      <c r="X19" s="3">
        <v>2</v>
      </c>
      <c r="Y19" s="3">
        <v>1</v>
      </c>
      <c r="Z19" s="3">
        <v>2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1</v>
      </c>
      <c r="AZ19" s="3">
        <v>0</v>
      </c>
      <c r="BA19" s="3">
        <v>2</v>
      </c>
      <c r="BB19" s="3">
        <v>0</v>
      </c>
      <c r="BC19" s="30">
        <f>SUM(B14:BA14)</f>
        <v>55</v>
      </c>
      <c r="BD19" s="8">
        <f>SUM(B19:BB19)</f>
        <v>2589</v>
      </c>
    </row>
    <row r="20" spans="1:57" x14ac:dyDescent="0.25">
      <c r="A20" s="5"/>
      <c r="B20" s="4"/>
      <c r="BC20" s="30"/>
    </row>
    <row r="21" spans="1:57" x14ac:dyDescent="0.25">
      <c r="B21" s="4"/>
      <c r="BC21" s="30"/>
    </row>
    <row r="22" spans="1:57" ht="15.6" x14ac:dyDescent="0.25">
      <c r="A22" s="42" t="s">
        <v>109</v>
      </c>
      <c r="B22" s="4" t="s">
        <v>7</v>
      </c>
      <c r="C22" s="4" t="s">
        <v>8</v>
      </c>
      <c r="D22" s="4" t="s">
        <v>9</v>
      </c>
      <c r="E22" s="4" t="s">
        <v>10</v>
      </c>
      <c r="F22" s="4" t="s">
        <v>11</v>
      </c>
      <c r="G22" s="4" t="s">
        <v>12</v>
      </c>
      <c r="H22" s="4" t="s">
        <v>13</v>
      </c>
      <c r="I22" s="4" t="s">
        <v>14</v>
      </c>
      <c r="J22" s="4" t="s">
        <v>15</v>
      </c>
      <c r="K22" s="4" t="s">
        <v>16</v>
      </c>
      <c r="L22" s="4" t="s">
        <v>17</v>
      </c>
      <c r="M22" s="4" t="s">
        <v>18</v>
      </c>
      <c r="N22" s="4" t="s">
        <v>19</v>
      </c>
      <c r="O22" s="4" t="s">
        <v>20</v>
      </c>
      <c r="P22" s="4" t="s">
        <v>21</v>
      </c>
      <c r="Q22" s="4" t="s">
        <v>22</v>
      </c>
      <c r="R22" s="4" t="s">
        <v>23</v>
      </c>
      <c r="S22" s="4" t="s">
        <v>24</v>
      </c>
      <c r="T22" s="4" t="s">
        <v>25</v>
      </c>
      <c r="U22" s="4" t="s">
        <v>26</v>
      </c>
      <c r="V22" s="4" t="s">
        <v>27</v>
      </c>
      <c r="W22" s="4" t="s">
        <v>28</v>
      </c>
      <c r="X22" s="4" t="s">
        <v>29</v>
      </c>
      <c r="Y22" s="4" t="s">
        <v>30</v>
      </c>
      <c r="Z22" s="4" t="s">
        <v>31</v>
      </c>
      <c r="AA22" s="4" t="s">
        <v>32</v>
      </c>
      <c r="AB22" s="4">
        <v>27</v>
      </c>
      <c r="AC22" s="4" t="s">
        <v>33</v>
      </c>
      <c r="AD22" s="4" t="s">
        <v>34</v>
      </c>
      <c r="AE22" s="4">
        <v>30</v>
      </c>
      <c r="AF22" s="4">
        <v>31</v>
      </c>
      <c r="AG22" s="4" t="s">
        <v>35</v>
      </c>
      <c r="AH22" s="4" t="s">
        <v>36</v>
      </c>
      <c r="AI22" s="4" t="s">
        <v>37</v>
      </c>
      <c r="AJ22" s="4">
        <v>35</v>
      </c>
      <c r="AK22" s="4" t="s">
        <v>38</v>
      </c>
      <c r="AL22" s="4" t="s">
        <v>39</v>
      </c>
      <c r="AM22" s="4">
        <v>38</v>
      </c>
      <c r="AN22" s="4">
        <v>39</v>
      </c>
      <c r="AO22" s="4" t="s">
        <v>40</v>
      </c>
      <c r="AP22" s="4" t="s">
        <v>41</v>
      </c>
      <c r="AQ22" s="4" t="s">
        <v>42</v>
      </c>
      <c r="AR22" s="4" t="s">
        <v>43</v>
      </c>
      <c r="AS22" s="4" t="s">
        <v>44</v>
      </c>
      <c r="AT22" s="4">
        <v>45</v>
      </c>
      <c r="AU22" s="4" t="s">
        <v>45</v>
      </c>
      <c r="AV22" s="4" t="s">
        <v>46</v>
      </c>
      <c r="AW22" s="4" t="s">
        <v>47</v>
      </c>
      <c r="AX22" s="4" t="s">
        <v>48</v>
      </c>
      <c r="AY22" s="4" t="s">
        <v>49</v>
      </c>
      <c r="AZ22" s="4" t="s">
        <v>50</v>
      </c>
      <c r="BA22" s="4" t="s">
        <v>51</v>
      </c>
      <c r="BB22" s="4">
        <v>53</v>
      </c>
      <c r="BC22" s="30">
        <v>2020</v>
      </c>
      <c r="BD22" s="8">
        <v>2021</v>
      </c>
    </row>
    <row r="23" spans="1:57" x14ac:dyDescent="0.25">
      <c r="A23" s="5" t="s">
        <v>53</v>
      </c>
      <c r="B23" s="4">
        <v>1</v>
      </c>
      <c r="C23" s="8">
        <v>12</v>
      </c>
      <c r="D23" s="3">
        <v>18</v>
      </c>
      <c r="E23" s="3">
        <v>8</v>
      </c>
      <c r="F23" s="3">
        <v>5</v>
      </c>
      <c r="G23" s="3">
        <v>4</v>
      </c>
      <c r="H23" s="3">
        <v>6</v>
      </c>
      <c r="I23" s="3">
        <v>10</v>
      </c>
      <c r="J23" s="3">
        <v>4</v>
      </c>
      <c r="K23" s="3">
        <v>15</v>
      </c>
      <c r="L23" s="3">
        <v>6</v>
      </c>
      <c r="M23" s="3">
        <v>4</v>
      </c>
      <c r="N23" s="3">
        <v>5</v>
      </c>
      <c r="O23" s="3">
        <v>15</v>
      </c>
      <c r="P23" s="3">
        <v>10</v>
      </c>
      <c r="Q23" s="3">
        <v>6</v>
      </c>
      <c r="R23" s="3">
        <v>8</v>
      </c>
      <c r="S23" s="3">
        <v>4</v>
      </c>
      <c r="T23" s="3">
        <v>6</v>
      </c>
      <c r="U23" s="3">
        <v>5</v>
      </c>
      <c r="V23" s="3">
        <v>1</v>
      </c>
      <c r="W23" s="3">
        <v>0</v>
      </c>
      <c r="X23" s="3">
        <v>0</v>
      </c>
      <c r="Y23" s="3">
        <v>5</v>
      </c>
      <c r="Z23" s="3">
        <v>3</v>
      </c>
      <c r="AA23" s="114">
        <v>1</v>
      </c>
      <c r="AB23" s="114">
        <v>1</v>
      </c>
      <c r="AC23" s="114">
        <v>2</v>
      </c>
      <c r="AD23" s="114">
        <v>1</v>
      </c>
      <c r="AE23" s="3">
        <v>2</v>
      </c>
      <c r="AF23" s="3">
        <v>0</v>
      </c>
      <c r="AG23" s="3">
        <v>0</v>
      </c>
      <c r="AH23" s="3">
        <v>2</v>
      </c>
      <c r="AI23" s="3">
        <v>0</v>
      </c>
      <c r="AJ23" s="3">
        <v>0</v>
      </c>
      <c r="AK23" s="3">
        <v>1</v>
      </c>
      <c r="AL23" s="3">
        <v>2</v>
      </c>
      <c r="AM23" s="3">
        <v>4</v>
      </c>
      <c r="AN23" s="3">
        <v>2</v>
      </c>
      <c r="AO23" s="3">
        <v>6</v>
      </c>
      <c r="AP23" s="3">
        <v>2</v>
      </c>
      <c r="AQ23" s="3">
        <v>6</v>
      </c>
      <c r="AR23" s="3">
        <v>3</v>
      </c>
      <c r="AS23" s="3">
        <v>7</v>
      </c>
      <c r="AT23" s="3">
        <v>3</v>
      </c>
      <c r="AU23" s="3">
        <v>5</v>
      </c>
      <c r="AV23" s="3">
        <v>6</v>
      </c>
      <c r="AW23" s="3">
        <v>2</v>
      </c>
      <c r="AX23" s="3">
        <v>6</v>
      </c>
      <c r="AY23" s="3">
        <v>0</v>
      </c>
      <c r="AZ23" s="3">
        <v>7</v>
      </c>
      <c r="BA23" s="3">
        <v>10</v>
      </c>
      <c r="BC23" s="30">
        <f>SUM(B18:BB18)</f>
        <v>4110</v>
      </c>
      <c r="BD23" s="8">
        <f>SUM(B23:BB23)</f>
        <v>242</v>
      </c>
    </row>
    <row r="24" spans="1:57" x14ac:dyDescent="0.25">
      <c r="A24" s="5" t="s">
        <v>54</v>
      </c>
      <c r="B24" s="4">
        <v>1</v>
      </c>
      <c r="C24" s="4">
        <v>2</v>
      </c>
      <c r="D24" s="3">
        <v>3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0</v>
      </c>
      <c r="K24" s="3">
        <v>1</v>
      </c>
      <c r="L24" s="3">
        <v>0</v>
      </c>
      <c r="M24" s="3">
        <v>1</v>
      </c>
      <c r="N24" s="3">
        <v>0</v>
      </c>
      <c r="O24" s="3">
        <v>6</v>
      </c>
      <c r="P24" s="3">
        <v>2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1</v>
      </c>
      <c r="AN24" s="3">
        <v>0</v>
      </c>
      <c r="AO24" s="3">
        <v>1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2</v>
      </c>
      <c r="BA24" s="3">
        <v>0</v>
      </c>
      <c r="BC24" s="30">
        <f>SUM(B19:BB19)</f>
        <v>2589</v>
      </c>
      <c r="BD24" s="8">
        <f>SUM(B24:BB24)</f>
        <v>27</v>
      </c>
    </row>
    <row r="25" spans="1:57" x14ac:dyDescent="0.25">
      <c r="A25" s="5"/>
      <c r="B25" s="4"/>
      <c r="C25" s="4"/>
      <c r="BC25" s="30"/>
    </row>
    <row r="26" spans="1:57" x14ac:dyDescent="0.25">
      <c r="A26" s="5"/>
      <c r="B26" s="4"/>
      <c r="C26" s="4"/>
      <c r="BC26" s="30"/>
    </row>
    <row r="27" spans="1:57" ht="15.6" x14ac:dyDescent="0.25">
      <c r="A27" s="42" t="s">
        <v>128</v>
      </c>
      <c r="B27" s="4" t="s">
        <v>7</v>
      </c>
      <c r="C27" s="4" t="s">
        <v>8</v>
      </c>
      <c r="D27" s="4" t="s">
        <v>9</v>
      </c>
      <c r="E27" s="4" t="s">
        <v>10</v>
      </c>
      <c r="F27" s="4" t="s">
        <v>11</v>
      </c>
      <c r="G27" s="4" t="s">
        <v>12</v>
      </c>
      <c r="H27" s="4" t="s">
        <v>13</v>
      </c>
      <c r="I27" s="4" t="s">
        <v>14</v>
      </c>
      <c r="J27" s="4" t="s">
        <v>15</v>
      </c>
      <c r="K27" s="4" t="s">
        <v>16</v>
      </c>
      <c r="L27" s="4" t="s">
        <v>17</v>
      </c>
      <c r="M27" s="4" t="s">
        <v>18</v>
      </c>
      <c r="N27" s="4" t="s">
        <v>19</v>
      </c>
      <c r="O27" s="4" t="s">
        <v>20</v>
      </c>
      <c r="P27" s="4" t="s">
        <v>21</v>
      </c>
      <c r="Q27" s="4" t="s">
        <v>22</v>
      </c>
      <c r="R27" s="4" t="s">
        <v>23</v>
      </c>
      <c r="S27" s="4" t="s">
        <v>24</v>
      </c>
      <c r="T27" s="4" t="s">
        <v>25</v>
      </c>
      <c r="U27" s="4" t="s">
        <v>26</v>
      </c>
      <c r="V27" s="4" t="s">
        <v>27</v>
      </c>
      <c r="W27" s="4" t="s">
        <v>28</v>
      </c>
      <c r="X27" s="4" t="s">
        <v>29</v>
      </c>
      <c r="Y27" s="4" t="s">
        <v>30</v>
      </c>
      <c r="Z27" s="4" t="s">
        <v>31</v>
      </c>
      <c r="AA27" s="4" t="s">
        <v>32</v>
      </c>
      <c r="AB27" s="4" t="s">
        <v>121</v>
      </c>
      <c r="AC27" s="4" t="s">
        <v>33</v>
      </c>
      <c r="AD27" s="4" t="s">
        <v>34</v>
      </c>
      <c r="AE27" s="4" t="s">
        <v>122</v>
      </c>
      <c r="AF27" s="4" t="s">
        <v>123</v>
      </c>
      <c r="AG27" s="4" t="s">
        <v>35</v>
      </c>
      <c r="AH27" s="4" t="s">
        <v>36</v>
      </c>
      <c r="AI27" s="4" t="s">
        <v>37</v>
      </c>
      <c r="AJ27" s="4" t="s">
        <v>124</v>
      </c>
      <c r="AK27" s="4" t="s">
        <v>38</v>
      </c>
      <c r="AL27" s="4" t="s">
        <v>39</v>
      </c>
      <c r="AM27" s="4" t="s">
        <v>125</v>
      </c>
      <c r="AN27" s="4" t="s">
        <v>126</v>
      </c>
      <c r="AO27" s="4" t="s">
        <v>40</v>
      </c>
      <c r="AP27" s="4" t="s">
        <v>41</v>
      </c>
      <c r="AQ27" s="4" t="s">
        <v>42</v>
      </c>
      <c r="AR27" s="4" t="s">
        <v>43</v>
      </c>
      <c r="AS27" s="4" t="s">
        <v>44</v>
      </c>
      <c r="AT27" s="4" t="s">
        <v>127</v>
      </c>
      <c r="AU27" s="4" t="s">
        <v>45</v>
      </c>
      <c r="AV27" s="4" t="s">
        <v>46</v>
      </c>
      <c r="AW27" s="4" t="s">
        <v>47</v>
      </c>
      <c r="AX27" s="4" t="s">
        <v>48</v>
      </c>
      <c r="AY27" s="4" t="s">
        <v>49</v>
      </c>
      <c r="AZ27" s="4" t="s">
        <v>50</v>
      </c>
      <c r="BA27" s="4" t="s">
        <v>51</v>
      </c>
      <c r="BC27" s="30">
        <v>2021</v>
      </c>
      <c r="BD27" s="8">
        <v>2022</v>
      </c>
    </row>
    <row r="28" spans="1:57" x14ac:dyDescent="0.25">
      <c r="A28" s="5" t="s">
        <v>53</v>
      </c>
      <c r="B28" s="4">
        <v>13</v>
      </c>
      <c r="C28" s="4">
        <v>8</v>
      </c>
      <c r="D28" s="3">
        <v>19</v>
      </c>
      <c r="E28" s="3">
        <v>7</v>
      </c>
      <c r="F28" s="3">
        <v>2</v>
      </c>
      <c r="G28" s="3">
        <v>10</v>
      </c>
      <c r="H28" s="3">
        <v>6</v>
      </c>
      <c r="I28" s="3">
        <v>9</v>
      </c>
      <c r="J28" s="3">
        <v>23</v>
      </c>
      <c r="K28" s="3">
        <v>29</v>
      </c>
      <c r="L28" s="3">
        <v>32</v>
      </c>
      <c r="M28" s="3">
        <v>31</v>
      </c>
      <c r="N28" s="3">
        <v>16</v>
      </c>
      <c r="O28" s="3">
        <v>21</v>
      </c>
      <c r="P28" s="3">
        <v>15</v>
      </c>
      <c r="Q28" s="3">
        <v>24</v>
      </c>
      <c r="R28" s="3">
        <v>33</v>
      </c>
      <c r="S28" s="3">
        <v>16</v>
      </c>
      <c r="T28" s="3">
        <v>44</v>
      </c>
      <c r="U28" s="3">
        <v>21</v>
      </c>
      <c r="V28" s="3">
        <v>6</v>
      </c>
      <c r="W28" s="3">
        <v>1</v>
      </c>
      <c r="X28" s="3">
        <v>1</v>
      </c>
      <c r="Y28" s="3">
        <v>5</v>
      </c>
      <c r="Z28" s="3">
        <v>6</v>
      </c>
      <c r="AA28" s="3">
        <v>2</v>
      </c>
      <c r="AB28" s="3">
        <v>11</v>
      </c>
      <c r="AC28" s="3">
        <v>7</v>
      </c>
      <c r="AD28" s="3">
        <v>13</v>
      </c>
      <c r="AE28" s="3">
        <v>0</v>
      </c>
      <c r="AF28" s="3">
        <v>1</v>
      </c>
      <c r="AG28" s="3">
        <v>1</v>
      </c>
      <c r="AH28" s="3">
        <v>0</v>
      </c>
      <c r="AI28" s="3">
        <v>0</v>
      </c>
      <c r="AJ28" s="3">
        <v>2</v>
      </c>
      <c r="AK28" s="3">
        <v>2</v>
      </c>
      <c r="AL28" s="3">
        <v>0</v>
      </c>
      <c r="AM28" s="3">
        <v>1</v>
      </c>
      <c r="AN28" s="3">
        <v>4</v>
      </c>
      <c r="AO28" s="3">
        <v>6</v>
      </c>
      <c r="AP28" s="3">
        <v>6</v>
      </c>
      <c r="AQ28" s="3">
        <v>8</v>
      </c>
      <c r="AR28" s="3">
        <v>17</v>
      </c>
      <c r="AS28" s="3">
        <v>10</v>
      </c>
      <c r="AT28" s="3">
        <v>23</v>
      </c>
      <c r="AU28" s="3">
        <v>22</v>
      </c>
      <c r="AV28" s="3">
        <v>20</v>
      </c>
      <c r="AW28" s="3">
        <v>21</v>
      </c>
      <c r="AX28" s="3">
        <v>22</v>
      </c>
      <c r="AY28" s="3">
        <v>32</v>
      </c>
      <c r="AZ28" s="3">
        <v>5</v>
      </c>
      <c r="BA28" s="3">
        <v>16</v>
      </c>
      <c r="BC28" s="30">
        <f>SUM(B23:BA23)</f>
        <v>242</v>
      </c>
      <c r="BD28" s="8">
        <f>SUM(B28:BB28)</f>
        <v>650</v>
      </c>
    </row>
    <row r="29" spans="1:57" x14ac:dyDescent="0.25">
      <c r="A29" s="5" t="s">
        <v>54</v>
      </c>
      <c r="B29" s="4">
        <v>0</v>
      </c>
      <c r="C29" s="4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4</v>
      </c>
      <c r="J29" s="3">
        <v>9</v>
      </c>
      <c r="K29" s="3">
        <v>14</v>
      </c>
      <c r="L29" s="3">
        <v>15</v>
      </c>
      <c r="M29" s="3">
        <v>8</v>
      </c>
      <c r="N29" s="3">
        <v>3</v>
      </c>
      <c r="O29" s="3">
        <v>1</v>
      </c>
      <c r="P29" s="3">
        <v>3</v>
      </c>
      <c r="Q29" s="3">
        <v>4</v>
      </c>
      <c r="R29" s="3">
        <v>13</v>
      </c>
      <c r="S29" s="3">
        <v>4</v>
      </c>
      <c r="T29" s="3">
        <v>8</v>
      </c>
      <c r="U29" s="3">
        <v>6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1</v>
      </c>
      <c r="AW29" s="3">
        <v>0</v>
      </c>
      <c r="AX29" s="3">
        <v>2</v>
      </c>
      <c r="AY29" s="3">
        <v>1</v>
      </c>
      <c r="AZ29" s="3">
        <v>2</v>
      </c>
      <c r="BA29" s="3">
        <v>2</v>
      </c>
      <c r="BC29" s="30">
        <f>SUM(B24:BA24)</f>
        <v>27</v>
      </c>
      <c r="BD29" s="8">
        <f>SUM(B29:BB29)</f>
        <v>102</v>
      </c>
    </row>
    <row r="30" spans="1:57" x14ac:dyDescent="0.25">
      <c r="A30" s="5"/>
      <c r="B30" s="4"/>
      <c r="C30" s="4"/>
      <c r="BC30" s="30"/>
    </row>
    <row r="31" spans="1:57" ht="15.6" x14ac:dyDescent="0.25">
      <c r="A31" s="42" t="s">
        <v>138</v>
      </c>
      <c r="B31" s="4" t="s">
        <v>7</v>
      </c>
      <c r="C31" s="4" t="s">
        <v>8</v>
      </c>
      <c r="D31" s="4" t="s">
        <v>9</v>
      </c>
      <c r="E31" s="4" t="s">
        <v>10</v>
      </c>
      <c r="F31" s="4" t="s">
        <v>11</v>
      </c>
      <c r="G31" s="4" t="s">
        <v>12</v>
      </c>
      <c r="H31" s="4" t="s">
        <v>13</v>
      </c>
      <c r="I31" s="4" t="s">
        <v>14</v>
      </c>
      <c r="J31" s="4" t="s">
        <v>15</v>
      </c>
      <c r="K31" s="4" t="s">
        <v>16</v>
      </c>
      <c r="L31" s="4" t="s">
        <v>17</v>
      </c>
      <c r="M31" s="4" t="s">
        <v>18</v>
      </c>
      <c r="N31" s="4" t="s">
        <v>19</v>
      </c>
      <c r="O31" s="4" t="s">
        <v>20</v>
      </c>
      <c r="P31" s="4" t="s">
        <v>21</v>
      </c>
      <c r="Q31" s="4" t="s">
        <v>22</v>
      </c>
      <c r="R31" s="4" t="s">
        <v>23</v>
      </c>
      <c r="S31" s="4" t="s">
        <v>24</v>
      </c>
      <c r="T31" s="4" t="s">
        <v>25</v>
      </c>
      <c r="U31" s="4" t="s">
        <v>26</v>
      </c>
      <c r="V31" s="4" t="s">
        <v>27</v>
      </c>
      <c r="W31" s="4" t="s">
        <v>28</v>
      </c>
      <c r="X31" s="4" t="s">
        <v>29</v>
      </c>
      <c r="Y31" s="4" t="s">
        <v>30</v>
      </c>
      <c r="Z31" s="4" t="s">
        <v>31</v>
      </c>
      <c r="AA31" s="4" t="s">
        <v>32</v>
      </c>
      <c r="AB31" s="4" t="s">
        <v>121</v>
      </c>
      <c r="AC31" s="4" t="s">
        <v>33</v>
      </c>
      <c r="AD31" s="4" t="s">
        <v>34</v>
      </c>
      <c r="AE31" s="4" t="s">
        <v>122</v>
      </c>
      <c r="AF31" s="4" t="s">
        <v>123</v>
      </c>
      <c r="AG31" s="4" t="s">
        <v>35</v>
      </c>
      <c r="AH31" s="4" t="s">
        <v>36</v>
      </c>
      <c r="AI31" s="4" t="s">
        <v>37</v>
      </c>
      <c r="AJ31" s="4" t="s">
        <v>124</v>
      </c>
      <c r="AK31" s="4" t="s">
        <v>38</v>
      </c>
      <c r="AL31" s="4" t="s">
        <v>39</v>
      </c>
      <c r="AM31" s="4" t="s">
        <v>125</v>
      </c>
      <c r="AN31" s="4" t="s">
        <v>126</v>
      </c>
      <c r="AO31" s="4" t="s">
        <v>40</v>
      </c>
      <c r="AP31" s="4" t="s">
        <v>41</v>
      </c>
      <c r="AQ31" s="4" t="s">
        <v>42</v>
      </c>
      <c r="AR31" s="4" t="s">
        <v>43</v>
      </c>
      <c r="AS31" s="4" t="s">
        <v>44</v>
      </c>
      <c r="AT31" s="4" t="s">
        <v>127</v>
      </c>
      <c r="AU31" s="4" t="s">
        <v>45</v>
      </c>
      <c r="AV31" s="4" t="s">
        <v>46</v>
      </c>
      <c r="AW31" s="4" t="s">
        <v>47</v>
      </c>
      <c r="AX31" s="4" t="s">
        <v>48</v>
      </c>
      <c r="AY31" s="4" t="s">
        <v>49</v>
      </c>
      <c r="AZ31" s="4" t="s">
        <v>50</v>
      </c>
      <c r="BA31" s="4" t="s">
        <v>51</v>
      </c>
      <c r="BC31" s="8">
        <v>2022</v>
      </c>
      <c r="BD31" s="30">
        <v>2023</v>
      </c>
      <c r="BE31" s="30"/>
    </row>
    <row r="32" spans="1:57" x14ac:dyDescent="0.25">
      <c r="A32" s="5" t="s">
        <v>53</v>
      </c>
      <c r="B32" s="4">
        <v>21</v>
      </c>
      <c r="C32" s="4">
        <v>19</v>
      </c>
      <c r="D32" s="3">
        <v>52</v>
      </c>
      <c r="E32" s="3">
        <v>75</v>
      </c>
      <c r="F32" s="3">
        <v>135</v>
      </c>
      <c r="G32" s="3">
        <v>198</v>
      </c>
      <c r="H32" s="3">
        <v>194</v>
      </c>
      <c r="I32" s="3">
        <v>216</v>
      </c>
      <c r="J32" s="3">
        <v>263</v>
      </c>
      <c r="K32" s="3">
        <v>371</v>
      </c>
      <c r="L32" s="3">
        <v>415</v>
      </c>
      <c r="M32" s="3">
        <v>400</v>
      </c>
      <c r="N32" s="3">
        <v>343</v>
      </c>
      <c r="O32" s="3">
        <v>392</v>
      </c>
      <c r="P32" s="3">
        <v>398</v>
      </c>
      <c r="Q32" s="3">
        <v>313</v>
      </c>
      <c r="R32" s="3">
        <v>247</v>
      </c>
      <c r="S32" s="3">
        <v>189</v>
      </c>
      <c r="T32" s="3">
        <v>188</v>
      </c>
      <c r="U32" s="3">
        <v>78</v>
      </c>
      <c r="V32" s="3">
        <v>74</v>
      </c>
      <c r="W32" s="3">
        <v>84</v>
      </c>
      <c r="X32" s="3">
        <v>67</v>
      </c>
      <c r="Y32" s="3">
        <v>31</v>
      </c>
      <c r="Z32" s="3">
        <v>16</v>
      </c>
      <c r="AA32" s="3">
        <v>13</v>
      </c>
      <c r="AB32" s="3">
        <v>7</v>
      </c>
      <c r="AC32" s="3">
        <v>6</v>
      </c>
      <c r="AD32" s="3">
        <v>4</v>
      </c>
      <c r="AE32" s="3">
        <v>3</v>
      </c>
      <c r="AF32" s="3">
        <v>6</v>
      </c>
      <c r="AG32" s="3">
        <v>5</v>
      </c>
      <c r="AH32" s="3">
        <v>4</v>
      </c>
      <c r="AI32" s="3">
        <v>2</v>
      </c>
      <c r="AJ32" s="3">
        <v>2</v>
      </c>
      <c r="AK32" s="3">
        <v>11</v>
      </c>
      <c r="AL32" s="3">
        <v>6</v>
      </c>
      <c r="AM32" s="3">
        <v>8</v>
      </c>
      <c r="AN32" s="3">
        <v>5</v>
      </c>
      <c r="AO32" s="3">
        <v>3</v>
      </c>
      <c r="AP32" s="3">
        <v>5</v>
      </c>
      <c r="AQ32" s="3">
        <v>3</v>
      </c>
      <c r="AR32" s="3">
        <v>10</v>
      </c>
      <c r="AS32" s="3">
        <v>4</v>
      </c>
      <c r="AT32" s="3">
        <v>9</v>
      </c>
      <c r="AU32" s="3">
        <v>8</v>
      </c>
      <c r="AV32" s="3">
        <v>0</v>
      </c>
      <c r="AW32" s="3">
        <v>14</v>
      </c>
      <c r="AX32" s="3">
        <v>12</v>
      </c>
      <c r="AY32" s="3">
        <v>22</v>
      </c>
      <c r="AZ32" s="3">
        <v>11</v>
      </c>
      <c r="BA32" s="3">
        <v>19</v>
      </c>
      <c r="BC32" s="8">
        <f>SUM(A28:BA28)</f>
        <v>650</v>
      </c>
      <c r="BD32" s="30">
        <f>SUM(A32:BA32)</f>
        <v>4981</v>
      </c>
      <c r="BE32" s="30"/>
    </row>
    <row r="33" spans="1:296" x14ac:dyDescent="0.25">
      <c r="A33" s="5" t="s">
        <v>54</v>
      </c>
      <c r="B33" s="4">
        <v>4</v>
      </c>
      <c r="C33" s="4">
        <v>2</v>
      </c>
      <c r="D33" s="3">
        <v>11</v>
      </c>
      <c r="E33" s="3">
        <v>21</v>
      </c>
      <c r="F33" s="3">
        <v>57</v>
      </c>
      <c r="G33" s="3">
        <v>78</v>
      </c>
      <c r="H33" s="3">
        <v>97</v>
      </c>
      <c r="I33" s="3">
        <v>88</v>
      </c>
      <c r="J33" s="3">
        <v>78</v>
      </c>
      <c r="K33" s="3">
        <v>175</v>
      </c>
      <c r="L33" s="3">
        <v>130</v>
      </c>
      <c r="M33" s="3">
        <v>283</v>
      </c>
      <c r="N33" s="3">
        <v>140</v>
      </c>
      <c r="O33" s="3">
        <v>194</v>
      </c>
      <c r="P33" s="3">
        <v>220</v>
      </c>
      <c r="Q33" s="3">
        <v>170</v>
      </c>
      <c r="R33" s="3">
        <v>86</v>
      </c>
      <c r="S33" s="3">
        <v>98</v>
      </c>
      <c r="T33" s="3">
        <v>37</v>
      </c>
      <c r="U33" s="3">
        <v>24</v>
      </c>
      <c r="V33" s="3">
        <v>21</v>
      </c>
      <c r="W33" s="3">
        <v>21</v>
      </c>
      <c r="X33" s="3">
        <v>19</v>
      </c>
      <c r="Y33" s="3">
        <v>9</v>
      </c>
      <c r="Z33" s="3">
        <v>2</v>
      </c>
      <c r="AA33" s="3">
        <v>3</v>
      </c>
      <c r="AB33" s="3">
        <v>4</v>
      </c>
      <c r="AC33" s="3">
        <v>2</v>
      </c>
      <c r="AD33" s="3">
        <v>0</v>
      </c>
      <c r="AE33" s="3">
        <v>0</v>
      </c>
      <c r="AF33" s="3">
        <v>1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1</v>
      </c>
      <c r="AV33" s="3">
        <v>0</v>
      </c>
      <c r="AW33" s="3">
        <v>0</v>
      </c>
      <c r="AX33" s="3">
        <v>0</v>
      </c>
      <c r="AY33" s="3">
        <v>0</v>
      </c>
      <c r="AZ33" s="3">
        <v>1</v>
      </c>
      <c r="BA33" s="3">
        <v>0</v>
      </c>
      <c r="BC33" s="8">
        <f>SUM(A29:BA29)</f>
        <v>102</v>
      </c>
      <c r="BD33" s="30">
        <f>SUM(A33:BA33)</f>
        <v>2077</v>
      </c>
      <c r="BE33" s="30"/>
    </row>
    <row r="34" spans="1:296" x14ac:dyDescent="0.25">
      <c r="B34" s="4"/>
      <c r="BC34" s="30"/>
    </row>
    <row r="35" spans="1:296" ht="15.6" x14ac:dyDescent="0.25">
      <c r="A35" s="42" t="s">
        <v>169</v>
      </c>
      <c r="B35" s="4" t="s">
        <v>7</v>
      </c>
      <c r="C35" s="4" t="s">
        <v>8</v>
      </c>
      <c r="D35" s="4" t="s">
        <v>9</v>
      </c>
      <c r="E35" s="4" t="s">
        <v>10</v>
      </c>
      <c r="F35" s="4" t="s">
        <v>11</v>
      </c>
      <c r="G35" s="4" t="s">
        <v>12</v>
      </c>
      <c r="H35" s="4" t="s">
        <v>13</v>
      </c>
      <c r="I35" s="4" t="s">
        <v>14</v>
      </c>
      <c r="J35" s="4" t="s">
        <v>15</v>
      </c>
      <c r="K35" s="4" t="s">
        <v>16</v>
      </c>
      <c r="L35" s="4" t="s">
        <v>17</v>
      </c>
      <c r="M35" s="4" t="s">
        <v>18</v>
      </c>
      <c r="N35" s="4" t="s">
        <v>19</v>
      </c>
      <c r="O35" s="4" t="s">
        <v>20</v>
      </c>
      <c r="P35" s="4" t="s">
        <v>21</v>
      </c>
      <c r="Q35" s="4" t="s">
        <v>22</v>
      </c>
      <c r="R35" s="4" t="s">
        <v>23</v>
      </c>
      <c r="S35" s="4" t="s">
        <v>24</v>
      </c>
      <c r="T35" s="4" t="s">
        <v>25</v>
      </c>
      <c r="U35" s="4" t="s">
        <v>26</v>
      </c>
      <c r="V35" s="4" t="s">
        <v>27</v>
      </c>
      <c r="W35" s="4" t="s">
        <v>28</v>
      </c>
      <c r="X35" s="4" t="s">
        <v>29</v>
      </c>
      <c r="Y35" s="4" t="s">
        <v>30</v>
      </c>
      <c r="Z35" s="4" t="s">
        <v>31</v>
      </c>
      <c r="AA35" s="4" t="s">
        <v>32</v>
      </c>
      <c r="AB35" s="4" t="s">
        <v>121</v>
      </c>
      <c r="AC35" s="4" t="s">
        <v>33</v>
      </c>
      <c r="AD35" s="4" t="s">
        <v>34</v>
      </c>
      <c r="AE35" s="4" t="s">
        <v>122</v>
      </c>
      <c r="AF35" s="4" t="s">
        <v>123</v>
      </c>
      <c r="AG35" s="4" t="s">
        <v>35</v>
      </c>
      <c r="AH35" s="4" t="s">
        <v>36</v>
      </c>
      <c r="AI35" s="4" t="s">
        <v>37</v>
      </c>
      <c r="AJ35" s="4" t="s">
        <v>124</v>
      </c>
      <c r="AK35" s="4" t="s">
        <v>38</v>
      </c>
      <c r="AL35" s="4" t="s">
        <v>39</v>
      </c>
      <c r="AM35" s="4" t="s">
        <v>125</v>
      </c>
      <c r="AN35" s="4" t="s">
        <v>126</v>
      </c>
      <c r="AO35" s="4" t="s">
        <v>40</v>
      </c>
      <c r="AP35" s="4" t="s">
        <v>41</v>
      </c>
      <c r="AQ35" s="4" t="s">
        <v>42</v>
      </c>
      <c r="AR35" s="4" t="s">
        <v>43</v>
      </c>
      <c r="AS35" s="4" t="s">
        <v>44</v>
      </c>
      <c r="AT35" s="4" t="s">
        <v>127</v>
      </c>
      <c r="AU35" s="4" t="s">
        <v>45</v>
      </c>
      <c r="AV35" s="4" t="s">
        <v>46</v>
      </c>
      <c r="AW35" s="4" t="s">
        <v>47</v>
      </c>
      <c r="AX35" s="4" t="s">
        <v>48</v>
      </c>
      <c r="AY35" s="4" t="s">
        <v>49</v>
      </c>
      <c r="AZ35" s="4" t="s">
        <v>50</v>
      </c>
      <c r="BA35" s="4" t="s">
        <v>51</v>
      </c>
      <c r="BC35" s="8">
        <v>2023</v>
      </c>
      <c r="BD35" s="30">
        <v>2024</v>
      </c>
      <c r="BE35" s="30"/>
    </row>
    <row r="36" spans="1:296" x14ac:dyDescent="0.25">
      <c r="A36" s="5" t="s">
        <v>53</v>
      </c>
      <c r="B36" s="4">
        <v>27</v>
      </c>
      <c r="C36" s="4">
        <v>38</v>
      </c>
      <c r="D36" s="3">
        <v>25</v>
      </c>
      <c r="E36" s="3">
        <v>25</v>
      </c>
      <c r="F36" s="3">
        <v>36</v>
      </c>
      <c r="G36" s="3">
        <v>25</v>
      </c>
      <c r="H36" s="3">
        <v>26</v>
      </c>
      <c r="I36" s="3">
        <v>35</v>
      </c>
      <c r="J36" s="3">
        <v>28</v>
      </c>
      <c r="K36" s="3">
        <v>33</v>
      </c>
      <c r="L36" s="3">
        <v>51</v>
      </c>
      <c r="M36" s="3">
        <v>63</v>
      </c>
      <c r="N36" s="3">
        <v>72</v>
      </c>
      <c r="O36" s="3">
        <v>102</v>
      </c>
      <c r="P36" s="3">
        <v>103</v>
      </c>
      <c r="Q36" s="3">
        <v>98</v>
      </c>
      <c r="R36" s="3">
        <v>90</v>
      </c>
      <c r="S36" s="3">
        <v>98</v>
      </c>
      <c r="T36" s="3">
        <v>85</v>
      </c>
      <c r="U36" s="3">
        <v>68</v>
      </c>
      <c r="V36" s="3">
        <v>37</v>
      </c>
      <c r="W36" s="3">
        <v>12</v>
      </c>
      <c r="X36" s="3">
        <v>12</v>
      </c>
      <c r="Y36" s="3">
        <v>10</v>
      </c>
      <c r="Z36" s="3">
        <v>21</v>
      </c>
      <c r="AA36" s="3">
        <v>13</v>
      </c>
      <c r="AB36" s="3">
        <v>4</v>
      </c>
      <c r="AC36" s="3">
        <v>5</v>
      </c>
      <c r="AD36" s="3">
        <v>3</v>
      </c>
      <c r="AE36" s="3">
        <v>3</v>
      </c>
      <c r="AF36" s="3">
        <v>3</v>
      </c>
      <c r="AG36" s="3">
        <v>4</v>
      </c>
      <c r="AH36" s="3">
        <v>1</v>
      </c>
      <c r="AI36" s="3">
        <v>1</v>
      </c>
      <c r="AJ36" s="3">
        <v>0</v>
      </c>
      <c r="AK36" s="3">
        <v>1</v>
      </c>
      <c r="AL36" s="3">
        <v>6</v>
      </c>
      <c r="AM36" s="3">
        <v>9</v>
      </c>
      <c r="AN36" s="3">
        <v>27</v>
      </c>
      <c r="AO36" s="3">
        <v>20</v>
      </c>
      <c r="AP36" s="3">
        <v>14</v>
      </c>
      <c r="AQ36" s="3">
        <v>18</v>
      </c>
      <c r="AR36" s="3">
        <v>20</v>
      </c>
      <c r="AS36" s="3">
        <v>17</v>
      </c>
      <c r="AT36" s="3">
        <v>11</v>
      </c>
      <c r="AU36" s="3">
        <v>2</v>
      </c>
      <c r="AV36" s="3">
        <v>3</v>
      </c>
      <c r="AW36" s="3">
        <v>9</v>
      </c>
      <c r="AX36" s="3">
        <v>1</v>
      </c>
      <c r="AY36" s="3">
        <v>2</v>
      </c>
      <c r="AZ36" s="3">
        <v>13</v>
      </c>
      <c r="BA36" s="3">
        <v>6</v>
      </c>
      <c r="BC36" s="8">
        <f>SUM(B32:AZ32)</f>
        <v>4962</v>
      </c>
      <c r="BD36" s="30">
        <f>SUM(A36:BA36)</f>
        <v>1436</v>
      </c>
      <c r="BE36" s="30"/>
    </row>
    <row r="37" spans="1:296" x14ac:dyDescent="0.25">
      <c r="A37" s="5" t="s">
        <v>54</v>
      </c>
      <c r="B37" s="4">
        <v>1</v>
      </c>
      <c r="C37" s="4">
        <v>2</v>
      </c>
      <c r="D37" s="3">
        <v>1</v>
      </c>
      <c r="E37" s="3">
        <v>0</v>
      </c>
      <c r="F37" s="3">
        <v>3</v>
      </c>
      <c r="G37" s="3">
        <v>1</v>
      </c>
      <c r="H37" s="3">
        <v>7</v>
      </c>
      <c r="I37" s="3">
        <v>2</v>
      </c>
      <c r="J37" s="3">
        <v>3</v>
      </c>
      <c r="K37" s="3">
        <v>1</v>
      </c>
      <c r="L37" s="3">
        <v>9</v>
      </c>
      <c r="M37" s="3">
        <v>12</v>
      </c>
      <c r="N37" s="3">
        <v>13</v>
      </c>
      <c r="O37" s="3">
        <v>43</v>
      </c>
      <c r="P37" s="3">
        <v>33</v>
      </c>
      <c r="Q37" s="3">
        <v>42</v>
      </c>
      <c r="R37" s="3">
        <v>23</v>
      </c>
      <c r="S37" s="3">
        <v>31</v>
      </c>
      <c r="T37" s="3">
        <v>39</v>
      </c>
      <c r="U37" s="3">
        <v>22</v>
      </c>
      <c r="V37" s="3">
        <v>12</v>
      </c>
      <c r="W37" s="3">
        <v>7</v>
      </c>
      <c r="X37" s="3">
        <v>1</v>
      </c>
      <c r="Y37" s="3">
        <v>0</v>
      </c>
      <c r="Z37" s="3">
        <v>8</v>
      </c>
      <c r="AA37" s="3">
        <v>5</v>
      </c>
      <c r="AB37" s="3">
        <v>1</v>
      </c>
      <c r="AC37" s="3">
        <v>2</v>
      </c>
      <c r="AD37" s="3">
        <v>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C37" s="8">
        <f>SUM(B33:AZ33)</f>
        <v>2077</v>
      </c>
      <c r="BD37" s="30">
        <f>SUM(A37:BA37)</f>
        <v>325</v>
      </c>
      <c r="BE37" s="30"/>
    </row>
    <row r="38" spans="1:296" x14ac:dyDescent="0.25">
      <c r="A38" s="5"/>
      <c r="B38" s="4"/>
      <c r="C38" s="4"/>
      <c r="BD38" s="30"/>
      <c r="BE38" s="30"/>
    </row>
    <row r="39" spans="1:296" ht="26.4" x14ac:dyDescent="0.25">
      <c r="A39" s="92">
        <v>2025</v>
      </c>
      <c r="B39" s="33" t="s">
        <v>7</v>
      </c>
      <c r="C39" s="33" t="s">
        <v>8</v>
      </c>
      <c r="D39" s="33" t="s">
        <v>9</v>
      </c>
      <c r="E39" s="33" t="s">
        <v>10</v>
      </c>
      <c r="F39" s="33" t="s">
        <v>11</v>
      </c>
      <c r="G39" s="33" t="s">
        <v>12</v>
      </c>
      <c r="H39" s="33" t="s">
        <v>13</v>
      </c>
      <c r="I39" s="33" t="s">
        <v>14</v>
      </c>
      <c r="J39" s="33" t="s">
        <v>15</v>
      </c>
      <c r="K39" s="33" t="s">
        <v>16</v>
      </c>
      <c r="L39" s="33" t="s">
        <v>17</v>
      </c>
      <c r="M39" s="33" t="s">
        <v>18</v>
      </c>
      <c r="N39" s="33" t="s">
        <v>19</v>
      </c>
      <c r="O39" s="33" t="s">
        <v>20</v>
      </c>
      <c r="P39" s="33" t="s">
        <v>21</v>
      </c>
      <c r="Q39" s="33" t="s">
        <v>22</v>
      </c>
      <c r="R39" s="33" t="s">
        <v>23</v>
      </c>
      <c r="S39" s="33" t="s">
        <v>24</v>
      </c>
      <c r="T39" s="33" t="s">
        <v>25</v>
      </c>
      <c r="U39" s="33" t="s">
        <v>26</v>
      </c>
      <c r="V39" s="33" t="s">
        <v>27</v>
      </c>
      <c r="W39" s="33" t="s">
        <v>28</v>
      </c>
      <c r="X39" s="33" t="s">
        <v>29</v>
      </c>
      <c r="Y39" s="33" t="s">
        <v>30</v>
      </c>
      <c r="Z39" s="33" t="s">
        <v>31</v>
      </c>
      <c r="AA39" s="33" t="s">
        <v>32</v>
      </c>
      <c r="AB39" s="33" t="s">
        <v>121</v>
      </c>
      <c r="AC39" s="33" t="s">
        <v>33</v>
      </c>
      <c r="AD39" s="33" t="s">
        <v>34</v>
      </c>
      <c r="AE39" s="33" t="s">
        <v>122</v>
      </c>
      <c r="AF39" s="33" t="s">
        <v>123</v>
      </c>
      <c r="AG39" s="33" t="s">
        <v>35</v>
      </c>
      <c r="AH39" s="33" t="s">
        <v>36</v>
      </c>
      <c r="AI39" s="33" t="s">
        <v>37</v>
      </c>
      <c r="AJ39" s="33" t="s">
        <v>124</v>
      </c>
      <c r="AK39" s="33" t="s">
        <v>38</v>
      </c>
      <c r="AL39" s="33" t="s">
        <v>39</v>
      </c>
      <c r="AM39" s="33" t="s">
        <v>125</v>
      </c>
      <c r="AN39" s="33" t="s">
        <v>126</v>
      </c>
      <c r="AO39" s="33" t="s">
        <v>40</v>
      </c>
      <c r="AP39" s="33" t="s">
        <v>41</v>
      </c>
      <c r="AQ39" s="33" t="s">
        <v>42</v>
      </c>
      <c r="AR39" s="33" t="s">
        <v>43</v>
      </c>
      <c r="AS39" s="33" t="s">
        <v>44</v>
      </c>
      <c r="AT39" s="33" t="s">
        <v>127</v>
      </c>
      <c r="AU39" s="33" t="s">
        <v>45</v>
      </c>
      <c r="AV39" s="33" t="s">
        <v>46</v>
      </c>
      <c r="AW39" s="33" t="s">
        <v>47</v>
      </c>
      <c r="AX39" s="33" t="s">
        <v>48</v>
      </c>
      <c r="AY39" s="33" t="s">
        <v>49</v>
      </c>
      <c r="AZ39" s="33" t="s">
        <v>50</v>
      </c>
      <c r="BA39" s="33" t="s">
        <v>51</v>
      </c>
      <c r="BB39" s="3">
        <v>53</v>
      </c>
      <c r="BC39" s="37" t="s">
        <v>139</v>
      </c>
      <c r="BD39" s="39" t="s">
        <v>171</v>
      </c>
    </row>
    <row r="40" spans="1:296" x14ac:dyDescent="0.25">
      <c r="A40" s="5" t="s">
        <v>53</v>
      </c>
      <c r="B40" s="8">
        <v>16</v>
      </c>
      <c r="C40" s="8">
        <v>9</v>
      </c>
      <c r="D40" s="8">
        <v>13</v>
      </c>
      <c r="E40" s="8">
        <v>13</v>
      </c>
      <c r="F40" s="8">
        <v>8</v>
      </c>
      <c r="G40" s="8">
        <v>15</v>
      </c>
      <c r="H40" s="8">
        <v>14</v>
      </c>
      <c r="I40" s="8">
        <v>17</v>
      </c>
      <c r="J40" s="8">
        <v>30</v>
      </c>
      <c r="K40" s="8">
        <v>18</v>
      </c>
      <c r="L40" s="8">
        <v>34</v>
      </c>
      <c r="M40" s="8">
        <v>37</v>
      </c>
      <c r="N40" s="8">
        <v>56</v>
      </c>
      <c r="O40" s="8">
        <v>43</v>
      </c>
      <c r="P40" s="8">
        <v>45</v>
      </c>
      <c r="Q40" s="8">
        <v>49</v>
      </c>
      <c r="R40" s="8">
        <v>26</v>
      </c>
      <c r="S40" s="8">
        <v>21</v>
      </c>
      <c r="T40" s="8">
        <v>21</v>
      </c>
      <c r="U40" s="8">
        <v>26</v>
      </c>
      <c r="V40" s="8">
        <v>15</v>
      </c>
      <c r="W40" s="8">
        <v>13</v>
      </c>
      <c r="X40" s="8">
        <v>9</v>
      </c>
      <c r="Y40" s="8">
        <v>7</v>
      </c>
      <c r="Z40" s="8">
        <v>4</v>
      </c>
      <c r="AA40" s="8">
        <v>5</v>
      </c>
      <c r="AB40" s="8">
        <v>5</v>
      </c>
      <c r="AC40" s="8">
        <v>3</v>
      </c>
      <c r="AD40" s="8">
        <v>3</v>
      </c>
      <c r="AE40" s="8">
        <v>2</v>
      </c>
      <c r="AF40" s="8">
        <v>3</v>
      </c>
      <c r="AG40" s="8">
        <v>2</v>
      </c>
      <c r="AH40" s="8">
        <v>1</v>
      </c>
      <c r="AI40" s="8">
        <v>4</v>
      </c>
      <c r="AJ40" s="8">
        <v>2</v>
      </c>
      <c r="AK40" s="8">
        <v>3</v>
      </c>
      <c r="AL40" s="8">
        <v>2</v>
      </c>
      <c r="AM40" s="8">
        <v>3</v>
      </c>
      <c r="AN40" s="8">
        <v>2</v>
      </c>
      <c r="AO40" s="8">
        <v>5</v>
      </c>
      <c r="AP40" s="8">
        <v>4</v>
      </c>
      <c r="AQ40" s="8">
        <v>2</v>
      </c>
      <c r="AR40" s="8">
        <v>6</v>
      </c>
      <c r="AS40" s="8">
        <v>2</v>
      </c>
      <c r="AT40" s="8">
        <v>4</v>
      </c>
      <c r="AU40" s="8">
        <v>10</v>
      </c>
      <c r="AV40" s="8">
        <v>7</v>
      </c>
      <c r="AW40" s="8">
        <v>14</v>
      </c>
      <c r="AX40" s="8">
        <v>4</v>
      </c>
      <c r="AY40" s="8">
        <v>12</v>
      </c>
      <c r="AZ40" s="8">
        <v>14</v>
      </c>
      <c r="BA40" s="8">
        <v>9</v>
      </c>
      <c r="BB40" s="3">
        <v>9</v>
      </c>
      <c r="BC40" s="30">
        <f>SUM(B36:BB36)</f>
        <v>1436</v>
      </c>
      <c r="BD40" s="8">
        <f>SUM(B40:BB40)</f>
        <v>701</v>
      </c>
    </row>
    <row r="41" spans="1:296" x14ac:dyDescent="0.25">
      <c r="A41" s="5" t="s">
        <v>54</v>
      </c>
      <c r="B41" s="8">
        <v>0</v>
      </c>
      <c r="C41" s="8">
        <v>0</v>
      </c>
      <c r="D41" s="8">
        <v>0</v>
      </c>
      <c r="E41" s="8">
        <v>1</v>
      </c>
      <c r="F41" s="8">
        <v>0</v>
      </c>
      <c r="G41" s="8">
        <v>0</v>
      </c>
      <c r="H41" s="8">
        <v>1</v>
      </c>
      <c r="I41" s="8">
        <v>2</v>
      </c>
      <c r="J41" s="8">
        <v>4</v>
      </c>
      <c r="K41" s="8">
        <v>5</v>
      </c>
      <c r="L41" s="8">
        <v>13</v>
      </c>
      <c r="M41" s="8">
        <v>12</v>
      </c>
      <c r="N41" s="8">
        <v>20</v>
      </c>
      <c r="O41" s="8">
        <v>18</v>
      </c>
      <c r="P41" s="8">
        <v>12</v>
      </c>
      <c r="Q41" s="8">
        <v>5</v>
      </c>
      <c r="R41" s="8">
        <v>3</v>
      </c>
      <c r="S41" s="8">
        <v>4</v>
      </c>
      <c r="T41" s="8">
        <v>5</v>
      </c>
      <c r="U41" s="8">
        <v>7</v>
      </c>
      <c r="V41" s="8">
        <v>4</v>
      </c>
      <c r="W41" s="8">
        <v>4</v>
      </c>
      <c r="X41" s="8">
        <v>1</v>
      </c>
      <c r="Y41" s="8">
        <v>0</v>
      </c>
      <c r="Z41" s="8">
        <v>0</v>
      </c>
      <c r="AA41" s="8">
        <v>0</v>
      </c>
      <c r="AB41" s="8">
        <v>1</v>
      </c>
      <c r="AC41" s="8">
        <v>1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3">
        <v>0</v>
      </c>
      <c r="BC41" s="30">
        <f>SUM(B37:BA37)</f>
        <v>325</v>
      </c>
      <c r="BD41" s="8">
        <f>SUM(B41:BB41)</f>
        <v>123</v>
      </c>
    </row>
    <row r="42" spans="1:296" x14ac:dyDescent="0.25">
      <c r="B42" s="4"/>
      <c r="BC42" s="30"/>
    </row>
    <row r="43" spans="1:296" x14ac:dyDescent="0.25">
      <c r="A43" s="5"/>
      <c r="B43" s="4"/>
      <c r="BC43" s="30"/>
    </row>
    <row r="44" spans="1:296" s="1" customFormat="1" ht="26.4" x14ac:dyDescent="0.3">
      <c r="A44" s="65" t="s">
        <v>71</v>
      </c>
      <c r="B44" s="34">
        <v>35</v>
      </c>
      <c r="C44" s="34" t="s">
        <v>38</v>
      </c>
      <c r="D44" s="34" t="s">
        <v>39</v>
      </c>
      <c r="E44" s="34">
        <v>38</v>
      </c>
      <c r="F44" s="34">
        <v>39</v>
      </c>
      <c r="G44" s="34" t="s">
        <v>40</v>
      </c>
      <c r="H44" s="34" t="s">
        <v>41</v>
      </c>
      <c r="I44" s="34" t="s">
        <v>42</v>
      </c>
      <c r="J44" s="34" t="s">
        <v>43</v>
      </c>
      <c r="K44" s="34" t="s">
        <v>44</v>
      </c>
      <c r="L44" s="34">
        <v>45</v>
      </c>
      <c r="M44" s="34" t="s">
        <v>45</v>
      </c>
      <c r="N44" s="34" t="s">
        <v>46</v>
      </c>
      <c r="O44" s="34" t="s">
        <v>47</v>
      </c>
      <c r="P44" s="34" t="s">
        <v>48</v>
      </c>
      <c r="Q44" s="34" t="s">
        <v>49</v>
      </c>
      <c r="R44" s="34" t="s">
        <v>50</v>
      </c>
      <c r="S44" s="34" t="s">
        <v>51</v>
      </c>
      <c r="T44" s="34" t="s">
        <v>7</v>
      </c>
      <c r="U44" s="35">
        <v>2</v>
      </c>
      <c r="V44" s="35">
        <v>3</v>
      </c>
      <c r="W44" s="35">
        <v>4</v>
      </c>
      <c r="X44" s="35">
        <v>5</v>
      </c>
      <c r="Y44" s="35">
        <v>6</v>
      </c>
      <c r="Z44" s="35">
        <v>7</v>
      </c>
      <c r="AA44" s="35">
        <v>8</v>
      </c>
      <c r="AB44" s="35">
        <v>9</v>
      </c>
      <c r="AC44" s="35">
        <v>10</v>
      </c>
      <c r="AD44" s="35">
        <v>11</v>
      </c>
      <c r="AE44" s="35">
        <v>12</v>
      </c>
      <c r="AF44" s="35">
        <v>13</v>
      </c>
      <c r="AG44" s="35">
        <v>14</v>
      </c>
      <c r="AH44" s="35">
        <v>15</v>
      </c>
      <c r="AI44" s="35">
        <v>16</v>
      </c>
      <c r="AJ44" s="35">
        <v>17</v>
      </c>
      <c r="AK44" s="35">
        <v>18</v>
      </c>
      <c r="AL44" s="35">
        <v>19</v>
      </c>
      <c r="AM44" s="35">
        <v>20</v>
      </c>
      <c r="AN44" s="35">
        <v>21</v>
      </c>
      <c r="AO44" s="35">
        <v>22</v>
      </c>
      <c r="AP44" s="35">
        <v>23</v>
      </c>
      <c r="AQ44" s="35">
        <v>24</v>
      </c>
      <c r="AR44" s="35">
        <v>25</v>
      </c>
      <c r="AS44" s="35">
        <v>26</v>
      </c>
      <c r="AT44" s="35">
        <v>27</v>
      </c>
      <c r="AU44" s="35">
        <v>28</v>
      </c>
      <c r="AV44" s="35">
        <v>29</v>
      </c>
      <c r="AW44" s="35">
        <v>30</v>
      </c>
      <c r="AX44" s="35">
        <v>31</v>
      </c>
      <c r="AY44" s="35">
        <v>32</v>
      </c>
      <c r="AZ44" s="35">
        <v>33</v>
      </c>
      <c r="BA44" s="35">
        <v>34</v>
      </c>
      <c r="BB44" s="35"/>
      <c r="BC44" s="38"/>
      <c r="BD44" s="38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JV44" s="30"/>
      <c r="KJ44" s="30"/>
    </row>
    <row r="45" spans="1:296" x14ac:dyDescent="0.25">
      <c r="A45" s="5" t="s">
        <v>53</v>
      </c>
      <c r="B45" s="8">
        <v>0</v>
      </c>
      <c r="C45" s="8">
        <v>0</v>
      </c>
      <c r="D45" s="3">
        <v>2</v>
      </c>
      <c r="E45" s="3">
        <v>0</v>
      </c>
      <c r="F45" s="3">
        <v>0</v>
      </c>
      <c r="G45" s="3">
        <v>0</v>
      </c>
      <c r="H45" s="3">
        <v>2</v>
      </c>
      <c r="I45" s="3">
        <v>4</v>
      </c>
      <c r="J45" s="3">
        <v>0</v>
      </c>
      <c r="K45" s="3">
        <v>1</v>
      </c>
      <c r="L45" s="3">
        <v>8</v>
      </c>
      <c r="M45" s="3">
        <v>1</v>
      </c>
      <c r="N45" s="3">
        <v>1</v>
      </c>
      <c r="O45" s="3">
        <v>3</v>
      </c>
      <c r="P45" s="3">
        <v>1</v>
      </c>
      <c r="Q45" s="3">
        <v>2</v>
      </c>
      <c r="R45" s="3">
        <v>2</v>
      </c>
      <c r="S45" s="3">
        <v>2</v>
      </c>
      <c r="T45" s="3">
        <f t="shared" ref="T45:AC46" si="0">B13</f>
        <v>5</v>
      </c>
      <c r="U45" s="3">
        <f t="shared" si="0"/>
        <v>4</v>
      </c>
      <c r="V45" s="3">
        <f t="shared" si="0"/>
        <v>4</v>
      </c>
      <c r="W45" s="3">
        <f t="shared" si="0"/>
        <v>4</v>
      </c>
      <c r="X45" s="3">
        <f t="shared" si="0"/>
        <v>5</v>
      </c>
      <c r="Y45" s="3">
        <f t="shared" si="0"/>
        <v>5</v>
      </c>
      <c r="Z45" s="3">
        <f t="shared" si="0"/>
        <v>3</v>
      </c>
      <c r="AA45" s="3">
        <f t="shared" si="0"/>
        <v>9</v>
      </c>
      <c r="AB45" s="3">
        <f t="shared" si="0"/>
        <v>4</v>
      </c>
      <c r="AC45" s="3">
        <f t="shared" si="0"/>
        <v>4</v>
      </c>
      <c r="AD45" s="3">
        <f t="shared" ref="AD45:AM46" si="1">L13</f>
        <v>2</v>
      </c>
      <c r="AE45" s="3">
        <f t="shared" si="1"/>
        <v>8</v>
      </c>
      <c r="AF45" s="3">
        <f t="shared" si="1"/>
        <v>7</v>
      </c>
      <c r="AG45" s="3">
        <f t="shared" si="1"/>
        <v>4</v>
      </c>
      <c r="AH45" s="3">
        <f t="shared" si="1"/>
        <v>4</v>
      </c>
      <c r="AI45" s="3">
        <f t="shared" si="1"/>
        <v>1</v>
      </c>
      <c r="AJ45" s="3">
        <f t="shared" si="1"/>
        <v>5</v>
      </c>
      <c r="AK45" s="3">
        <f t="shared" si="1"/>
        <v>2</v>
      </c>
      <c r="AL45" s="3">
        <f t="shared" si="1"/>
        <v>3</v>
      </c>
      <c r="AM45" s="3">
        <f t="shared" si="1"/>
        <v>2</v>
      </c>
      <c r="AN45" s="3">
        <f t="shared" ref="AN45:AW46" si="2">V13</f>
        <v>3</v>
      </c>
      <c r="AO45" s="3">
        <f t="shared" si="2"/>
        <v>4</v>
      </c>
      <c r="AP45" s="3">
        <f t="shared" si="2"/>
        <v>2</v>
      </c>
      <c r="AQ45" s="3">
        <f t="shared" si="2"/>
        <v>2</v>
      </c>
      <c r="AR45" s="3">
        <f t="shared" si="2"/>
        <v>1</v>
      </c>
      <c r="AS45" s="3">
        <f t="shared" si="2"/>
        <v>3</v>
      </c>
      <c r="AT45" s="3">
        <f t="shared" si="2"/>
        <v>2</v>
      </c>
      <c r="AU45" s="3">
        <f t="shared" si="2"/>
        <v>4</v>
      </c>
      <c r="AV45" s="3">
        <f t="shared" si="2"/>
        <v>3</v>
      </c>
      <c r="AW45" s="3">
        <f t="shared" si="2"/>
        <v>2</v>
      </c>
      <c r="AX45" s="3">
        <f t="shared" ref="AX45:BA46" si="3">AF13</f>
        <v>0</v>
      </c>
      <c r="AY45" s="3">
        <f t="shared" si="3"/>
        <v>2</v>
      </c>
      <c r="AZ45" s="3">
        <f t="shared" si="3"/>
        <v>3</v>
      </c>
      <c r="BA45" s="3">
        <f t="shared" si="3"/>
        <v>4</v>
      </c>
      <c r="BD45" s="3"/>
      <c r="BN45" s="30">
        <f>SUM(B45:BA45)</f>
        <v>149</v>
      </c>
    </row>
    <row r="46" spans="1:296" x14ac:dyDescent="0.25">
      <c r="A46" s="5" t="s">
        <v>54</v>
      </c>
      <c r="B46" s="8">
        <v>0</v>
      </c>
      <c r="C46" s="8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f t="shared" si="0"/>
        <v>0</v>
      </c>
      <c r="U46" s="3">
        <f t="shared" si="0"/>
        <v>0</v>
      </c>
      <c r="V46" s="3">
        <f t="shared" si="0"/>
        <v>0</v>
      </c>
      <c r="W46" s="3">
        <f t="shared" si="0"/>
        <v>0</v>
      </c>
      <c r="X46" s="3">
        <f t="shared" si="0"/>
        <v>1</v>
      </c>
      <c r="Y46" s="3">
        <f t="shared" si="0"/>
        <v>0</v>
      </c>
      <c r="Z46" s="3">
        <f t="shared" si="0"/>
        <v>0</v>
      </c>
      <c r="AA46" s="3">
        <f t="shared" si="0"/>
        <v>1</v>
      </c>
      <c r="AB46" s="3">
        <f t="shared" si="0"/>
        <v>2</v>
      </c>
      <c r="AC46" s="3">
        <f t="shared" si="0"/>
        <v>0</v>
      </c>
      <c r="AD46" s="3">
        <f t="shared" si="1"/>
        <v>0</v>
      </c>
      <c r="AE46" s="3">
        <f t="shared" si="1"/>
        <v>1</v>
      </c>
      <c r="AF46" s="3">
        <f t="shared" si="1"/>
        <v>0</v>
      </c>
      <c r="AG46" s="3">
        <f t="shared" si="1"/>
        <v>1</v>
      </c>
      <c r="AH46" s="3">
        <f t="shared" si="1"/>
        <v>1</v>
      </c>
      <c r="AI46" s="3">
        <f t="shared" si="1"/>
        <v>0</v>
      </c>
      <c r="AJ46" s="3">
        <f t="shared" si="1"/>
        <v>3</v>
      </c>
      <c r="AK46" s="3">
        <f t="shared" si="1"/>
        <v>0</v>
      </c>
      <c r="AL46" s="3">
        <f t="shared" si="1"/>
        <v>0</v>
      </c>
      <c r="AM46" s="3">
        <f t="shared" si="1"/>
        <v>0</v>
      </c>
      <c r="AN46" s="3">
        <f t="shared" si="2"/>
        <v>0</v>
      </c>
      <c r="AO46" s="3">
        <f t="shared" si="2"/>
        <v>0</v>
      </c>
      <c r="AP46" s="3">
        <f t="shared" si="2"/>
        <v>0</v>
      </c>
      <c r="AQ46" s="3">
        <f t="shared" si="2"/>
        <v>0</v>
      </c>
      <c r="AR46" s="3">
        <f t="shared" si="2"/>
        <v>0</v>
      </c>
      <c r="AS46" s="3">
        <f t="shared" si="2"/>
        <v>0</v>
      </c>
      <c r="AT46" s="3">
        <f t="shared" si="2"/>
        <v>0</v>
      </c>
      <c r="AU46" s="3">
        <f t="shared" si="2"/>
        <v>1</v>
      </c>
      <c r="AV46" s="3">
        <f t="shared" si="2"/>
        <v>0</v>
      </c>
      <c r="AW46" s="3">
        <f t="shared" si="2"/>
        <v>0</v>
      </c>
      <c r="AX46" s="3">
        <f t="shared" si="3"/>
        <v>0</v>
      </c>
      <c r="AY46" s="3">
        <f t="shared" si="3"/>
        <v>0</v>
      </c>
      <c r="AZ46" s="3">
        <f t="shared" si="3"/>
        <v>0</v>
      </c>
      <c r="BA46" s="3">
        <f t="shared" si="3"/>
        <v>0</v>
      </c>
      <c r="BD46" s="3"/>
      <c r="BN46" s="30">
        <f>SUM(B46:BA46)</f>
        <v>11</v>
      </c>
    </row>
    <row r="47" spans="1:296" x14ac:dyDescent="0.25">
      <c r="A47" s="5"/>
      <c r="B47" s="4"/>
      <c r="BC47" s="30"/>
    </row>
    <row r="48" spans="1:296" x14ac:dyDescent="0.25">
      <c r="A48" s="5"/>
      <c r="T48" s="4"/>
      <c r="U48" s="4"/>
      <c r="V48" s="4"/>
      <c r="W48" s="4"/>
      <c r="X48" s="4"/>
      <c r="Y48" s="4"/>
      <c r="Z48" s="4"/>
      <c r="AA48" s="4"/>
      <c r="AB48" s="4"/>
      <c r="BC48" s="30"/>
    </row>
    <row r="49" spans="1:296" ht="15.6" x14ac:dyDescent="0.25">
      <c r="A49" s="117"/>
      <c r="T49" s="4"/>
      <c r="U49" s="4"/>
      <c r="V49" s="4"/>
      <c r="W49" s="4"/>
      <c r="X49" s="4"/>
      <c r="Y49" s="4"/>
      <c r="Z49" s="4"/>
      <c r="AA49" s="4"/>
      <c r="AB49" s="4"/>
      <c r="BC49" s="30"/>
    </row>
    <row r="50" spans="1:296" s="1" customFormat="1" ht="26.4" x14ac:dyDescent="0.3">
      <c r="A50" s="66" t="s">
        <v>70</v>
      </c>
      <c r="B50" s="67">
        <v>35</v>
      </c>
      <c r="C50" s="67" t="s">
        <v>38</v>
      </c>
      <c r="D50" s="67" t="s">
        <v>39</v>
      </c>
      <c r="E50" s="67">
        <v>38</v>
      </c>
      <c r="F50" s="67">
        <v>39</v>
      </c>
      <c r="G50" s="67" t="s">
        <v>40</v>
      </c>
      <c r="H50" s="67" t="s">
        <v>41</v>
      </c>
      <c r="I50" s="67" t="s">
        <v>42</v>
      </c>
      <c r="J50" s="67" t="s">
        <v>43</v>
      </c>
      <c r="K50" s="67" t="s">
        <v>44</v>
      </c>
      <c r="L50" s="67">
        <v>45</v>
      </c>
      <c r="M50" s="67" t="s">
        <v>45</v>
      </c>
      <c r="N50" s="67" t="s">
        <v>46</v>
      </c>
      <c r="O50" s="67" t="s">
        <v>47</v>
      </c>
      <c r="P50" s="67" t="s">
        <v>48</v>
      </c>
      <c r="Q50" s="67" t="s">
        <v>49</v>
      </c>
      <c r="R50" s="67" t="s">
        <v>50</v>
      </c>
      <c r="S50" s="67" t="s">
        <v>51</v>
      </c>
      <c r="T50" s="68">
        <v>1</v>
      </c>
      <c r="U50" s="68">
        <v>2</v>
      </c>
      <c r="V50" s="68">
        <v>3</v>
      </c>
      <c r="W50" s="68">
        <v>4</v>
      </c>
      <c r="X50" s="68">
        <v>5</v>
      </c>
      <c r="Y50" s="68">
        <v>6</v>
      </c>
      <c r="Z50" s="68">
        <v>7</v>
      </c>
      <c r="AA50" s="68">
        <v>8</v>
      </c>
      <c r="AB50" s="68">
        <v>9</v>
      </c>
      <c r="AC50" s="68">
        <v>10</v>
      </c>
      <c r="AD50" s="69">
        <v>11</v>
      </c>
      <c r="AE50" s="68">
        <v>12</v>
      </c>
      <c r="AF50" s="68">
        <v>13</v>
      </c>
      <c r="AG50" s="68">
        <v>14</v>
      </c>
      <c r="AH50" s="68">
        <v>15</v>
      </c>
      <c r="AI50" s="68">
        <v>16</v>
      </c>
      <c r="AJ50" s="68">
        <v>17</v>
      </c>
      <c r="AK50" s="68">
        <v>18</v>
      </c>
      <c r="AL50" s="68">
        <v>19</v>
      </c>
      <c r="AM50" s="68">
        <v>20</v>
      </c>
      <c r="AN50" s="68">
        <v>21</v>
      </c>
      <c r="AO50" s="68">
        <v>22</v>
      </c>
      <c r="AP50" s="68">
        <v>23</v>
      </c>
      <c r="AQ50" s="68">
        <v>24</v>
      </c>
      <c r="AR50" s="68">
        <v>25</v>
      </c>
      <c r="AS50" s="68">
        <v>26</v>
      </c>
      <c r="AT50" s="68">
        <v>27</v>
      </c>
      <c r="AU50" s="68">
        <v>28</v>
      </c>
      <c r="AV50" s="68">
        <v>29</v>
      </c>
      <c r="AW50" s="68">
        <v>30</v>
      </c>
      <c r="AX50" s="68">
        <v>31</v>
      </c>
      <c r="AY50" s="68">
        <v>32</v>
      </c>
      <c r="AZ50" s="68">
        <v>33</v>
      </c>
      <c r="BA50" s="68">
        <v>34</v>
      </c>
      <c r="BB50" s="68"/>
      <c r="BC50" s="69"/>
      <c r="BD50" s="69"/>
      <c r="BE50" s="68"/>
      <c r="BF50" s="68"/>
      <c r="BG50" s="68"/>
      <c r="BH50" s="68"/>
      <c r="BI50" s="68"/>
      <c r="BJ50" s="68"/>
      <c r="BK50" s="68"/>
      <c r="BL50" s="68"/>
      <c r="BM50" s="68"/>
      <c r="BN50" s="68" t="s">
        <v>98</v>
      </c>
      <c r="BO50" s="69" t="s">
        <v>97</v>
      </c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JV50" s="30"/>
      <c r="KJ50" s="30"/>
    </row>
    <row r="51" spans="1:296" x14ac:dyDescent="0.25">
      <c r="A51" s="5" t="s">
        <v>53</v>
      </c>
      <c r="B51" s="8">
        <v>2</v>
      </c>
      <c r="C51" s="8">
        <v>0</v>
      </c>
      <c r="D51" s="3">
        <v>1</v>
      </c>
      <c r="E51" s="3">
        <v>0</v>
      </c>
      <c r="F51" s="3">
        <v>0</v>
      </c>
      <c r="G51" s="3">
        <v>5</v>
      </c>
      <c r="H51" s="3">
        <v>0</v>
      </c>
      <c r="I51" s="3">
        <v>4</v>
      </c>
      <c r="J51" s="3">
        <v>1</v>
      </c>
      <c r="K51" s="3">
        <v>4</v>
      </c>
      <c r="L51" s="3">
        <v>3</v>
      </c>
      <c r="M51" s="3">
        <v>3</v>
      </c>
      <c r="N51" s="3">
        <v>2</v>
      </c>
      <c r="O51" s="3">
        <v>7</v>
      </c>
      <c r="P51" s="3">
        <v>4</v>
      </c>
      <c r="Q51" s="3">
        <v>10</v>
      </c>
      <c r="R51" s="3">
        <v>17</v>
      </c>
      <c r="S51" s="3">
        <v>37</v>
      </c>
      <c r="T51" s="4">
        <f t="shared" ref="T51:AC52" si="4">B18</f>
        <v>22</v>
      </c>
      <c r="U51" s="4">
        <f t="shared" si="4"/>
        <v>132</v>
      </c>
      <c r="V51" s="4">
        <f t="shared" si="4"/>
        <v>197</v>
      </c>
      <c r="W51" s="4">
        <f t="shared" si="4"/>
        <v>185</v>
      </c>
      <c r="X51" s="4">
        <f t="shared" si="4"/>
        <v>307</v>
      </c>
      <c r="Y51" s="4">
        <f t="shared" si="4"/>
        <v>380</v>
      </c>
      <c r="Z51" s="4">
        <f t="shared" si="4"/>
        <v>440</v>
      </c>
      <c r="AA51" s="4">
        <f t="shared" si="4"/>
        <v>373</v>
      </c>
      <c r="AB51" s="4">
        <f t="shared" si="4"/>
        <v>293</v>
      </c>
      <c r="AC51" s="4">
        <f t="shared" si="4"/>
        <v>222</v>
      </c>
      <c r="AD51" s="4">
        <f t="shared" ref="AD51:AM52" si="5">L18</f>
        <v>269</v>
      </c>
      <c r="AE51" s="4">
        <f t="shared" si="5"/>
        <v>224</v>
      </c>
      <c r="AF51" s="4">
        <f t="shared" si="5"/>
        <v>175</v>
      </c>
      <c r="AG51" s="4">
        <f t="shared" si="5"/>
        <v>197</v>
      </c>
      <c r="AH51" s="4">
        <f t="shared" si="5"/>
        <v>215</v>
      </c>
      <c r="AI51" s="4">
        <f t="shared" si="5"/>
        <v>128</v>
      </c>
      <c r="AJ51" s="4">
        <f t="shared" si="5"/>
        <v>91</v>
      </c>
      <c r="AK51" s="4">
        <f t="shared" si="5"/>
        <v>48</v>
      </c>
      <c r="AL51" s="4">
        <f t="shared" si="5"/>
        <v>54</v>
      </c>
      <c r="AM51" s="4">
        <f t="shared" si="5"/>
        <v>40</v>
      </c>
      <c r="AN51" s="4">
        <f t="shared" ref="AN51:AW52" si="6">V18</f>
        <v>15</v>
      </c>
      <c r="AO51" s="4">
        <f t="shared" si="6"/>
        <v>11</v>
      </c>
      <c r="AP51" s="4">
        <f t="shared" si="6"/>
        <v>8</v>
      </c>
      <c r="AQ51" s="4">
        <f t="shared" si="6"/>
        <v>2</v>
      </c>
      <c r="AR51" s="4">
        <f t="shared" si="6"/>
        <v>10</v>
      </c>
      <c r="AS51" s="4">
        <f t="shared" si="6"/>
        <v>4</v>
      </c>
      <c r="AT51" s="4">
        <f t="shared" si="6"/>
        <v>0</v>
      </c>
      <c r="AU51" s="4">
        <f t="shared" si="6"/>
        <v>0</v>
      </c>
      <c r="AV51" s="4">
        <f t="shared" si="6"/>
        <v>0</v>
      </c>
      <c r="AW51" s="4">
        <f t="shared" si="6"/>
        <v>0</v>
      </c>
      <c r="AX51" s="4">
        <f t="shared" ref="AX51:BA52" si="7">AF18</f>
        <v>0</v>
      </c>
      <c r="AY51" s="4">
        <f t="shared" si="7"/>
        <v>1</v>
      </c>
      <c r="AZ51" s="4">
        <f t="shared" si="7"/>
        <v>0</v>
      </c>
      <c r="BA51" s="4">
        <f t="shared" si="7"/>
        <v>1</v>
      </c>
      <c r="BB51" s="4"/>
      <c r="BC51" s="4"/>
      <c r="BD51" s="4"/>
      <c r="BE51" s="4"/>
      <c r="BF51" s="4"/>
      <c r="BG51" s="4"/>
      <c r="BH51" s="4"/>
      <c r="BI51" s="4"/>
      <c r="BN51" s="3">
        <f>BN45</f>
        <v>149</v>
      </c>
      <c r="BO51" s="30">
        <f>SUM(B51:AM51)</f>
        <v>4092</v>
      </c>
    </row>
    <row r="52" spans="1:296" x14ac:dyDescent="0.25">
      <c r="A52" s="5" t="s">
        <v>54</v>
      </c>
      <c r="B52" s="8">
        <v>0</v>
      </c>
      <c r="C52" s="8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4</v>
      </c>
      <c r="P52" s="3">
        <v>0</v>
      </c>
      <c r="Q52" s="3">
        <v>3</v>
      </c>
      <c r="R52" s="3">
        <v>9</v>
      </c>
      <c r="S52" s="3">
        <v>28</v>
      </c>
      <c r="T52" s="4">
        <f t="shared" si="4"/>
        <v>9</v>
      </c>
      <c r="U52" s="4">
        <f t="shared" si="4"/>
        <v>85</v>
      </c>
      <c r="V52" s="4">
        <f t="shared" si="4"/>
        <v>127</v>
      </c>
      <c r="W52" s="4">
        <f t="shared" si="4"/>
        <v>126</v>
      </c>
      <c r="X52" s="4">
        <f t="shared" si="4"/>
        <v>188</v>
      </c>
      <c r="Y52" s="4">
        <f t="shared" si="4"/>
        <v>231</v>
      </c>
      <c r="Z52" s="4">
        <f t="shared" si="4"/>
        <v>304</v>
      </c>
      <c r="AA52" s="4">
        <f t="shared" si="4"/>
        <v>217</v>
      </c>
      <c r="AB52" s="4">
        <f t="shared" si="4"/>
        <v>156</v>
      </c>
      <c r="AC52" s="4">
        <f t="shared" si="4"/>
        <v>116</v>
      </c>
      <c r="AD52" s="4">
        <f t="shared" si="5"/>
        <v>155</v>
      </c>
      <c r="AE52" s="4">
        <f t="shared" si="5"/>
        <v>152</v>
      </c>
      <c r="AF52" s="4">
        <f t="shared" si="5"/>
        <v>128</v>
      </c>
      <c r="AG52" s="4">
        <f t="shared" si="5"/>
        <v>156</v>
      </c>
      <c r="AH52" s="4">
        <f t="shared" si="5"/>
        <v>177</v>
      </c>
      <c r="AI52" s="4">
        <f t="shared" si="5"/>
        <v>87</v>
      </c>
      <c r="AJ52" s="4">
        <f t="shared" si="5"/>
        <v>68</v>
      </c>
      <c r="AK52" s="4">
        <f t="shared" si="5"/>
        <v>32</v>
      </c>
      <c r="AL52" s="4">
        <f t="shared" si="5"/>
        <v>33</v>
      </c>
      <c r="AM52" s="4">
        <f t="shared" si="5"/>
        <v>19</v>
      </c>
      <c r="AN52" s="4">
        <f t="shared" si="6"/>
        <v>9</v>
      </c>
      <c r="AO52" s="4">
        <f t="shared" si="6"/>
        <v>6</v>
      </c>
      <c r="AP52" s="4">
        <f t="shared" si="6"/>
        <v>2</v>
      </c>
      <c r="AQ52" s="4">
        <f t="shared" si="6"/>
        <v>1</v>
      </c>
      <c r="AR52" s="4">
        <f t="shared" si="6"/>
        <v>2</v>
      </c>
      <c r="AS52" s="4">
        <f t="shared" si="6"/>
        <v>0</v>
      </c>
      <c r="AT52" s="4">
        <f t="shared" si="6"/>
        <v>0</v>
      </c>
      <c r="AU52" s="4">
        <f t="shared" si="6"/>
        <v>0</v>
      </c>
      <c r="AV52" s="4">
        <f t="shared" si="6"/>
        <v>0</v>
      </c>
      <c r="AW52" s="4">
        <f t="shared" si="6"/>
        <v>0</v>
      </c>
      <c r="AX52" s="4">
        <f t="shared" si="7"/>
        <v>0</v>
      </c>
      <c r="AY52" s="4">
        <f t="shared" si="7"/>
        <v>0</v>
      </c>
      <c r="AZ52" s="4">
        <f t="shared" si="7"/>
        <v>0</v>
      </c>
      <c r="BA52" s="4">
        <f t="shared" si="7"/>
        <v>0</v>
      </c>
      <c r="BB52" s="4"/>
      <c r="BC52" s="4"/>
      <c r="BD52" s="4"/>
      <c r="BE52" s="4"/>
      <c r="BF52" s="4"/>
      <c r="BG52" s="4"/>
      <c r="BH52" s="4"/>
      <c r="BI52" s="4"/>
      <c r="BN52" s="3">
        <f>BN46</f>
        <v>11</v>
      </c>
      <c r="BO52" s="30">
        <f>SUM(B52:AM52)</f>
        <v>2610</v>
      </c>
    </row>
    <row r="53" spans="1:296" x14ac:dyDescent="0.25">
      <c r="A53" s="5"/>
      <c r="T53" s="4"/>
      <c r="U53" s="4"/>
      <c r="V53" s="4"/>
      <c r="W53" s="4"/>
      <c r="X53" s="4"/>
      <c r="Y53" s="4"/>
      <c r="Z53" s="4"/>
      <c r="AA53" s="4"/>
      <c r="AB53" s="4"/>
      <c r="BC53" s="30"/>
    </row>
    <row r="54" spans="1:296" ht="26.4" x14ac:dyDescent="0.25">
      <c r="A54" s="66" t="s">
        <v>99</v>
      </c>
      <c r="B54" s="67">
        <v>35</v>
      </c>
      <c r="C54" s="67" t="s">
        <v>38</v>
      </c>
      <c r="D54" s="67" t="s">
        <v>39</v>
      </c>
      <c r="E54" s="67">
        <v>38</v>
      </c>
      <c r="F54" s="67">
        <v>39</v>
      </c>
      <c r="G54" s="67" t="s">
        <v>40</v>
      </c>
      <c r="H54" s="67" t="s">
        <v>41</v>
      </c>
      <c r="I54" s="67" t="s">
        <v>42</v>
      </c>
      <c r="J54" s="67" t="s">
        <v>43</v>
      </c>
      <c r="K54" s="67" t="s">
        <v>44</v>
      </c>
      <c r="L54" s="67">
        <v>45</v>
      </c>
      <c r="M54" s="67" t="s">
        <v>45</v>
      </c>
      <c r="N54" s="67" t="s">
        <v>46</v>
      </c>
      <c r="O54" s="67" t="s">
        <v>47</v>
      </c>
      <c r="P54" s="67" t="s">
        <v>48</v>
      </c>
      <c r="Q54" s="67" t="s">
        <v>49</v>
      </c>
      <c r="R54" s="67" t="s">
        <v>50</v>
      </c>
      <c r="S54" s="67" t="s">
        <v>51</v>
      </c>
      <c r="T54" s="67" t="s">
        <v>102</v>
      </c>
      <c r="U54" s="68">
        <v>1</v>
      </c>
      <c r="V54" s="68">
        <v>2</v>
      </c>
      <c r="W54" s="68">
        <v>3</v>
      </c>
      <c r="X54" s="68">
        <v>4</v>
      </c>
      <c r="Y54" s="68">
        <v>5</v>
      </c>
      <c r="Z54" s="68">
        <v>6</v>
      </c>
      <c r="AA54" s="68">
        <v>7</v>
      </c>
      <c r="AB54" s="68">
        <v>8</v>
      </c>
      <c r="AC54" s="68">
        <v>9</v>
      </c>
      <c r="AD54" s="68">
        <v>10</v>
      </c>
      <c r="AE54" s="69">
        <v>11</v>
      </c>
      <c r="AF54" s="68">
        <v>12</v>
      </c>
      <c r="AG54" s="68">
        <v>13</v>
      </c>
      <c r="AH54" s="68">
        <v>14</v>
      </c>
      <c r="AI54" s="68">
        <v>15</v>
      </c>
      <c r="AJ54" s="68">
        <v>16</v>
      </c>
      <c r="AK54" s="68">
        <v>17</v>
      </c>
      <c r="AL54" s="68">
        <v>18</v>
      </c>
      <c r="AM54" s="68">
        <v>19</v>
      </c>
      <c r="AN54" s="68">
        <v>20</v>
      </c>
      <c r="AO54" s="68">
        <v>21</v>
      </c>
      <c r="AP54" s="68">
        <v>22</v>
      </c>
      <c r="AQ54" s="68">
        <v>23</v>
      </c>
      <c r="AR54" s="68">
        <v>24</v>
      </c>
      <c r="AS54" s="68">
        <v>25</v>
      </c>
      <c r="AT54" s="68">
        <v>26</v>
      </c>
      <c r="AU54" s="68">
        <v>27</v>
      </c>
      <c r="AV54" s="68">
        <v>28</v>
      </c>
      <c r="AW54" s="68">
        <v>29</v>
      </c>
      <c r="AX54" s="68">
        <v>30</v>
      </c>
      <c r="AY54" s="68">
        <v>31</v>
      </c>
      <c r="AZ54" s="68">
        <v>32</v>
      </c>
      <c r="BA54" s="68">
        <v>33</v>
      </c>
      <c r="BB54" s="68">
        <v>34</v>
      </c>
      <c r="BC54" s="69"/>
      <c r="BD54" s="70"/>
      <c r="BE54" s="71"/>
      <c r="BF54" s="71"/>
      <c r="BG54" s="71"/>
      <c r="BH54" s="71"/>
      <c r="BI54" s="71"/>
      <c r="BJ54" s="71"/>
      <c r="BK54" s="71"/>
      <c r="BL54" s="71"/>
      <c r="BM54" s="71"/>
      <c r="BN54" s="71" t="s">
        <v>97</v>
      </c>
      <c r="BO54" s="71" t="s">
        <v>100</v>
      </c>
      <c r="BP54" s="71"/>
    </row>
    <row r="55" spans="1:296" x14ac:dyDescent="0.25">
      <c r="A55" s="5" t="s">
        <v>53</v>
      </c>
      <c r="B55" s="8">
        <f t="shared" ref="B55:T55" si="8">AJ18</f>
        <v>1</v>
      </c>
      <c r="C55" s="8">
        <f t="shared" si="8"/>
        <v>1</v>
      </c>
      <c r="D55" s="8">
        <f t="shared" si="8"/>
        <v>0</v>
      </c>
      <c r="E55" s="8">
        <f t="shared" si="8"/>
        <v>0</v>
      </c>
      <c r="F55" s="8">
        <f t="shared" si="8"/>
        <v>3</v>
      </c>
      <c r="G55" s="8">
        <f t="shared" si="8"/>
        <v>0</v>
      </c>
      <c r="H55" s="8">
        <f t="shared" si="8"/>
        <v>1</v>
      </c>
      <c r="I55" s="8">
        <f t="shared" si="8"/>
        <v>4</v>
      </c>
      <c r="J55" s="8">
        <f t="shared" si="8"/>
        <v>2</v>
      </c>
      <c r="K55" s="8">
        <f t="shared" si="8"/>
        <v>2</v>
      </c>
      <c r="L55" s="8">
        <f t="shared" si="8"/>
        <v>3</v>
      </c>
      <c r="M55" s="8">
        <f t="shared" si="8"/>
        <v>4</v>
      </c>
      <c r="N55" s="8">
        <f t="shared" si="8"/>
        <v>4</v>
      </c>
      <c r="O55" s="8">
        <f t="shared" si="8"/>
        <v>3</v>
      </c>
      <c r="P55" s="8">
        <f t="shared" si="8"/>
        <v>7</v>
      </c>
      <c r="Q55" s="8">
        <f t="shared" si="8"/>
        <v>2</v>
      </c>
      <c r="R55" s="8">
        <f t="shared" si="8"/>
        <v>12</v>
      </c>
      <c r="S55" s="8">
        <f t="shared" si="8"/>
        <v>13</v>
      </c>
      <c r="T55" s="8">
        <f t="shared" si="8"/>
        <v>4</v>
      </c>
      <c r="U55" s="4">
        <f t="shared" ref="U55:AD56" si="9">B23</f>
        <v>1</v>
      </c>
      <c r="V55" s="4">
        <f t="shared" si="9"/>
        <v>12</v>
      </c>
      <c r="W55" s="4">
        <f t="shared" si="9"/>
        <v>18</v>
      </c>
      <c r="X55" s="4">
        <f t="shared" si="9"/>
        <v>8</v>
      </c>
      <c r="Y55" s="4">
        <f t="shared" si="9"/>
        <v>5</v>
      </c>
      <c r="Z55" s="4">
        <f t="shared" si="9"/>
        <v>4</v>
      </c>
      <c r="AA55" s="4">
        <f t="shared" si="9"/>
        <v>6</v>
      </c>
      <c r="AB55" s="4">
        <f t="shared" si="9"/>
        <v>10</v>
      </c>
      <c r="AC55" s="4">
        <f t="shared" si="9"/>
        <v>4</v>
      </c>
      <c r="AD55" s="4">
        <f t="shared" si="9"/>
        <v>15</v>
      </c>
      <c r="AE55" s="4">
        <f t="shared" ref="AE55:AN56" si="10">L23</f>
        <v>6</v>
      </c>
      <c r="AF55" s="4">
        <f t="shared" si="10"/>
        <v>4</v>
      </c>
      <c r="AG55" s="4">
        <f t="shared" si="10"/>
        <v>5</v>
      </c>
      <c r="AH55" s="4">
        <f t="shared" si="10"/>
        <v>15</v>
      </c>
      <c r="AI55" s="4">
        <f t="shared" si="10"/>
        <v>10</v>
      </c>
      <c r="AJ55" s="4">
        <f t="shared" si="10"/>
        <v>6</v>
      </c>
      <c r="AK55" s="4">
        <f t="shared" si="10"/>
        <v>8</v>
      </c>
      <c r="AL55" s="4">
        <f t="shared" si="10"/>
        <v>4</v>
      </c>
      <c r="AM55" s="4">
        <f t="shared" si="10"/>
        <v>6</v>
      </c>
      <c r="AN55" s="4">
        <f t="shared" si="10"/>
        <v>5</v>
      </c>
      <c r="AO55" s="4">
        <f t="shared" ref="AO55:AX56" si="11">V23</f>
        <v>1</v>
      </c>
      <c r="AP55" s="4">
        <f t="shared" si="11"/>
        <v>0</v>
      </c>
      <c r="AQ55" s="4">
        <f t="shared" si="11"/>
        <v>0</v>
      </c>
      <c r="AR55" s="4">
        <f t="shared" si="11"/>
        <v>5</v>
      </c>
      <c r="AS55" s="4">
        <f t="shared" si="11"/>
        <v>3</v>
      </c>
      <c r="AT55" s="4">
        <f t="shared" si="11"/>
        <v>1</v>
      </c>
      <c r="AU55" s="4">
        <f t="shared" si="11"/>
        <v>1</v>
      </c>
      <c r="AV55" s="4">
        <f t="shared" si="11"/>
        <v>2</v>
      </c>
      <c r="AW55" s="4">
        <f t="shared" si="11"/>
        <v>1</v>
      </c>
      <c r="AX55" s="4">
        <f t="shared" si="11"/>
        <v>2</v>
      </c>
      <c r="AY55" s="4">
        <f t="shared" ref="AY55:BB56" si="12">AF23</f>
        <v>0</v>
      </c>
      <c r="AZ55" s="4">
        <f t="shared" si="12"/>
        <v>0</v>
      </c>
      <c r="BA55" s="4">
        <f t="shared" si="12"/>
        <v>2</v>
      </c>
      <c r="BB55" s="4">
        <f t="shared" si="12"/>
        <v>0</v>
      </c>
      <c r="BC55" s="30"/>
      <c r="BN55" s="3">
        <f>SUM(B51:AZ51)</f>
        <v>4143</v>
      </c>
      <c r="BO55" s="3">
        <f>SUM(B55:BA55)</f>
        <v>236</v>
      </c>
    </row>
    <row r="56" spans="1:296" x14ac:dyDescent="0.25">
      <c r="A56" s="5" t="s">
        <v>54</v>
      </c>
      <c r="B56" s="8">
        <f t="shared" ref="B56:H56" si="13">AJ19</f>
        <v>0</v>
      </c>
      <c r="C56" s="8">
        <f t="shared" si="13"/>
        <v>0</v>
      </c>
      <c r="D56" s="8">
        <f t="shared" si="13"/>
        <v>0</v>
      </c>
      <c r="E56" s="8">
        <f t="shared" si="13"/>
        <v>0</v>
      </c>
      <c r="F56" s="8">
        <f t="shared" si="13"/>
        <v>0</v>
      </c>
      <c r="G56" s="8">
        <f t="shared" si="13"/>
        <v>0</v>
      </c>
      <c r="H56" s="8">
        <f t="shared" si="13"/>
        <v>0</v>
      </c>
      <c r="I56" s="8">
        <v>0</v>
      </c>
      <c r="J56" s="8">
        <f t="shared" ref="J56:T56" si="14">AR19</f>
        <v>0</v>
      </c>
      <c r="K56" s="8">
        <f t="shared" si="14"/>
        <v>0</v>
      </c>
      <c r="L56" s="8">
        <f t="shared" si="14"/>
        <v>0</v>
      </c>
      <c r="M56" s="8">
        <f t="shared" si="14"/>
        <v>0</v>
      </c>
      <c r="N56" s="8">
        <f t="shared" si="14"/>
        <v>0</v>
      </c>
      <c r="O56" s="8">
        <f t="shared" si="14"/>
        <v>0</v>
      </c>
      <c r="P56" s="8">
        <f t="shared" si="14"/>
        <v>0</v>
      </c>
      <c r="Q56" s="8">
        <f t="shared" si="14"/>
        <v>1</v>
      </c>
      <c r="R56" s="8">
        <f t="shared" si="14"/>
        <v>0</v>
      </c>
      <c r="S56" s="8">
        <f t="shared" si="14"/>
        <v>2</v>
      </c>
      <c r="T56" s="8">
        <f t="shared" si="14"/>
        <v>0</v>
      </c>
      <c r="U56" s="4">
        <f t="shared" si="9"/>
        <v>1</v>
      </c>
      <c r="V56" s="4">
        <f t="shared" si="9"/>
        <v>2</v>
      </c>
      <c r="W56" s="4">
        <f t="shared" si="9"/>
        <v>3</v>
      </c>
      <c r="X56" s="4">
        <f t="shared" si="9"/>
        <v>1</v>
      </c>
      <c r="Y56" s="4">
        <f t="shared" si="9"/>
        <v>1</v>
      </c>
      <c r="Z56" s="4">
        <f t="shared" si="9"/>
        <v>1</v>
      </c>
      <c r="AA56" s="4">
        <f t="shared" si="9"/>
        <v>1</v>
      </c>
      <c r="AB56" s="4">
        <f t="shared" si="9"/>
        <v>1</v>
      </c>
      <c r="AC56" s="4">
        <f t="shared" si="9"/>
        <v>0</v>
      </c>
      <c r="AD56" s="4">
        <f t="shared" si="9"/>
        <v>1</v>
      </c>
      <c r="AE56" s="4">
        <f t="shared" si="10"/>
        <v>0</v>
      </c>
      <c r="AF56" s="4">
        <f t="shared" si="10"/>
        <v>1</v>
      </c>
      <c r="AG56" s="4">
        <f t="shared" si="10"/>
        <v>0</v>
      </c>
      <c r="AH56" s="4">
        <f t="shared" si="10"/>
        <v>6</v>
      </c>
      <c r="AI56" s="4">
        <f t="shared" si="10"/>
        <v>2</v>
      </c>
      <c r="AJ56" s="4">
        <f t="shared" si="10"/>
        <v>0</v>
      </c>
      <c r="AK56" s="4">
        <f t="shared" si="10"/>
        <v>0</v>
      </c>
      <c r="AL56" s="4">
        <f t="shared" si="10"/>
        <v>0</v>
      </c>
      <c r="AM56" s="4">
        <f t="shared" si="10"/>
        <v>1</v>
      </c>
      <c r="AN56" s="4">
        <f t="shared" si="10"/>
        <v>1</v>
      </c>
      <c r="AO56" s="4">
        <f t="shared" si="11"/>
        <v>0</v>
      </c>
      <c r="AP56" s="4">
        <f t="shared" si="11"/>
        <v>0</v>
      </c>
      <c r="AQ56" s="4">
        <f t="shared" si="11"/>
        <v>0</v>
      </c>
      <c r="AR56" s="4">
        <f t="shared" si="11"/>
        <v>0</v>
      </c>
      <c r="AS56" s="4">
        <f t="shared" si="11"/>
        <v>0</v>
      </c>
      <c r="AT56" s="4">
        <f t="shared" si="11"/>
        <v>0</v>
      </c>
      <c r="AU56" s="4">
        <f t="shared" si="11"/>
        <v>0</v>
      </c>
      <c r="AV56" s="4">
        <f t="shared" si="11"/>
        <v>0</v>
      </c>
      <c r="AW56" s="4">
        <f t="shared" si="11"/>
        <v>0</v>
      </c>
      <c r="AX56" s="4">
        <f t="shared" si="11"/>
        <v>0</v>
      </c>
      <c r="AY56" s="4">
        <f t="shared" si="12"/>
        <v>0</v>
      </c>
      <c r="AZ56" s="4">
        <f t="shared" si="12"/>
        <v>0</v>
      </c>
      <c r="BA56" s="4">
        <f t="shared" si="12"/>
        <v>0</v>
      </c>
      <c r="BB56" s="4">
        <f t="shared" si="12"/>
        <v>0</v>
      </c>
      <c r="BC56" s="30"/>
      <c r="BN56" s="3">
        <f>SUM(B52:AZ52)</f>
        <v>2630</v>
      </c>
      <c r="BO56" s="3">
        <f>SUM(B56:BA56)</f>
        <v>26</v>
      </c>
    </row>
    <row r="57" spans="1:296" x14ac:dyDescent="0.25">
      <c r="A57" s="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C57" s="30"/>
    </row>
    <row r="58" spans="1:296" x14ac:dyDescent="0.25">
      <c r="A58" s="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C58" s="30"/>
    </row>
    <row r="59" spans="1:296" ht="26.4" x14ac:dyDescent="0.25">
      <c r="A59" s="66" t="s">
        <v>117</v>
      </c>
      <c r="B59" s="67">
        <v>35</v>
      </c>
      <c r="C59" s="67" t="s">
        <v>38</v>
      </c>
      <c r="D59" s="67" t="s">
        <v>39</v>
      </c>
      <c r="E59" s="67">
        <v>38</v>
      </c>
      <c r="F59" s="67">
        <v>39</v>
      </c>
      <c r="G59" s="67" t="s">
        <v>40</v>
      </c>
      <c r="H59" s="67" t="s">
        <v>41</v>
      </c>
      <c r="I59" s="67" t="s">
        <v>42</v>
      </c>
      <c r="J59" s="67" t="s">
        <v>43</v>
      </c>
      <c r="K59" s="67" t="s">
        <v>44</v>
      </c>
      <c r="L59" s="67">
        <v>45</v>
      </c>
      <c r="M59" s="67" t="s">
        <v>45</v>
      </c>
      <c r="N59" s="67" t="s">
        <v>46</v>
      </c>
      <c r="O59" s="67" t="s">
        <v>47</v>
      </c>
      <c r="P59" s="67" t="s">
        <v>48</v>
      </c>
      <c r="Q59" s="67" t="s">
        <v>49</v>
      </c>
      <c r="R59" s="67" t="s">
        <v>50</v>
      </c>
      <c r="S59" s="67" t="s">
        <v>51</v>
      </c>
      <c r="T59" s="68">
        <v>1</v>
      </c>
      <c r="U59" s="68">
        <v>2</v>
      </c>
      <c r="V59" s="68">
        <v>3</v>
      </c>
      <c r="W59" s="68">
        <v>4</v>
      </c>
      <c r="X59" s="68">
        <v>5</v>
      </c>
      <c r="Y59" s="68">
        <v>6</v>
      </c>
      <c r="Z59" s="68">
        <v>7</v>
      </c>
      <c r="AA59" s="68">
        <v>8</v>
      </c>
      <c r="AB59" s="68">
        <v>9</v>
      </c>
      <c r="AC59" s="68">
        <v>10</v>
      </c>
      <c r="AD59" s="69">
        <v>11</v>
      </c>
      <c r="AE59" s="68">
        <v>12</v>
      </c>
      <c r="AF59" s="68">
        <v>13</v>
      </c>
      <c r="AG59" s="68">
        <v>14</v>
      </c>
      <c r="AH59" s="68">
        <v>15</v>
      </c>
      <c r="AI59" s="68">
        <v>16</v>
      </c>
      <c r="AJ59" s="68">
        <v>17</v>
      </c>
      <c r="AK59" s="68">
        <v>18</v>
      </c>
      <c r="AL59" s="68">
        <v>19</v>
      </c>
      <c r="AM59" s="68">
        <v>20</v>
      </c>
      <c r="AN59" s="68">
        <v>21</v>
      </c>
      <c r="AO59" s="68">
        <v>22</v>
      </c>
      <c r="AP59" s="68">
        <v>23</v>
      </c>
      <c r="AQ59" s="68">
        <v>24</v>
      </c>
      <c r="AR59" s="68">
        <v>25</v>
      </c>
      <c r="AS59" s="68">
        <v>26</v>
      </c>
      <c r="AT59" s="68">
        <v>27</v>
      </c>
      <c r="AU59" s="68">
        <v>28</v>
      </c>
      <c r="AV59" s="68">
        <v>29</v>
      </c>
      <c r="AW59" s="68">
        <v>30</v>
      </c>
      <c r="AX59" s="68">
        <v>31</v>
      </c>
      <c r="AY59" s="68">
        <v>32</v>
      </c>
      <c r="AZ59" s="68">
        <v>33</v>
      </c>
      <c r="BA59" s="68">
        <v>34</v>
      </c>
      <c r="BC59" s="69"/>
      <c r="BD59" s="70"/>
      <c r="BE59" s="71"/>
      <c r="BF59" s="71"/>
      <c r="BG59" s="71"/>
      <c r="BH59" s="71"/>
      <c r="BI59" s="71"/>
      <c r="BJ59" s="71"/>
      <c r="BK59" s="71"/>
      <c r="BL59" s="71"/>
      <c r="BM59" s="71"/>
      <c r="BN59" s="71" t="s">
        <v>100</v>
      </c>
      <c r="BO59" s="71" t="s">
        <v>116</v>
      </c>
      <c r="BP59" s="71"/>
    </row>
    <row r="60" spans="1:296" x14ac:dyDescent="0.25">
      <c r="A60" s="5" t="s">
        <v>53</v>
      </c>
      <c r="B60" s="8">
        <f t="shared" ref="B60:K61" si="15">AJ23</f>
        <v>0</v>
      </c>
      <c r="C60" s="8">
        <f t="shared" si="15"/>
        <v>1</v>
      </c>
      <c r="D60" s="8">
        <f t="shared" si="15"/>
        <v>2</v>
      </c>
      <c r="E60" s="8">
        <f t="shared" si="15"/>
        <v>4</v>
      </c>
      <c r="F60" s="8">
        <f t="shared" si="15"/>
        <v>2</v>
      </c>
      <c r="G60" s="8">
        <f t="shared" si="15"/>
        <v>6</v>
      </c>
      <c r="H60" s="8">
        <f t="shared" si="15"/>
        <v>2</v>
      </c>
      <c r="I60" s="8">
        <f t="shared" si="15"/>
        <v>6</v>
      </c>
      <c r="J60" s="8">
        <f t="shared" si="15"/>
        <v>3</v>
      </c>
      <c r="K60" s="8">
        <f t="shared" si="15"/>
        <v>7</v>
      </c>
      <c r="L60" s="8">
        <f t="shared" ref="L60:S61" si="16">AT23</f>
        <v>3</v>
      </c>
      <c r="M60" s="8">
        <f t="shared" si="16"/>
        <v>5</v>
      </c>
      <c r="N60" s="8">
        <f t="shared" si="16"/>
        <v>6</v>
      </c>
      <c r="O60" s="8">
        <f t="shared" si="16"/>
        <v>2</v>
      </c>
      <c r="P60" s="8">
        <f t="shared" si="16"/>
        <v>6</v>
      </c>
      <c r="Q60" s="8">
        <f t="shared" si="16"/>
        <v>0</v>
      </c>
      <c r="R60" s="8">
        <f t="shared" si="16"/>
        <v>7</v>
      </c>
      <c r="S60" s="8">
        <f t="shared" si="16"/>
        <v>10</v>
      </c>
      <c r="T60" s="8">
        <f t="shared" ref="T60:AC61" si="17">B28</f>
        <v>13</v>
      </c>
      <c r="U60" s="8">
        <f t="shared" si="17"/>
        <v>8</v>
      </c>
      <c r="V60" s="8">
        <f t="shared" si="17"/>
        <v>19</v>
      </c>
      <c r="W60" s="8">
        <f t="shared" si="17"/>
        <v>7</v>
      </c>
      <c r="X60" s="8">
        <f t="shared" si="17"/>
        <v>2</v>
      </c>
      <c r="Y60" s="8">
        <f t="shared" si="17"/>
        <v>10</v>
      </c>
      <c r="Z60" s="8">
        <f t="shared" si="17"/>
        <v>6</v>
      </c>
      <c r="AA60" s="8">
        <f t="shared" si="17"/>
        <v>9</v>
      </c>
      <c r="AB60" s="8">
        <f t="shared" si="17"/>
        <v>23</v>
      </c>
      <c r="AC60" s="8">
        <f t="shared" si="17"/>
        <v>29</v>
      </c>
      <c r="AD60" s="8">
        <f t="shared" ref="AD60:AM61" si="18">L28</f>
        <v>32</v>
      </c>
      <c r="AE60" s="8">
        <f t="shared" si="18"/>
        <v>31</v>
      </c>
      <c r="AF60" s="8">
        <f t="shared" si="18"/>
        <v>16</v>
      </c>
      <c r="AG60" s="8">
        <f t="shared" si="18"/>
        <v>21</v>
      </c>
      <c r="AH60" s="8">
        <f t="shared" si="18"/>
        <v>15</v>
      </c>
      <c r="AI60" s="8">
        <f t="shared" si="18"/>
        <v>24</v>
      </c>
      <c r="AJ60" s="8">
        <f t="shared" si="18"/>
        <v>33</v>
      </c>
      <c r="AK60" s="8">
        <f t="shared" si="18"/>
        <v>16</v>
      </c>
      <c r="AL60" s="8">
        <f t="shared" si="18"/>
        <v>44</v>
      </c>
      <c r="AM60" s="8">
        <f t="shared" si="18"/>
        <v>21</v>
      </c>
      <c r="AN60" s="8">
        <f t="shared" ref="AN60:AW61" si="19">V28</f>
        <v>6</v>
      </c>
      <c r="AO60" s="8">
        <f t="shared" si="19"/>
        <v>1</v>
      </c>
      <c r="AP60" s="8">
        <f t="shared" si="19"/>
        <v>1</v>
      </c>
      <c r="AQ60" s="8">
        <f t="shared" si="19"/>
        <v>5</v>
      </c>
      <c r="AR60" s="8">
        <f t="shared" si="19"/>
        <v>6</v>
      </c>
      <c r="AS60" s="8">
        <f t="shared" si="19"/>
        <v>2</v>
      </c>
      <c r="AT60" s="8">
        <f t="shared" si="19"/>
        <v>11</v>
      </c>
      <c r="AU60" s="8">
        <f t="shared" si="19"/>
        <v>7</v>
      </c>
      <c r="AV60" s="8">
        <f t="shared" si="19"/>
        <v>13</v>
      </c>
      <c r="AW60" s="8">
        <f t="shared" si="19"/>
        <v>0</v>
      </c>
      <c r="AX60" s="8">
        <f t="shared" ref="AX60:BA61" si="20">AF28</f>
        <v>1</v>
      </c>
      <c r="AY60" s="8">
        <f t="shared" si="20"/>
        <v>1</v>
      </c>
      <c r="AZ60" s="8">
        <f t="shared" si="20"/>
        <v>0</v>
      </c>
      <c r="BA60" s="8">
        <f t="shared" si="20"/>
        <v>0</v>
      </c>
      <c r="BB60" s="4"/>
      <c r="BC60" s="30"/>
      <c r="BN60" s="3">
        <f>SUM(B55:BB55)</f>
        <v>236</v>
      </c>
      <c r="BO60" s="3">
        <f>SUM(B60:BA60)</f>
        <v>505</v>
      </c>
    </row>
    <row r="61" spans="1:296" x14ac:dyDescent="0.25">
      <c r="A61" s="5" t="s">
        <v>54</v>
      </c>
      <c r="B61" s="8">
        <f t="shared" si="15"/>
        <v>0</v>
      </c>
      <c r="C61" s="8">
        <f t="shared" si="15"/>
        <v>0</v>
      </c>
      <c r="D61" s="8">
        <f t="shared" si="15"/>
        <v>0</v>
      </c>
      <c r="E61" s="8">
        <f t="shared" si="15"/>
        <v>1</v>
      </c>
      <c r="F61" s="8">
        <f t="shared" si="15"/>
        <v>0</v>
      </c>
      <c r="G61" s="8">
        <f t="shared" si="15"/>
        <v>1</v>
      </c>
      <c r="H61" s="8">
        <f t="shared" si="15"/>
        <v>0</v>
      </c>
      <c r="I61" s="8">
        <f t="shared" si="15"/>
        <v>0</v>
      </c>
      <c r="J61" s="8">
        <f t="shared" si="15"/>
        <v>0</v>
      </c>
      <c r="K61" s="8">
        <f t="shared" si="15"/>
        <v>0</v>
      </c>
      <c r="L61" s="8">
        <f t="shared" si="16"/>
        <v>0</v>
      </c>
      <c r="M61" s="8">
        <f t="shared" si="16"/>
        <v>0</v>
      </c>
      <c r="N61" s="8">
        <f t="shared" si="16"/>
        <v>0</v>
      </c>
      <c r="O61" s="8">
        <f t="shared" si="16"/>
        <v>0</v>
      </c>
      <c r="P61" s="8">
        <f t="shared" si="16"/>
        <v>0</v>
      </c>
      <c r="Q61" s="8">
        <f t="shared" si="16"/>
        <v>0</v>
      </c>
      <c r="R61" s="8">
        <f t="shared" si="16"/>
        <v>2</v>
      </c>
      <c r="S61" s="8">
        <f t="shared" si="16"/>
        <v>0</v>
      </c>
      <c r="T61" s="8">
        <f t="shared" si="17"/>
        <v>0</v>
      </c>
      <c r="U61" s="8">
        <f t="shared" si="17"/>
        <v>0</v>
      </c>
      <c r="V61" s="8">
        <f t="shared" si="17"/>
        <v>0</v>
      </c>
      <c r="W61" s="8">
        <f t="shared" si="17"/>
        <v>0</v>
      </c>
      <c r="X61" s="8">
        <f t="shared" si="17"/>
        <v>0</v>
      </c>
      <c r="Y61" s="8">
        <f t="shared" si="17"/>
        <v>0</v>
      </c>
      <c r="Z61" s="8">
        <f t="shared" si="17"/>
        <v>0</v>
      </c>
      <c r="AA61" s="8">
        <f t="shared" si="17"/>
        <v>4</v>
      </c>
      <c r="AB61" s="8">
        <f t="shared" si="17"/>
        <v>9</v>
      </c>
      <c r="AC61" s="8">
        <f t="shared" si="17"/>
        <v>14</v>
      </c>
      <c r="AD61" s="8">
        <f t="shared" si="18"/>
        <v>15</v>
      </c>
      <c r="AE61" s="8">
        <f t="shared" si="18"/>
        <v>8</v>
      </c>
      <c r="AF61" s="8">
        <f t="shared" si="18"/>
        <v>3</v>
      </c>
      <c r="AG61" s="8">
        <f t="shared" si="18"/>
        <v>1</v>
      </c>
      <c r="AH61" s="8">
        <f t="shared" si="18"/>
        <v>3</v>
      </c>
      <c r="AI61" s="8">
        <f t="shared" si="18"/>
        <v>4</v>
      </c>
      <c r="AJ61" s="8">
        <f t="shared" si="18"/>
        <v>13</v>
      </c>
      <c r="AK61" s="8">
        <f t="shared" si="18"/>
        <v>4</v>
      </c>
      <c r="AL61" s="8">
        <f t="shared" si="18"/>
        <v>8</v>
      </c>
      <c r="AM61" s="8">
        <f t="shared" si="18"/>
        <v>6</v>
      </c>
      <c r="AN61" s="8">
        <f t="shared" si="19"/>
        <v>0</v>
      </c>
      <c r="AO61" s="8">
        <f t="shared" si="19"/>
        <v>0</v>
      </c>
      <c r="AP61" s="8">
        <f t="shared" si="19"/>
        <v>0</v>
      </c>
      <c r="AQ61" s="8">
        <f t="shared" si="19"/>
        <v>2</v>
      </c>
      <c r="AR61" s="8">
        <f t="shared" si="19"/>
        <v>0</v>
      </c>
      <c r="AS61" s="8">
        <f t="shared" si="19"/>
        <v>0</v>
      </c>
      <c r="AT61" s="8">
        <f t="shared" si="19"/>
        <v>0</v>
      </c>
      <c r="AU61" s="8">
        <f t="shared" si="19"/>
        <v>0</v>
      </c>
      <c r="AV61" s="8">
        <f t="shared" si="19"/>
        <v>0</v>
      </c>
      <c r="AW61" s="8">
        <f t="shared" si="19"/>
        <v>0</v>
      </c>
      <c r="AX61" s="8">
        <f t="shared" si="20"/>
        <v>0</v>
      </c>
      <c r="AY61" s="8">
        <f t="shared" si="20"/>
        <v>0</v>
      </c>
      <c r="AZ61" s="8">
        <f t="shared" si="20"/>
        <v>0</v>
      </c>
      <c r="BA61" s="8">
        <f t="shared" si="20"/>
        <v>0</v>
      </c>
      <c r="BB61" s="4"/>
      <c r="BC61" s="30"/>
      <c r="BN61" s="3">
        <f>SUM(B56:BB56)</f>
        <v>26</v>
      </c>
      <c r="BO61" s="3">
        <f>SUM(B61:BA61)</f>
        <v>98</v>
      </c>
    </row>
    <row r="62" spans="1:296" x14ac:dyDescent="0.25">
      <c r="A62" s="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4"/>
      <c r="BB62" s="4"/>
      <c r="BC62" s="30"/>
    </row>
    <row r="63" spans="1:296" x14ac:dyDescent="0.25">
      <c r="A63" s="5"/>
      <c r="B63" s="209">
        <v>2022</v>
      </c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>
        <v>2023</v>
      </c>
      <c r="U63" s="209"/>
      <c r="V63" s="209"/>
      <c r="W63" s="209"/>
      <c r="X63" s="209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4"/>
      <c r="BB63" s="4"/>
      <c r="BC63" s="30"/>
    </row>
    <row r="64" spans="1:296" ht="26.4" x14ac:dyDescent="0.25">
      <c r="A64" s="66" t="s">
        <v>134</v>
      </c>
      <c r="B64" s="67">
        <v>35</v>
      </c>
      <c r="C64" s="67" t="s">
        <v>38</v>
      </c>
      <c r="D64" s="67" t="s">
        <v>39</v>
      </c>
      <c r="E64" s="67">
        <v>38</v>
      </c>
      <c r="F64" s="67">
        <v>39</v>
      </c>
      <c r="G64" s="67" t="s">
        <v>40</v>
      </c>
      <c r="H64" s="67" t="s">
        <v>41</v>
      </c>
      <c r="I64" s="67" t="s">
        <v>42</v>
      </c>
      <c r="J64" s="67" t="s">
        <v>43</v>
      </c>
      <c r="K64" s="67" t="s">
        <v>44</v>
      </c>
      <c r="L64" s="67">
        <v>45</v>
      </c>
      <c r="M64" s="67" t="s">
        <v>45</v>
      </c>
      <c r="N64" s="67" t="s">
        <v>46</v>
      </c>
      <c r="O64" s="67" t="s">
        <v>47</v>
      </c>
      <c r="P64" s="67" t="s">
        <v>48</v>
      </c>
      <c r="Q64" s="67" t="s">
        <v>49</v>
      </c>
      <c r="R64" s="67" t="s">
        <v>50</v>
      </c>
      <c r="S64" s="67" t="s">
        <v>51</v>
      </c>
      <c r="T64" s="68">
        <v>1</v>
      </c>
      <c r="U64" s="68">
        <v>2</v>
      </c>
      <c r="V64" s="68">
        <v>3</v>
      </c>
      <c r="W64" s="68">
        <v>4</v>
      </c>
      <c r="X64" s="68">
        <v>5</v>
      </c>
      <c r="Y64" s="68">
        <v>6</v>
      </c>
      <c r="Z64" s="68">
        <v>7</v>
      </c>
      <c r="AA64" s="68">
        <v>8</v>
      </c>
      <c r="AB64" s="68">
        <v>9</v>
      </c>
      <c r="AC64" s="68">
        <v>10</v>
      </c>
      <c r="AD64" s="69">
        <v>11</v>
      </c>
      <c r="AE64" s="68">
        <v>12</v>
      </c>
      <c r="AF64" s="68">
        <v>13</v>
      </c>
      <c r="AG64" s="68">
        <v>14</v>
      </c>
      <c r="AH64" s="68">
        <v>15</v>
      </c>
      <c r="AI64" s="68">
        <v>16</v>
      </c>
      <c r="AJ64" s="68">
        <v>17</v>
      </c>
      <c r="AK64" s="68">
        <v>18</v>
      </c>
      <c r="AL64" s="68">
        <v>19</v>
      </c>
      <c r="AM64" s="68">
        <v>20</v>
      </c>
      <c r="AN64" s="68">
        <v>21</v>
      </c>
      <c r="AO64" s="68">
        <v>22</v>
      </c>
      <c r="AP64" s="68">
        <v>23</v>
      </c>
      <c r="AQ64" s="68">
        <v>24</v>
      </c>
      <c r="AR64" s="68">
        <v>25</v>
      </c>
      <c r="AS64" s="68">
        <v>26</v>
      </c>
      <c r="AT64" s="68">
        <v>27</v>
      </c>
      <c r="AU64" s="68">
        <v>28</v>
      </c>
      <c r="AV64" s="68">
        <v>29</v>
      </c>
      <c r="AW64" s="68">
        <v>30</v>
      </c>
      <c r="AX64" s="68">
        <v>31</v>
      </c>
      <c r="AY64" s="68">
        <v>32</v>
      </c>
      <c r="AZ64" s="68">
        <v>33</v>
      </c>
      <c r="BA64" s="68">
        <v>34</v>
      </c>
      <c r="BC64" s="69"/>
      <c r="BD64" s="70"/>
      <c r="BE64" s="71"/>
      <c r="BF64" s="71"/>
      <c r="BG64" s="71"/>
      <c r="BH64" s="71"/>
      <c r="BI64" s="71"/>
      <c r="BJ64" s="71"/>
      <c r="BK64" s="71"/>
      <c r="BL64" s="71"/>
      <c r="BM64" s="71"/>
      <c r="BN64" s="71" t="s">
        <v>116</v>
      </c>
      <c r="BO64" s="71" t="s">
        <v>135</v>
      </c>
      <c r="BP64" s="71"/>
    </row>
    <row r="65" spans="1:68" x14ac:dyDescent="0.25">
      <c r="A65" s="5" t="s">
        <v>53</v>
      </c>
      <c r="B65" s="8">
        <f t="shared" ref="B65:K66" si="21">AJ28</f>
        <v>2</v>
      </c>
      <c r="C65" s="8">
        <f t="shared" si="21"/>
        <v>2</v>
      </c>
      <c r="D65" s="8">
        <f t="shared" si="21"/>
        <v>0</v>
      </c>
      <c r="E65" s="8">
        <f t="shared" si="21"/>
        <v>1</v>
      </c>
      <c r="F65" s="8">
        <f t="shared" si="21"/>
        <v>4</v>
      </c>
      <c r="G65" s="8">
        <f t="shared" si="21"/>
        <v>6</v>
      </c>
      <c r="H65" s="8">
        <f t="shared" si="21"/>
        <v>6</v>
      </c>
      <c r="I65" s="8">
        <f t="shared" si="21"/>
        <v>8</v>
      </c>
      <c r="J65" s="8">
        <f t="shared" si="21"/>
        <v>17</v>
      </c>
      <c r="K65" s="8">
        <f t="shared" si="21"/>
        <v>10</v>
      </c>
      <c r="L65" s="8">
        <f t="shared" ref="L65:S66" si="22">AT28</f>
        <v>23</v>
      </c>
      <c r="M65" s="8">
        <f t="shared" si="22"/>
        <v>22</v>
      </c>
      <c r="N65" s="8">
        <f t="shared" si="22"/>
        <v>20</v>
      </c>
      <c r="O65" s="8">
        <f t="shared" si="22"/>
        <v>21</v>
      </c>
      <c r="P65" s="8">
        <f t="shared" si="22"/>
        <v>22</v>
      </c>
      <c r="Q65" s="8">
        <f t="shared" si="22"/>
        <v>32</v>
      </c>
      <c r="R65" s="8">
        <f t="shared" si="22"/>
        <v>5</v>
      </c>
      <c r="S65" s="8">
        <f t="shared" si="22"/>
        <v>16</v>
      </c>
      <c r="T65" s="8">
        <f t="shared" ref="T65:AC66" si="23">B32</f>
        <v>21</v>
      </c>
      <c r="U65" s="8">
        <f t="shared" si="23"/>
        <v>19</v>
      </c>
      <c r="V65" s="8">
        <f t="shared" si="23"/>
        <v>52</v>
      </c>
      <c r="W65" s="8">
        <f t="shared" si="23"/>
        <v>75</v>
      </c>
      <c r="X65" s="8">
        <f t="shared" si="23"/>
        <v>135</v>
      </c>
      <c r="Y65" s="8">
        <f t="shared" si="23"/>
        <v>198</v>
      </c>
      <c r="Z65" s="8">
        <f t="shared" si="23"/>
        <v>194</v>
      </c>
      <c r="AA65" s="8">
        <f t="shared" si="23"/>
        <v>216</v>
      </c>
      <c r="AB65" s="8">
        <f t="shared" si="23"/>
        <v>263</v>
      </c>
      <c r="AC65" s="8">
        <f t="shared" si="23"/>
        <v>371</v>
      </c>
      <c r="AD65" s="8">
        <f t="shared" ref="AD65:AM66" si="24">L32</f>
        <v>415</v>
      </c>
      <c r="AE65" s="8">
        <f t="shared" si="24"/>
        <v>400</v>
      </c>
      <c r="AF65" s="8">
        <f t="shared" si="24"/>
        <v>343</v>
      </c>
      <c r="AG65" s="8">
        <f t="shared" si="24"/>
        <v>392</v>
      </c>
      <c r="AH65" s="8">
        <f t="shared" si="24"/>
        <v>398</v>
      </c>
      <c r="AI65" s="8">
        <f t="shared" si="24"/>
        <v>313</v>
      </c>
      <c r="AJ65" s="8">
        <f t="shared" si="24"/>
        <v>247</v>
      </c>
      <c r="AK65" s="8">
        <f t="shared" si="24"/>
        <v>189</v>
      </c>
      <c r="AL65" s="8">
        <f t="shared" si="24"/>
        <v>188</v>
      </c>
      <c r="AM65" s="8">
        <f t="shared" si="24"/>
        <v>78</v>
      </c>
      <c r="AN65" s="8">
        <f t="shared" ref="AN65:AU66" si="25">V32</f>
        <v>74</v>
      </c>
      <c r="AO65" s="8">
        <f t="shared" si="25"/>
        <v>84</v>
      </c>
      <c r="AP65" s="8">
        <f t="shared" si="25"/>
        <v>67</v>
      </c>
      <c r="AQ65" s="8">
        <f t="shared" si="25"/>
        <v>31</v>
      </c>
      <c r="AR65" s="8">
        <f t="shared" si="25"/>
        <v>16</v>
      </c>
      <c r="AS65" s="8">
        <f t="shared" si="25"/>
        <v>13</v>
      </c>
      <c r="AT65" s="8">
        <f t="shared" si="25"/>
        <v>7</v>
      </c>
      <c r="AU65" s="8">
        <f t="shared" si="25"/>
        <v>6</v>
      </c>
      <c r="AV65" s="8">
        <f t="shared" ref="AV65:BA65" si="26">AD32</f>
        <v>4</v>
      </c>
      <c r="AW65" s="8">
        <f t="shared" si="26"/>
        <v>3</v>
      </c>
      <c r="AX65" s="8">
        <f t="shared" si="26"/>
        <v>6</v>
      </c>
      <c r="AY65" s="8">
        <f t="shared" si="26"/>
        <v>5</v>
      </c>
      <c r="AZ65" s="8">
        <f t="shared" si="26"/>
        <v>4</v>
      </c>
      <c r="BA65" s="8">
        <f t="shared" si="26"/>
        <v>2</v>
      </c>
      <c r="BB65" s="4"/>
      <c r="BC65" s="30"/>
      <c r="BN65" s="3">
        <f>SUM(B60:L60)</f>
        <v>36</v>
      </c>
      <c r="BO65" s="3">
        <f>SUM(B65:BA65)</f>
        <v>5046</v>
      </c>
    </row>
    <row r="66" spans="1:68" x14ac:dyDescent="0.25">
      <c r="A66" s="5" t="s">
        <v>54</v>
      </c>
      <c r="B66" s="8">
        <f t="shared" si="21"/>
        <v>0</v>
      </c>
      <c r="C66" s="8">
        <f t="shared" si="21"/>
        <v>0</v>
      </c>
      <c r="D66" s="8">
        <f t="shared" si="21"/>
        <v>0</v>
      </c>
      <c r="E66" s="8">
        <f t="shared" si="21"/>
        <v>0</v>
      </c>
      <c r="F66" s="8">
        <f t="shared" si="21"/>
        <v>0</v>
      </c>
      <c r="G66" s="8">
        <f t="shared" si="21"/>
        <v>0</v>
      </c>
      <c r="H66" s="8">
        <f t="shared" si="21"/>
        <v>0</v>
      </c>
      <c r="I66" s="8">
        <f t="shared" si="21"/>
        <v>0</v>
      </c>
      <c r="J66" s="8">
        <f t="shared" si="21"/>
        <v>0</v>
      </c>
      <c r="K66" s="8">
        <f t="shared" si="21"/>
        <v>0</v>
      </c>
      <c r="L66" s="8">
        <f t="shared" si="22"/>
        <v>0</v>
      </c>
      <c r="M66" s="8">
        <f t="shared" si="22"/>
        <v>0</v>
      </c>
      <c r="N66" s="8">
        <f t="shared" si="22"/>
        <v>1</v>
      </c>
      <c r="O66" s="8">
        <f t="shared" si="22"/>
        <v>0</v>
      </c>
      <c r="P66" s="8">
        <f t="shared" si="22"/>
        <v>2</v>
      </c>
      <c r="Q66" s="8">
        <f t="shared" si="22"/>
        <v>1</v>
      </c>
      <c r="R66" s="8">
        <f t="shared" si="22"/>
        <v>2</v>
      </c>
      <c r="S66" s="8">
        <f t="shared" si="22"/>
        <v>2</v>
      </c>
      <c r="T66" s="8">
        <f t="shared" si="23"/>
        <v>4</v>
      </c>
      <c r="U66" s="8">
        <f t="shared" si="23"/>
        <v>2</v>
      </c>
      <c r="V66" s="8">
        <f t="shared" si="23"/>
        <v>11</v>
      </c>
      <c r="W66" s="8">
        <f t="shared" si="23"/>
        <v>21</v>
      </c>
      <c r="X66" s="8">
        <f t="shared" si="23"/>
        <v>57</v>
      </c>
      <c r="Y66" s="8">
        <f t="shared" si="23"/>
        <v>78</v>
      </c>
      <c r="Z66" s="8">
        <f t="shared" si="23"/>
        <v>97</v>
      </c>
      <c r="AA66" s="8">
        <f t="shared" si="23"/>
        <v>88</v>
      </c>
      <c r="AB66" s="8">
        <f t="shared" si="23"/>
        <v>78</v>
      </c>
      <c r="AC66" s="8">
        <f t="shared" si="23"/>
        <v>175</v>
      </c>
      <c r="AD66" s="8">
        <f t="shared" si="24"/>
        <v>130</v>
      </c>
      <c r="AE66" s="8">
        <f t="shared" si="24"/>
        <v>283</v>
      </c>
      <c r="AF66" s="8">
        <f t="shared" si="24"/>
        <v>140</v>
      </c>
      <c r="AG66" s="8">
        <f t="shared" si="24"/>
        <v>194</v>
      </c>
      <c r="AH66" s="8">
        <f t="shared" si="24"/>
        <v>220</v>
      </c>
      <c r="AI66" s="8">
        <f t="shared" si="24"/>
        <v>170</v>
      </c>
      <c r="AJ66" s="8">
        <f t="shared" si="24"/>
        <v>86</v>
      </c>
      <c r="AK66" s="8">
        <f t="shared" si="24"/>
        <v>98</v>
      </c>
      <c r="AL66" s="8">
        <f t="shared" si="24"/>
        <v>37</v>
      </c>
      <c r="AM66" s="8">
        <f t="shared" si="24"/>
        <v>24</v>
      </c>
      <c r="AN66" s="8">
        <f t="shared" si="25"/>
        <v>21</v>
      </c>
      <c r="AO66" s="8">
        <f t="shared" si="25"/>
        <v>21</v>
      </c>
      <c r="AP66" s="8">
        <f t="shared" si="25"/>
        <v>19</v>
      </c>
      <c r="AQ66" s="8">
        <f t="shared" si="25"/>
        <v>9</v>
      </c>
      <c r="AR66" s="8">
        <f t="shared" si="25"/>
        <v>2</v>
      </c>
      <c r="AS66" s="8">
        <f t="shared" si="25"/>
        <v>3</v>
      </c>
      <c r="AT66" s="8">
        <f t="shared" si="25"/>
        <v>4</v>
      </c>
      <c r="AU66" s="8">
        <f t="shared" si="25"/>
        <v>2</v>
      </c>
      <c r="AV66" s="8">
        <f t="shared" ref="AV66:BA66" si="27">AD33</f>
        <v>0</v>
      </c>
      <c r="AW66" s="8">
        <f t="shared" si="27"/>
        <v>0</v>
      </c>
      <c r="AX66" s="8">
        <f t="shared" si="27"/>
        <v>1</v>
      </c>
      <c r="AY66" s="8">
        <f t="shared" si="27"/>
        <v>0</v>
      </c>
      <c r="AZ66" s="8">
        <f t="shared" si="27"/>
        <v>0</v>
      </c>
      <c r="BA66" s="8">
        <f t="shared" si="27"/>
        <v>0</v>
      </c>
      <c r="BB66" s="4"/>
      <c r="BC66" s="30"/>
      <c r="BN66" s="3">
        <f>SUM(B61:L61)</f>
        <v>2</v>
      </c>
      <c r="BO66" s="3">
        <f>SUM(B66:BA66)</f>
        <v>2083</v>
      </c>
    </row>
    <row r="67" spans="1:68" x14ac:dyDescent="0.25">
      <c r="A67" s="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4"/>
      <c r="BC67" s="30"/>
    </row>
    <row r="68" spans="1:68" x14ac:dyDescent="0.25">
      <c r="A68" s="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4"/>
      <c r="BC68" s="30"/>
    </row>
    <row r="69" spans="1:68" ht="26.4" x14ac:dyDescent="0.25">
      <c r="A69" s="66" t="s">
        <v>180</v>
      </c>
      <c r="B69" s="67">
        <v>35</v>
      </c>
      <c r="C69" s="67" t="s">
        <v>38</v>
      </c>
      <c r="D69" s="67" t="s">
        <v>39</v>
      </c>
      <c r="E69" s="67">
        <v>38</v>
      </c>
      <c r="F69" s="67">
        <v>39</v>
      </c>
      <c r="G69" s="67" t="s">
        <v>40</v>
      </c>
      <c r="H69" s="67" t="s">
        <v>41</v>
      </c>
      <c r="I69" s="67" t="s">
        <v>42</v>
      </c>
      <c r="J69" s="67" t="s">
        <v>43</v>
      </c>
      <c r="K69" s="67" t="s">
        <v>44</v>
      </c>
      <c r="L69" s="67">
        <v>45</v>
      </c>
      <c r="M69" s="67" t="s">
        <v>45</v>
      </c>
      <c r="N69" s="67" t="s">
        <v>46</v>
      </c>
      <c r="O69" s="67" t="s">
        <v>47</v>
      </c>
      <c r="P69" s="67" t="s">
        <v>48</v>
      </c>
      <c r="Q69" s="67" t="s">
        <v>49</v>
      </c>
      <c r="R69" s="67" t="s">
        <v>50</v>
      </c>
      <c r="S69" s="67" t="s">
        <v>51</v>
      </c>
      <c r="T69" s="68">
        <v>1</v>
      </c>
      <c r="U69" s="68">
        <v>2</v>
      </c>
      <c r="V69" s="68">
        <v>3</v>
      </c>
      <c r="W69" s="68">
        <v>4</v>
      </c>
      <c r="X69" s="68">
        <v>5</v>
      </c>
      <c r="Y69" s="68">
        <v>6</v>
      </c>
      <c r="Z69" s="68">
        <v>7</v>
      </c>
      <c r="AA69" s="68">
        <v>8</v>
      </c>
      <c r="AB69" s="68">
        <v>9</v>
      </c>
      <c r="AC69" s="68">
        <v>10</v>
      </c>
      <c r="AD69" s="69">
        <v>11</v>
      </c>
      <c r="AE69" s="68">
        <v>12</v>
      </c>
      <c r="AF69" s="68">
        <v>13</v>
      </c>
      <c r="AG69" s="68">
        <v>14</v>
      </c>
      <c r="AH69" s="68">
        <v>15</v>
      </c>
      <c r="AI69" s="68">
        <v>16</v>
      </c>
      <c r="AJ69" s="68">
        <v>17</v>
      </c>
      <c r="AK69" s="68">
        <v>18</v>
      </c>
      <c r="AL69" s="68">
        <v>19</v>
      </c>
      <c r="AM69" s="68">
        <v>20</v>
      </c>
      <c r="AN69" s="68">
        <v>21</v>
      </c>
      <c r="AO69" s="68">
        <v>22</v>
      </c>
      <c r="AP69" s="68">
        <v>23</v>
      </c>
      <c r="AQ69" s="68">
        <v>24</v>
      </c>
      <c r="AR69" s="68">
        <v>25</v>
      </c>
      <c r="AS69" s="68">
        <v>26</v>
      </c>
      <c r="AT69" s="68">
        <v>27</v>
      </c>
      <c r="AU69" s="68">
        <v>28</v>
      </c>
      <c r="AV69" s="68">
        <v>29</v>
      </c>
      <c r="AW69" s="68">
        <v>30</v>
      </c>
      <c r="AX69" s="68">
        <v>31</v>
      </c>
      <c r="AY69" s="68">
        <v>32</v>
      </c>
      <c r="AZ69" s="68">
        <v>33</v>
      </c>
      <c r="BA69" s="68">
        <v>34</v>
      </c>
      <c r="BC69" s="69"/>
      <c r="BD69" s="70"/>
      <c r="BE69" s="71"/>
      <c r="BF69" s="71"/>
      <c r="BG69" s="71"/>
      <c r="BH69" s="71"/>
      <c r="BI69" s="71"/>
      <c r="BJ69" s="71"/>
      <c r="BK69" s="71"/>
      <c r="BL69" s="71"/>
      <c r="BM69" s="71"/>
      <c r="BN69" s="71" t="s">
        <v>116</v>
      </c>
      <c r="BO69" s="71" t="s">
        <v>135</v>
      </c>
      <c r="BP69" s="71"/>
    </row>
    <row r="70" spans="1:68" x14ac:dyDescent="0.25">
      <c r="A70" s="5" t="s">
        <v>53</v>
      </c>
      <c r="B70" s="8">
        <f>AJ32</f>
        <v>2</v>
      </c>
      <c r="C70" s="8">
        <f t="shared" ref="C70:D70" si="28">AK32</f>
        <v>11</v>
      </c>
      <c r="D70" s="8">
        <f t="shared" si="28"/>
        <v>6</v>
      </c>
      <c r="E70" s="8">
        <f t="shared" ref="E70:S71" si="29">AM32</f>
        <v>8</v>
      </c>
      <c r="F70" s="8">
        <f t="shared" si="29"/>
        <v>5</v>
      </c>
      <c r="G70" s="8">
        <f t="shared" si="29"/>
        <v>3</v>
      </c>
      <c r="H70" s="8">
        <f t="shared" si="29"/>
        <v>5</v>
      </c>
      <c r="I70" s="8">
        <f t="shared" si="29"/>
        <v>3</v>
      </c>
      <c r="J70" s="8">
        <f t="shared" si="29"/>
        <v>10</v>
      </c>
      <c r="K70" s="8">
        <f t="shared" si="29"/>
        <v>4</v>
      </c>
      <c r="L70" s="8">
        <f t="shared" si="29"/>
        <v>9</v>
      </c>
      <c r="M70" s="8">
        <f t="shared" si="29"/>
        <v>8</v>
      </c>
      <c r="N70" s="8">
        <f t="shared" si="29"/>
        <v>0</v>
      </c>
      <c r="O70" s="8">
        <f t="shared" si="29"/>
        <v>14</v>
      </c>
      <c r="P70" s="8">
        <f t="shared" si="29"/>
        <v>12</v>
      </c>
      <c r="Q70" s="8">
        <f t="shared" si="29"/>
        <v>22</v>
      </c>
      <c r="R70" s="8">
        <f t="shared" si="29"/>
        <v>11</v>
      </c>
      <c r="S70" s="8">
        <f t="shared" si="29"/>
        <v>19</v>
      </c>
      <c r="T70" s="8">
        <f>B36</f>
        <v>27</v>
      </c>
      <c r="U70" s="8">
        <f t="shared" ref="U70:Z70" si="30">C36</f>
        <v>38</v>
      </c>
      <c r="V70" s="8">
        <f t="shared" si="30"/>
        <v>25</v>
      </c>
      <c r="W70" s="8">
        <f t="shared" si="30"/>
        <v>25</v>
      </c>
      <c r="X70" s="8">
        <f t="shared" si="30"/>
        <v>36</v>
      </c>
      <c r="Y70" s="8">
        <f t="shared" si="30"/>
        <v>25</v>
      </c>
      <c r="Z70" s="8">
        <f t="shared" si="30"/>
        <v>26</v>
      </c>
      <c r="AA70" s="8">
        <f t="shared" ref="AA70:AJ71" si="31">I36</f>
        <v>35</v>
      </c>
      <c r="AB70" s="8">
        <f t="shared" si="31"/>
        <v>28</v>
      </c>
      <c r="AC70" s="8">
        <f t="shared" si="31"/>
        <v>33</v>
      </c>
      <c r="AD70" s="8">
        <f t="shared" si="31"/>
        <v>51</v>
      </c>
      <c r="AE70" s="8">
        <f t="shared" si="31"/>
        <v>63</v>
      </c>
      <c r="AF70" s="8">
        <f t="shared" si="31"/>
        <v>72</v>
      </c>
      <c r="AG70" s="8">
        <f t="shared" si="31"/>
        <v>102</v>
      </c>
      <c r="AH70" s="8">
        <f t="shared" si="31"/>
        <v>103</v>
      </c>
      <c r="AI70" s="8">
        <f t="shared" si="31"/>
        <v>98</v>
      </c>
      <c r="AJ70" s="8">
        <f t="shared" si="31"/>
        <v>90</v>
      </c>
      <c r="AK70" s="8">
        <f t="shared" ref="AK70:AT71" si="32">S36</f>
        <v>98</v>
      </c>
      <c r="AL70" s="8">
        <f t="shared" si="32"/>
        <v>85</v>
      </c>
      <c r="AM70" s="8">
        <f t="shared" si="32"/>
        <v>68</v>
      </c>
      <c r="AN70" s="8">
        <f t="shared" si="32"/>
        <v>37</v>
      </c>
      <c r="AO70" s="8">
        <f t="shared" si="32"/>
        <v>12</v>
      </c>
      <c r="AP70" s="8">
        <f t="shared" si="32"/>
        <v>12</v>
      </c>
      <c r="AQ70" s="8">
        <f t="shared" si="32"/>
        <v>10</v>
      </c>
      <c r="AR70" s="8">
        <f t="shared" si="32"/>
        <v>21</v>
      </c>
      <c r="AS70" s="8">
        <f t="shared" si="32"/>
        <v>13</v>
      </c>
      <c r="AT70" s="8">
        <f t="shared" si="32"/>
        <v>4</v>
      </c>
      <c r="AU70" s="8">
        <f t="shared" ref="AU70:BA71" si="33">AC36</f>
        <v>5</v>
      </c>
      <c r="AV70" s="8">
        <f t="shared" si="33"/>
        <v>3</v>
      </c>
      <c r="AW70" s="8">
        <f t="shared" si="33"/>
        <v>3</v>
      </c>
      <c r="AX70" s="8">
        <f t="shared" si="33"/>
        <v>3</v>
      </c>
      <c r="AY70" s="8">
        <f t="shared" si="33"/>
        <v>4</v>
      </c>
      <c r="AZ70" s="8">
        <f t="shared" si="33"/>
        <v>1</v>
      </c>
      <c r="BA70" s="8">
        <f t="shared" si="33"/>
        <v>1</v>
      </c>
      <c r="BB70" s="4"/>
      <c r="BC70" s="30"/>
    </row>
    <row r="71" spans="1:68" x14ac:dyDescent="0.25">
      <c r="A71" s="5" t="s">
        <v>54</v>
      </c>
      <c r="B71" s="8">
        <f>AJ33</f>
        <v>0</v>
      </c>
      <c r="C71" s="8">
        <f t="shared" ref="C71" si="34">AK33</f>
        <v>0</v>
      </c>
      <c r="D71" s="8">
        <f t="shared" ref="D71" si="35">AL33</f>
        <v>0</v>
      </c>
      <c r="E71" s="8">
        <f t="shared" si="29"/>
        <v>0</v>
      </c>
      <c r="F71" s="8">
        <f t="shared" si="29"/>
        <v>0</v>
      </c>
      <c r="G71" s="8">
        <f t="shared" si="29"/>
        <v>0</v>
      </c>
      <c r="H71" s="8">
        <f t="shared" si="29"/>
        <v>0</v>
      </c>
      <c r="I71" s="8">
        <f t="shared" si="29"/>
        <v>0</v>
      </c>
      <c r="J71" s="8">
        <f t="shared" si="29"/>
        <v>0</v>
      </c>
      <c r="K71" s="8">
        <f t="shared" si="29"/>
        <v>0</v>
      </c>
      <c r="L71" s="8">
        <f t="shared" si="29"/>
        <v>0</v>
      </c>
      <c r="M71" s="8">
        <f t="shared" si="29"/>
        <v>1</v>
      </c>
      <c r="N71" s="8">
        <f t="shared" si="29"/>
        <v>0</v>
      </c>
      <c r="O71" s="8">
        <f t="shared" si="29"/>
        <v>0</v>
      </c>
      <c r="P71" s="8">
        <f t="shared" si="29"/>
        <v>0</v>
      </c>
      <c r="Q71" s="8">
        <f t="shared" si="29"/>
        <v>0</v>
      </c>
      <c r="R71" s="8">
        <f t="shared" si="29"/>
        <v>1</v>
      </c>
      <c r="S71" s="8">
        <f t="shared" si="29"/>
        <v>0</v>
      </c>
      <c r="T71" s="8">
        <f>B37</f>
        <v>1</v>
      </c>
      <c r="U71" s="8">
        <f t="shared" ref="U71:Z71" si="36">C37</f>
        <v>2</v>
      </c>
      <c r="V71" s="8">
        <f t="shared" si="36"/>
        <v>1</v>
      </c>
      <c r="W71" s="8">
        <f t="shared" si="36"/>
        <v>0</v>
      </c>
      <c r="X71" s="8">
        <f t="shared" si="36"/>
        <v>3</v>
      </c>
      <c r="Y71" s="8">
        <f t="shared" si="36"/>
        <v>1</v>
      </c>
      <c r="Z71" s="8">
        <f t="shared" si="36"/>
        <v>7</v>
      </c>
      <c r="AA71" s="8">
        <f t="shared" si="31"/>
        <v>2</v>
      </c>
      <c r="AB71" s="8">
        <f t="shared" si="31"/>
        <v>3</v>
      </c>
      <c r="AC71" s="8">
        <f t="shared" si="31"/>
        <v>1</v>
      </c>
      <c r="AD71" s="8">
        <f t="shared" si="31"/>
        <v>9</v>
      </c>
      <c r="AE71" s="8">
        <f t="shared" si="31"/>
        <v>12</v>
      </c>
      <c r="AF71" s="8">
        <f t="shared" si="31"/>
        <v>13</v>
      </c>
      <c r="AG71" s="8">
        <f t="shared" si="31"/>
        <v>43</v>
      </c>
      <c r="AH71" s="8">
        <f t="shared" si="31"/>
        <v>33</v>
      </c>
      <c r="AI71" s="8">
        <f t="shared" si="31"/>
        <v>42</v>
      </c>
      <c r="AJ71" s="8">
        <f t="shared" si="31"/>
        <v>23</v>
      </c>
      <c r="AK71" s="8">
        <f t="shared" si="32"/>
        <v>31</v>
      </c>
      <c r="AL71" s="8">
        <f t="shared" si="32"/>
        <v>39</v>
      </c>
      <c r="AM71" s="8">
        <f t="shared" si="32"/>
        <v>22</v>
      </c>
      <c r="AN71" s="8">
        <f t="shared" si="32"/>
        <v>12</v>
      </c>
      <c r="AO71" s="8">
        <f t="shared" si="32"/>
        <v>7</v>
      </c>
      <c r="AP71" s="8">
        <f t="shared" si="32"/>
        <v>1</v>
      </c>
      <c r="AQ71" s="8">
        <f t="shared" si="32"/>
        <v>0</v>
      </c>
      <c r="AR71" s="8">
        <f t="shared" si="32"/>
        <v>8</v>
      </c>
      <c r="AS71" s="8">
        <f t="shared" si="32"/>
        <v>5</v>
      </c>
      <c r="AT71" s="8">
        <f t="shared" si="32"/>
        <v>1</v>
      </c>
      <c r="AU71" s="8">
        <f t="shared" si="33"/>
        <v>2</v>
      </c>
      <c r="AV71" s="8">
        <f t="shared" si="33"/>
        <v>1</v>
      </c>
      <c r="AW71" s="8">
        <f t="shared" si="33"/>
        <v>0</v>
      </c>
      <c r="AX71" s="8">
        <f t="shared" si="33"/>
        <v>0</v>
      </c>
      <c r="AY71" s="8">
        <f t="shared" si="33"/>
        <v>0</v>
      </c>
      <c r="AZ71" s="8">
        <f t="shared" si="33"/>
        <v>0</v>
      </c>
      <c r="BA71" s="8">
        <f t="shared" si="33"/>
        <v>0</v>
      </c>
      <c r="BB71" s="4"/>
      <c r="BC71" s="30"/>
    </row>
    <row r="72" spans="1:68" x14ac:dyDescent="0.25">
      <c r="A72" s="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4"/>
      <c r="BC72" s="30"/>
    </row>
    <row r="73" spans="1:68" ht="26.4" x14ac:dyDescent="0.25">
      <c r="A73" s="66" t="s">
        <v>181</v>
      </c>
      <c r="B73" s="67">
        <v>35</v>
      </c>
      <c r="C73" s="67" t="s">
        <v>38</v>
      </c>
      <c r="D73" s="67" t="s">
        <v>39</v>
      </c>
      <c r="E73" s="67">
        <v>38</v>
      </c>
      <c r="F73" s="67">
        <v>39</v>
      </c>
      <c r="G73" s="67" t="s">
        <v>40</v>
      </c>
      <c r="H73" s="67" t="s">
        <v>41</v>
      </c>
      <c r="I73" s="67" t="s">
        <v>42</v>
      </c>
      <c r="J73" s="67" t="s">
        <v>43</v>
      </c>
      <c r="K73" s="67" t="s">
        <v>44</v>
      </c>
      <c r="L73" s="67">
        <v>45</v>
      </c>
      <c r="M73" s="67" t="s">
        <v>45</v>
      </c>
      <c r="N73" s="67" t="s">
        <v>46</v>
      </c>
      <c r="O73" s="67" t="s">
        <v>47</v>
      </c>
      <c r="P73" s="67" t="s">
        <v>48</v>
      </c>
      <c r="Q73" s="67" t="s">
        <v>49</v>
      </c>
      <c r="R73" s="67" t="s">
        <v>50</v>
      </c>
      <c r="S73" s="67" t="s">
        <v>51</v>
      </c>
      <c r="T73" s="68">
        <v>1</v>
      </c>
      <c r="U73" s="68">
        <v>2</v>
      </c>
      <c r="V73" s="68">
        <v>3</v>
      </c>
      <c r="W73" s="68">
        <v>4</v>
      </c>
      <c r="X73" s="68">
        <v>5</v>
      </c>
      <c r="Y73" s="68">
        <v>6</v>
      </c>
      <c r="Z73" s="68">
        <v>7</v>
      </c>
      <c r="AA73" s="68">
        <v>8</v>
      </c>
      <c r="AB73" s="68">
        <v>9</v>
      </c>
      <c r="AC73" s="68">
        <v>10</v>
      </c>
      <c r="AD73" s="69">
        <v>11</v>
      </c>
      <c r="AE73" s="68">
        <v>12</v>
      </c>
      <c r="AF73" s="68">
        <v>13</v>
      </c>
      <c r="AG73" s="68">
        <v>14</v>
      </c>
      <c r="AH73" s="68">
        <v>15</v>
      </c>
      <c r="AI73" s="68">
        <v>16</v>
      </c>
      <c r="AJ73" s="68">
        <v>17</v>
      </c>
      <c r="AK73" s="68">
        <v>18</v>
      </c>
      <c r="AL73" s="68">
        <v>19</v>
      </c>
      <c r="AM73" s="68">
        <v>20</v>
      </c>
      <c r="AN73" s="68">
        <v>21</v>
      </c>
      <c r="AO73" s="68">
        <v>22</v>
      </c>
      <c r="AP73" s="68">
        <v>23</v>
      </c>
      <c r="AQ73" s="68">
        <v>24</v>
      </c>
      <c r="AR73" s="68">
        <v>25</v>
      </c>
      <c r="AS73" s="68">
        <v>26</v>
      </c>
      <c r="AT73" s="68">
        <v>27</v>
      </c>
      <c r="AU73" s="68">
        <v>28</v>
      </c>
      <c r="AV73" s="68">
        <v>29</v>
      </c>
      <c r="AW73" s="68">
        <v>30</v>
      </c>
      <c r="AX73" s="68">
        <v>31</v>
      </c>
      <c r="AY73" s="68">
        <v>32</v>
      </c>
      <c r="AZ73" s="68">
        <v>33</v>
      </c>
      <c r="BA73" s="68">
        <v>34</v>
      </c>
      <c r="BB73" s="4"/>
      <c r="BC73" s="30"/>
    </row>
    <row r="74" spans="1:68" x14ac:dyDescent="0.25">
      <c r="A74" s="5" t="s">
        <v>53</v>
      </c>
      <c r="B74" s="8">
        <f>AJ36</f>
        <v>0</v>
      </c>
      <c r="C74" s="8">
        <f t="shared" ref="C74:F74" si="37">AK36</f>
        <v>1</v>
      </c>
      <c r="D74" s="8">
        <f t="shared" si="37"/>
        <v>6</v>
      </c>
      <c r="E74" s="8">
        <f t="shared" si="37"/>
        <v>9</v>
      </c>
      <c r="F74" s="8">
        <f t="shared" si="37"/>
        <v>27</v>
      </c>
      <c r="G74" s="8">
        <f t="shared" ref="G74:S75" si="38">AO36</f>
        <v>20</v>
      </c>
      <c r="H74" s="8">
        <f t="shared" si="38"/>
        <v>14</v>
      </c>
      <c r="I74" s="8">
        <f t="shared" si="38"/>
        <v>18</v>
      </c>
      <c r="J74" s="8">
        <f t="shared" si="38"/>
        <v>20</v>
      </c>
      <c r="K74" s="8">
        <f t="shared" si="38"/>
        <v>17</v>
      </c>
      <c r="L74" s="8">
        <f t="shared" si="38"/>
        <v>11</v>
      </c>
      <c r="M74" s="8">
        <f t="shared" si="38"/>
        <v>2</v>
      </c>
      <c r="N74" s="8">
        <f t="shared" si="38"/>
        <v>3</v>
      </c>
      <c r="O74" s="8">
        <f t="shared" si="38"/>
        <v>9</v>
      </c>
      <c r="P74" s="8">
        <f t="shared" si="38"/>
        <v>1</v>
      </c>
      <c r="Q74" s="8">
        <f t="shared" si="38"/>
        <v>2</v>
      </c>
      <c r="R74" s="8">
        <f t="shared" si="38"/>
        <v>13</v>
      </c>
      <c r="S74" s="8">
        <f t="shared" si="38"/>
        <v>6</v>
      </c>
      <c r="T74" s="8">
        <f>B40</f>
        <v>16</v>
      </c>
      <c r="U74" s="8">
        <f t="shared" ref="U74:AB74" si="39">C40</f>
        <v>9</v>
      </c>
      <c r="V74" s="8">
        <f t="shared" si="39"/>
        <v>13</v>
      </c>
      <c r="W74" s="8">
        <f t="shared" si="39"/>
        <v>13</v>
      </c>
      <c r="X74" s="8">
        <f t="shared" si="39"/>
        <v>8</v>
      </c>
      <c r="Y74" s="8">
        <f t="shared" si="39"/>
        <v>15</v>
      </c>
      <c r="Z74" s="8">
        <f t="shared" si="39"/>
        <v>14</v>
      </c>
      <c r="AA74" s="8">
        <f t="shared" si="39"/>
        <v>17</v>
      </c>
      <c r="AB74" s="8">
        <f t="shared" si="39"/>
        <v>30</v>
      </c>
      <c r="AC74" s="8">
        <f t="shared" ref="AC74:AC75" si="40">K40</f>
        <v>18</v>
      </c>
      <c r="AD74" s="8">
        <f t="shared" ref="AD74:AD75" si="41">L40</f>
        <v>34</v>
      </c>
      <c r="AE74" s="8">
        <f t="shared" ref="AE74:AE75" si="42">M40</f>
        <v>37</v>
      </c>
      <c r="AF74" s="8">
        <f t="shared" ref="AF74:AG75" si="43">N40</f>
        <v>56</v>
      </c>
      <c r="AG74" s="8">
        <f t="shared" si="43"/>
        <v>43</v>
      </c>
      <c r="AH74" s="8">
        <f t="shared" ref="AH74:AH75" si="44">P40</f>
        <v>45</v>
      </c>
      <c r="AI74" s="8">
        <f t="shared" ref="AI74:AI75" si="45">Q40</f>
        <v>49</v>
      </c>
      <c r="AJ74" s="8">
        <f t="shared" ref="AJ74:AJ75" si="46">R40</f>
        <v>26</v>
      </c>
      <c r="AK74" s="8">
        <f t="shared" ref="AK74:AK75" si="47">S40</f>
        <v>21</v>
      </c>
      <c r="AL74" s="8">
        <f t="shared" ref="AL74:AL75" si="48">T40</f>
        <v>21</v>
      </c>
      <c r="AM74" s="8">
        <f t="shared" ref="AM74:AM75" si="49">U40</f>
        <v>26</v>
      </c>
      <c r="AN74" s="8">
        <f t="shared" ref="AN74:AN75" si="50">V40</f>
        <v>15</v>
      </c>
      <c r="AO74" s="8">
        <f t="shared" ref="AO74:AO75" si="51">W40</f>
        <v>13</v>
      </c>
      <c r="AP74" s="8">
        <f t="shared" ref="AP74:AP75" si="52">X40</f>
        <v>9</v>
      </c>
      <c r="AQ74" s="8">
        <f t="shared" ref="AQ74:AQ75" si="53">Y40</f>
        <v>7</v>
      </c>
      <c r="AR74" s="8">
        <f t="shared" ref="AR74:AR75" si="54">Z40</f>
        <v>4</v>
      </c>
      <c r="AS74" s="8">
        <f t="shared" ref="AS74:AS75" si="55">AA40</f>
        <v>5</v>
      </c>
      <c r="AT74" s="8">
        <f t="shared" ref="AT74:AV75" si="56">AB40</f>
        <v>5</v>
      </c>
      <c r="AU74" s="8">
        <f t="shared" si="56"/>
        <v>3</v>
      </c>
      <c r="AV74" s="8">
        <f t="shared" si="56"/>
        <v>3</v>
      </c>
      <c r="AW74" s="8">
        <f t="shared" ref="AW74:AW75" si="57">AE40</f>
        <v>2</v>
      </c>
      <c r="AX74" s="8">
        <f t="shared" ref="AX74:AX75" si="58">AF40</f>
        <v>3</v>
      </c>
      <c r="AY74" s="8">
        <f t="shared" ref="AY74:AY75" si="59">AG40</f>
        <v>2</v>
      </c>
      <c r="AZ74" s="8">
        <f t="shared" ref="AZ74:AZ75" si="60">AH40</f>
        <v>1</v>
      </c>
      <c r="BA74" s="8">
        <f t="shared" ref="BA74:BA75" si="61">AI40</f>
        <v>4</v>
      </c>
      <c r="BB74" s="4"/>
      <c r="BC74" s="30"/>
    </row>
    <row r="75" spans="1:68" x14ac:dyDescent="0.25">
      <c r="A75" s="5" t="s">
        <v>54</v>
      </c>
      <c r="B75" s="8">
        <f>AJ37</f>
        <v>0</v>
      </c>
      <c r="C75" s="8">
        <f t="shared" ref="C75:F75" si="62">AK37</f>
        <v>0</v>
      </c>
      <c r="D75" s="8">
        <f t="shared" si="62"/>
        <v>0</v>
      </c>
      <c r="E75" s="8">
        <f t="shared" si="62"/>
        <v>0</v>
      </c>
      <c r="F75" s="8">
        <f t="shared" si="62"/>
        <v>0</v>
      </c>
      <c r="G75" s="8">
        <f t="shared" si="38"/>
        <v>0</v>
      </c>
      <c r="H75" s="8">
        <f t="shared" si="38"/>
        <v>0</v>
      </c>
      <c r="I75" s="8">
        <f t="shared" si="38"/>
        <v>0</v>
      </c>
      <c r="J75" s="8">
        <f t="shared" si="38"/>
        <v>0</v>
      </c>
      <c r="K75" s="8">
        <f t="shared" si="38"/>
        <v>0</v>
      </c>
      <c r="L75" s="8">
        <f t="shared" si="38"/>
        <v>0</v>
      </c>
      <c r="M75" s="8">
        <f t="shared" si="38"/>
        <v>0</v>
      </c>
      <c r="N75" s="8">
        <f t="shared" si="38"/>
        <v>0</v>
      </c>
      <c r="O75" s="8">
        <f t="shared" si="38"/>
        <v>0</v>
      </c>
      <c r="P75" s="8">
        <f t="shared" si="38"/>
        <v>0</v>
      </c>
      <c r="Q75" s="8">
        <f t="shared" si="38"/>
        <v>0</v>
      </c>
      <c r="R75" s="8">
        <f t="shared" si="38"/>
        <v>0</v>
      </c>
      <c r="S75" s="8">
        <f t="shared" si="38"/>
        <v>0</v>
      </c>
      <c r="T75" s="8">
        <f>B41</f>
        <v>0</v>
      </c>
      <c r="U75" s="8">
        <f t="shared" ref="U75:AB75" si="63">C41</f>
        <v>0</v>
      </c>
      <c r="V75" s="8">
        <f t="shared" si="63"/>
        <v>0</v>
      </c>
      <c r="W75" s="8">
        <f t="shared" si="63"/>
        <v>1</v>
      </c>
      <c r="X75" s="8">
        <f t="shared" si="63"/>
        <v>0</v>
      </c>
      <c r="Y75" s="8">
        <f t="shared" si="63"/>
        <v>0</v>
      </c>
      <c r="Z75" s="8">
        <f t="shared" si="63"/>
        <v>1</v>
      </c>
      <c r="AA75" s="8">
        <f t="shared" si="63"/>
        <v>2</v>
      </c>
      <c r="AB75" s="8">
        <f t="shared" si="63"/>
        <v>4</v>
      </c>
      <c r="AC75" s="8">
        <f t="shared" si="40"/>
        <v>5</v>
      </c>
      <c r="AD75" s="8">
        <f t="shared" si="41"/>
        <v>13</v>
      </c>
      <c r="AE75" s="8">
        <f t="shared" si="42"/>
        <v>12</v>
      </c>
      <c r="AF75" s="8">
        <f t="shared" si="43"/>
        <v>20</v>
      </c>
      <c r="AG75" s="8">
        <f t="shared" si="43"/>
        <v>18</v>
      </c>
      <c r="AH75" s="8">
        <f t="shared" si="44"/>
        <v>12</v>
      </c>
      <c r="AI75" s="8">
        <f t="shared" si="45"/>
        <v>5</v>
      </c>
      <c r="AJ75" s="8">
        <f t="shared" si="46"/>
        <v>3</v>
      </c>
      <c r="AK75" s="8">
        <f t="shared" si="47"/>
        <v>4</v>
      </c>
      <c r="AL75" s="8">
        <f t="shared" si="48"/>
        <v>5</v>
      </c>
      <c r="AM75" s="8">
        <f t="shared" si="49"/>
        <v>7</v>
      </c>
      <c r="AN75" s="8">
        <f t="shared" si="50"/>
        <v>4</v>
      </c>
      <c r="AO75" s="8">
        <f t="shared" si="51"/>
        <v>4</v>
      </c>
      <c r="AP75" s="8">
        <f t="shared" si="52"/>
        <v>1</v>
      </c>
      <c r="AQ75" s="8">
        <f t="shared" si="53"/>
        <v>0</v>
      </c>
      <c r="AR75" s="8">
        <f t="shared" si="54"/>
        <v>0</v>
      </c>
      <c r="AS75" s="8">
        <f t="shared" si="55"/>
        <v>0</v>
      </c>
      <c r="AT75" s="8">
        <f t="shared" si="56"/>
        <v>1</v>
      </c>
      <c r="AU75" s="8">
        <f t="shared" si="56"/>
        <v>1</v>
      </c>
      <c r="AV75" s="8">
        <f t="shared" si="56"/>
        <v>0</v>
      </c>
      <c r="AW75" s="8">
        <f t="shared" si="57"/>
        <v>0</v>
      </c>
      <c r="AX75" s="8">
        <f t="shared" si="58"/>
        <v>0</v>
      </c>
      <c r="AY75" s="8">
        <f t="shared" si="59"/>
        <v>0</v>
      </c>
      <c r="AZ75" s="8">
        <f t="shared" si="60"/>
        <v>0</v>
      </c>
      <c r="BA75" s="8">
        <f t="shared" si="61"/>
        <v>0</v>
      </c>
      <c r="BB75" s="4"/>
      <c r="BC75" s="30"/>
    </row>
    <row r="76" spans="1:68" x14ac:dyDescent="0.25">
      <c r="A76" s="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C76" s="30"/>
    </row>
    <row r="77" spans="1:68" ht="26.4" x14ac:dyDescent="0.25">
      <c r="A77" s="66" t="s">
        <v>191</v>
      </c>
      <c r="B77" s="67">
        <v>35</v>
      </c>
      <c r="C77" s="67" t="s">
        <v>38</v>
      </c>
      <c r="D77" s="67" t="s">
        <v>39</v>
      </c>
      <c r="E77" s="67">
        <v>38</v>
      </c>
      <c r="F77" s="67">
        <v>39</v>
      </c>
      <c r="G77" s="67" t="s">
        <v>40</v>
      </c>
      <c r="H77" s="67" t="s">
        <v>41</v>
      </c>
      <c r="I77" s="67" t="s">
        <v>42</v>
      </c>
      <c r="J77" s="67" t="s">
        <v>43</v>
      </c>
      <c r="K77" s="67" t="s">
        <v>44</v>
      </c>
      <c r="L77" s="67">
        <v>45</v>
      </c>
      <c r="M77" s="67" t="s">
        <v>45</v>
      </c>
      <c r="N77" s="67" t="s">
        <v>46</v>
      </c>
      <c r="O77" s="67" t="s">
        <v>47</v>
      </c>
      <c r="P77" s="67" t="s">
        <v>48</v>
      </c>
      <c r="Q77" s="67" t="s">
        <v>49</v>
      </c>
      <c r="R77" s="67" t="s">
        <v>50</v>
      </c>
      <c r="S77" s="67" t="s">
        <v>51</v>
      </c>
      <c r="T77" s="69">
        <v>53</v>
      </c>
      <c r="U77" s="68">
        <v>1</v>
      </c>
      <c r="V77" s="68">
        <v>2</v>
      </c>
      <c r="W77" s="68">
        <v>3</v>
      </c>
      <c r="X77" s="68">
        <v>4</v>
      </c>
      <c r="Y77" s="68">
        <v>5</v>
      </c>
      <c r="Z77" s="68">
        <v>6</v>
      </c>
      <c r="AA77" s="68">
        <v>7</v>
      </c>
      <c r="AB77" s="68">
        <v>8</v>
      </c>
      <c r="AC77" s="68">
        <v>9</v>
      </c>
      <c r="AD77" s="68">
        <v>10</v>
      </c>
      <c r="AE77" s="68">
        <v>11</v>
      </c>
      <c r="AF77" s="68">
        <v>12</v>
      </c>
      <c r="AG77" s="68">
        <v>13</v>
      </c>
      <c r="AH77" s="68">
        <v>14</v>
      </c>
      <c r="AI77" s="68">
        <v>15</v>
      </c>
      <c r="AJ77" s="68">
        <v>16</v>
      </c>
      <c r="AK77" s="68">
        <v>17</v>
      </c>
      <c r="AL77" s="68">
        <v>18</v>
      </c>
      <c r="AM77" s="68">
        <v>19</v>
      </c>
      <c r="AN77" s="68">
        <v>20</v>
      </c>
      <c r="AO77" s="68">
        <v>21</v>
      </c>
      <c r="AP77" s="68">
        <v>22</v>
      </c>
      <c r="AQ77" s="68">
        <v>23</v>
      </c>
      <c r="AR77" s="68">
        <v>24</v>
      </c>
      <c r="AS77" s="68">
        <v>25</v>
      </c>
      <c r="AT77" s="68">
        <v>26</v>
      </c>
      <c r="AU77" s="68">
        <v>27</v>
      </c>
      <c r="AV77" s="68">
        <v>28</v>
      </c>
      <c r="AW77" s="68">
        <v>29</v>
      </c>
      <c r="AX77" s="68">
        <v>30</v>
      </c>
      <c r="AY77" s="68">
        <v>31</v>
      </c>
      <c r="AZ77" s="68">
        <v>32</v>
      </c>
      <c r="BA77" s="68">
        <v>33</v>
      </c>
      <c r="BB77" s="68">
        <v>34</v>
      </c>
      <c r="BC77" s="30"/>
    </row>
    <row r="78" spans="1:68" x14ac:dyDescent="0.25">
      <c r="A78" s="5" t="s">
        <v>53</v>
      </c>
      <c r="B78" s="8">
        <f>AJ40</f>
        <v>2</v>
      </c>
      <c r="C78" s="8">
        <f t="shared" ref="C78:O78" si="64">AK40</f>
        <v>3</v>
      </c>
      <c r="D78" s="8">
        <f t="shared" si="64"/>
        <v>2</v>
      </c>
      <c r="E78" s="8">
        <f t="shared" si="64"/>
        <v>3</v>
      </c>
      <c r="F78" s="8">
        <f t="shared" si="64"/>
        <v>2</v>
      </c>
      <c r="G78" s="8">
        <f t="shared" si="64"/>
        <v>5</v>
      </c>
      <c r="H78" s="8">
        <f t="shared" si="64"/>
        <v>4</v>
      </c>
      <c r="I78" s="8">
        <f t="shared" si="64"/>
        <v>2</v>
      </c>
      <c r="J78" s="8">
        <f t="shared" si="64"/>
        <v>6</v>
      </c>
      <c r="K78" s="8">
        <f t="shared" si="64"/>
        <v>2</v>
      </c>
      <c r="L78" s="8">
        <f t="shared" si="64"/>
        <v>4</v>
      </c>
      <c r="M78" s="8">
        <f t="shared" si="64"/>
        <v>10</v>
      </c>
      <c r="N78" s="8">
        <f t="shared" si="64"/>
        <v>7</v>
      </c>
      <c r="O78" s="8">
        <f t="shared" si="64"/>
        <v>14</v>
      </c>
      <c r="P78" s="8">
        <f t="shared" ref="P78:P79" si="65">AX40</f>
        <v>4</v>
      </c>
      <c r="Q78" s="8">
        <f t="shared" ref="Q78:Q79" si="66">AY40</f>
        <v>12</v>
      </c>
      <c r="R78" s="8">
        <f t="shared" ref="R78:R79" si="67">AZ40</f>
        <v>14</v>
      </c>
      <c r="S78" s="8">
        <f t="shared" ref="S78:S79" si="68">BA40</f>
        <v>9</v>
      </c>
      <c r="T78" s="8">
        <v>0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C78" s="30"/>
    </row>
    <row r="79" spans="1:68" x14ac:dyDescent="0.25">
      <c r="A79" s="5" t="s">
        <v>54</v>
      </c>
      <c r="B79" s="8">
        <f>AJ41</f>
        <v>0</v>
      </c>
      <c r="C79" s="8">
        <f t="shared" ref="C79:O79" si="69">AK41</f>
        <v>0</v>
      </c>
      <c r="D79" s="8">
        <f t="shared" si="69"/>
        <v>0</v>
      </c>
      <c r="E79" s="8">
        <f t="shared" si="69"/>
        <v>0</v>
      </c>
      <c r="F79" s="8">
        <f t="shared" si="69"/>
        <v>0</v>
      </c>
      <c r="G79" s="8">
        <f t="shared" si="69"/>
        <v>0</v>
      </c>
      <c r="H79" s="8">
        <f t="shared" si="69"/>
        <v>0</v>
      </c>
      <c r="I79" s="8">
        <f t="shared" si="69"/>
        <v>0</v>
      </c>
      <c r="J79" s="8">
        <f t="shared" si="69"/>
        <v>0</v>
      </c>
      <c r="K79" s="8">
        <f t="shared" si="69"/>
        <v>0</v>
      </c>
      <c r="L79" s="8">
        <f t="shared" si="69"/>
        <v>0</v>
      </c>
      <c r="M79" s="8">
        <f t="shared" si="69"/>
        <v>0</v>
      </c>
      <c r="N79" s="8">
        <f t="shared" si="69"/>
        <v>0</v>
      </c>
      <c r="O79" s="8">
        <f t="shared" si="69"/>
        <v>0</v>
      </c>
      <c r="P79" s="8">
        <f t="shared" si="65"/>
        <v>0</v>
      </c>
      <c r="Q79" s="8">
        <f t="shared" si="66"/>
        <v>0</v>
      </c>
      <c r="R79" s="8">
        <f t="shared" si="67"/>
        <v>0</v>
      </c>
      <c r="S79" s="8">
        <f t="shared" si="68"/>
        <v>0</v>
      </c>
      <c r="T79" s="8">
        <v>0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C79" s="30"/>
    </row>
    <row r="80" spans="1:68" x14ac:dyDescent="0.25">
      <c r="A80" s="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C80" s="30"/>
    </row>
    <row r="81" spans="1:349" x14ac:dyDescent="0.25">
      <c r="A81" s="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C81" s="30"/>
    </row>
    <row r="82" spans="1:349" x14ac:dyDescent="0.25">
      <c r="A82" s="5"/>
      <c r="T82" s="4"/>
      <c r="U82" s="4"/>
      <c r="V82" s="4"/>
      <c r="W82" s="4"/>
      <c r="X82" s="4"/>
      <c r="Y82" s="4"/>
      <c r="Z82" s="4"/>
      <c r="AA82" s="4"/>
      <c r="AB82" s="4"/>
      <c r="BC82" s="30"/>
    </row>
    <row r="83" spans="1:349" ht="15" customHeight="1" x14ac:dyDescent="0.25">
      <c r="A83" s="204" t="s">
        <v>118</v>
      </c>
      <c r="B83" s="208" t="s">
        <v>74</v>
      </c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  <c r="AD83" s="208"/>
      <c r="AE83" s="208"/>
      <c r="AF83" s="208"/>
      <c r="AG83" s="208"/>
      <c r="AH83" s="208"/>
      <c r="AI83" s="208"/>
      <c r="AJ83" s="208"/>
      <c r="AK83" s="208"/>
      <c r="AL83" s="208"/>
      <c r="AM83" s="208"/>
      <c r="AN83" s="208"/>
      <c r="AO83" s="208"/>
      <c r="AP83" s="208"/>
      <c r="AQ83" s="208"/>
      <c r="AR83" s="208"/>
      <c r="AS83" s="208"/>
      <c r="AT83" s="208"/>
      <c r="AU83" s="208"/>
      <c r="AV83" s="208"/>
      <c r="AW83" s="208"/>
      <c r="AX83" s="208"/>
      <c r="AY83" s="208"/>
      <c r="AZ83" s="208"/>
      <c r="BA83" s="208"/>
      <c r="BB83" s="206" t="s">
        <v>75</v>
      </c>
      <c r="BC83" s="206"/>
      <c r="BD83" s="206"/>
      <c r="BE83" s="206"/>
      <c r="BF83" s="206"/>
      <c r="BG83" s="206"/>
      <c r="BH83" s="206"/>
      <c r="BI83" s="206"/>
      <c r="BJ83" s="206"/>
      <c r="BK83" s="206"/>
      <c r="BL83" s="206"/>
      <c r="BM83" s="206"/>
      <c r="BN83" s="206"/>
      <c r="BO83" s="206"/>
      <c r="BP83" s="206"/>
      <c r="BQ83" s="206"/>
      <c r="BR83" s="206"/>
      <c r="BS83" s="206"/>
      <c r="BT83" s="206"/>
      <c r="BU83" s="206"/>
      <c r="BV83" s="206"/>
      <c r="BW83" s="206"/>
      <c r="BX83" s="206"/>
      <c r="BY83" s="206"/>
      <c r="BZ83" s="206"/>
      <c r="CA83" s="206"/>
      <c r="CB83" s="206"/>
      <c r="CC83" s="206"/>
      <c r="CD83" s="206"/>
      <c r="CE83" s="206"/>
      <c r="CF83" s="206"/>
      <c r="CG83" s="206"/>
      <c r="CH83" s="206"/>
      <c r="CI83" s="206"/>
      <c r="CJ83" s="206"/>
      <c r="CK83" s="206"/>
      <c r="CL83" s="206"/>
      <c r="CM83" s="206"/>
      <c r="CN83" s="206"/>
      <c r="CO83" s="206"/>
      <c r="CP83" s="206"/>
      <c r="CQ83" s="206"/>
      <c r="CR83" s="206"/>
      <c r="CS83" s="206"/>
      <c r="CT83" s="206"/>
      <c r="CU83" s="206"/>
      <c r="CV83" s="206"/>
      <c r="CW83" s="206"/>
      <c r="CX83" s="206"/>
      <c r="CY83" s="206"/>
      <c r="CZ83" s="206"/>
      <c r="DA83" s="206"/>
      <c r="DB83" s="206" t="s">
        <v>97</v>
      </c>
      <c r="DC83" s="206"/>
      <c r="DD83" s="206"/>
      <c r="DE83" s="206"/>
      <c r="DF83" s="206"/>
      <c r="DG83" s="206"/>
      <c r="DH83" s="206"/>
      <c r="DI83" s="206"/>
      <c r="DJ83" s="206"/>
      <c r="DK83" s="206"/>
      <c r="DL83" s="206"/>
      <c r="DM83" s="206"/>
      <c r="DN83" s="206"/>
      <c r="DO83" s="206"/>
      <c r="DP83" s="206"/>
      <c r="DQ83" s="206"/>
      <c r="DR83" s="206"/>
      <c r="DS83" s="206"/>
      <c r="DT83" s="206"/>
      <c r="DU83" s="206"/>
      <c r="DV83" s="206"/>
      <c r="DW83" s="206"/>
      <c r="DX83" s="206"/>
      <c r="DY83" s="206"/>
      <c r="DZ83" s="206"/>
      <c r="EA83" s="206"/>
      <c r="EB83" s="206"/>
      <c r="EC83" s="206"/>
      <c r="ED83" s="206"/>
      <c r="EE83" s="206"/>
      <c r="EF83" s="206"/>
      <c r="EG83" s="206"/>
      <c r="EH83" s="206"/>
      <c r="EI83" s="206"/>
      <c r="EJ83" s="206"/>
      <c r="EK83" s="206"/>
      <c r="EL83" s="206"/>
      <c r="EM83" s="206"/>
      <c r="EN83" s="206"/>
      <c r="EO83" s="206"/>
      <c r="EP83" s="206"/>
      <c r="EQ83" s="206"/>
      <c r="ER83" s="206"/>
      <c r="ES83" s="206"/>
      <c r="ET83" s="206"/>
      <c r="EU83" s="206"/>
      <c r="EV83" s="206"/>
      <c r="EW83" s="206"/>
      <c r="EX83" s="206"/>
      <c r="EY83" s="206"/>
      <c r="EZ83" s="206"/>
      <c r="FA83" s="206"/>
      <c r="FB83" s="206" t="s">
        <v>100</v>
      </c>
      <c r="FC83" s="206"/>
      <c r="FD83" s="206"/>
      <c r="FE83" s="206"/>
      <c r="FF83" s="206"/>
      <c r="FG83" s="206"/>
      <c r="FH83" s="206"/>
      <c r="FI83" s="206"/>
      <c r="FJ83" s="206"/>
      <c r="FK83" s="206"/>
      <c r="FL83" s="206"/>
      <c r="FM83" s="206"/>
      <c r="FN83" s="206"/>
      <c r="FO83" s="206"/>
      <c r="FP83" s="206"/>
      <c r="FQ83" s="206"/>
      <c r="FR83" s="206"/>
      <c r="FS83" s="206"/>
      <c r="FT83" s="206"/>
      <c r="FU83" s="206"/>
      <c r="FV83" s="206"/>
      <c r="FW83" s="206"/>
      <c r="FX83" s="206"/>
      <c r="FY83" s="206"/>
      <c r="FZ83" s="206"/>
      <c r="GA83" s="206"/>
      <c r="GB83" s="206"/>
      <c r="GC83" s="206"/>
      <c r="GD83" s="206"/>
      <c r="GE83" s="206"/>
      <c r="GF83" s="206"/>
      <c r="GG83" s="206"/>
      <c r="GH83" s="206"/>
      <c r="GI83" s="206"/>
      <c r="GJ83" s="206"/>
      <c r="GK83" s="206"/>
      <c r="GL83" s="206"/>
      <c r="GM83" s="206"/>
      <c r="GN83" s="206"/>
      <c r="GO83" s="206"/>
      <c r="GP83" s="206"/>
      <c r="GQ83" s="206"/>
      <c r="GR83" s="206"/>
      <c r="GS83" s="206"/>
      <c r="GT83" s="206"/>
      <c r="GU83" s="206"/>
      <c r="GV83" s="206"/>
      <c r="GW83" s="206"/>
      <c r="GX83" s="206"/>
      <c r="GY83" s="206"/>
      <c r="GZ83" s="206"/>
      <c r="HA83" s="206"/>
      <c r="HB83" s="207"/>
      <c r="HC83" s="207" t="s">
        <v>116</v>
      </c>
      <c r="HD83" s="210"/>
      <c r="HE83" s="210"/>
      <c r="HF83" s="210"/>
      <c r="HG83" s="210"/>
      <c r="HH83" s="210"/>
      <c r="HI83" s="210"/>
      <c r="HJ83" s="210"/>
      <c r="HK83" s="210"/>
      <c r="HL83" s="210"/>
      <c r="HM83" s="210"/>
      <c r="HN83" s="210"/>
      <c r="HO83" s="210"/>
      <c r="HP83" s="210"/>
      <c r="HQ83" s="210"/>
      <c r="HR83" s="210"/>
      <c r="HS83" s="210"/>
      <c r="HT83" s="210"/>
      <c r="HU83" s="210"/>
      <c r="HV83" s="210"/>
      <c r="HW83" s="210"/>
      <c r="HX83" s="210"/>
      <c r="HY83" s="210"/>
      <c r="HZ83" s="210"/>
      <c r="IA83" s="210"/>
      <c r="IB83" s="210"/>
      <c r="IC83" s="210"/>
      <c r="ID83" s="210"/>
      <c r="IE83" s="210"/>
      <c r="IF83" s="210"/>
      <c r="IG83" s="210"/>
      <c r="IH83" s="210"/>
      <c r="II83" s="210"/>
      <c r="IJ83" s="210"/>
      <c r="IK83" s="210"/>
      <c r="IL83" s="210"/>
      <c r="IM83" s="210"/>
      <c r="IN83" s="210"/>
      <c r="IO83" s="210"/>
      <c r="IP83" s="210"/>
      <c r="IQ83" s="210"/>
      <c r="IR83" s="210"/>
      <c r="IS83" s="210"/>
      <c r="IT83" s="210"/>
      <c r="IU83" s="210"/>
      <c r="IV83" s="210"/>
      <c r="IW83" s="210"/>
      <c r="IX83" s="210"/>
      <c r="IY83" s="210"/>
      <c r="IZ83" s="210"/>
      <c r="JA83" s="210"/>
      <c r="JB83" s="211"/>
      <c r="JC83" s="206" t="s">
        <v>135</v>
      </c>
      <c r="JD83" s="206"/>
      <c r="JE83" s="206"/>
      <c r="JF83" s="206"/>
      <c r="JG83" s="206"/>
      <c r="JH83" s="206"/>
      <c r="JI83" s="206"/>
      <c r="JJ83" s="206"/>
      <c r="JK83" s="206"/>
      <c r="JL83" s="206"/>
      <c r="JM83" s="206"/>
      <c r="JN83" s="206"/>
      <c r="JO83" s="206"/>
      <c r="JP83" s="206"/>
      <c r="JQ83" s="206"/>
      <c r="JR83" s="206"/>
      <c r="JS83" s="206"/>
      <c r="JT83" s="206"/>
      <c r="JU83" s="206"/>
      <c r="JV83" s="206"/>
      <c r="JW83" s="206"/>
      <c r="JX83" s="206"/>
      <c r="JY83" s="206"/>
      <c r="JZ83" s="206"/>
      <c r="KA83" s="206"/>
      <c r="KB83" s="206"/>
      <c r="KC83" s="206"/>
      <c r="KD83" s="206"/>
      <c r="KE83" s="206"/>
      <c r="KF83" s="206"/>
      <c r="KG83" s="206"/>
      <c r="KH83" s="206"/>
      <c r="KI83" s="206"/>
      <c r="KJ83" s="206"/>
      <c r="KK83" s="206"/>
      <c r="KL83" s="206"/>
      <c r="KM83" s="206"/>
      <c r="KN83" s="206"/>
      <c r="KO83" s="206"/>
      <c r="KP83" s="206"/>
      <c r="KQ83" s="206"/>
      <c r="KR83" s="206"/>
      <c r="KS83" s="206"/>
      <c r="KT83" s="206"/>
      <c r="KU83" s="206"/>
      <c r="KV83" s="206"/>
      <c r="KW83" s="206"/>
      <c r="KX83" s="206"/>
      <c r="KY83" s="206"/>
      <c r="KZ83" s="206"/>
      <c r="LA83" s="206"/>
      <c r="LB83" s="206"/>
      <c r="LC83" s="206"/>
      <c r="LD83" s="206" t="s">
        <v>155</v>
      </c>
      <c r="LE83" s="206"/>
      <c r="LF83" s="206"/>
      <c r="LG83" s="206"/>
      <c r="LH83" s="206"/>
      <c r="LI83" s="206"/>
      <c r="LJ83" s="206"/>
      <c r="LK83" s="206"/>
      <c r="LL83" s="206"/>
      <c r="LM83" s="206"/>
      <c r="LN83" s="206"/>
      <c r="LO83" s="206"/>
      <c r="LP83" s="206"/>
      <c r="LQ83" s="206"/>
      <c r="LR83" s="206"/>
      <c r="LS83" s="206"/>
      <c r="LT83" s="206"/>
      <c r="LU83" s="206"/>
      <c r="LV83" s="206"/>
      <c r="LW83" s="206"/>
      <c r="LX83" s="206"/>
      <c r="LY83" s="206"/>
      <c r="LZ83" s="206"/>
      <c r="MA83" s="206"/>
      <c r="MB83" s="206"/>
      <c r="MC83" s="206"/>
      <c r="MD83" s="206"/>
      <c r="ME83" s="206"/>
      <c r="MF83" s="206"/>
      <c r="MG83" s="206"/>
      <c r="MH83" s="206"/>
      <c r="MI83" s="206"/>
      <c r="MJ83" s="206"/>
      <c r="MK83" s="206"/>
    </row>
    <row r="84" spans="1:349" s="8" customFormat="1" x14ac:dyDescent="0.25">
      <c r="A84" s="205"/>
      <c r="B84" s="149">
        <v>35</v>
      </c>
      <c r="C84" s="149" t="s">
        <v>38</v>
      </c>
      <c r="D84" s="149" t="s">
        <v>39</v>
      </c>
      <c r="E84" s="149">
        <v>38</v>
      </c>
      <c r="F84" s="149">
        <v>39</v>
      </c>
      <c r="G84" s="149" t="s">
        <v>40</v>
      </c>
      <c r="H84" s="149" t="s">
        <v>41</v>
      </c>
      <c r="I84" s="149" t="s">
        <v>42</v>
      </c>
      <c r="J84" s="149" t="s">
        <v>43</v>
      </c>
      <c r="K84" s="149" t="s">
        <v>44</v>
      </c>
      <c r="L84" s="149">
        <v>45</v>
      </c>
      <c r="M84" s="149" t="s">
        <v>45</v>
      </c>
      <c r="N84" s="149" t="s">
        <v>46</v>
      </c>
      <c r="O84" s="149" t="s">
        <v>47</v>
      </c>
      <c r="P84" s="149" t="s">
        <v>48</v>
      </c>
      <c r="Q84" s="149" t="s">
        <v>49</v>
      </c>
      <c r="R84" s="149" t="s">
        <v>50</v>
      </c>
      <c r="S84" s="149" t="s">
        <v>51</v>
      </c>
      <c r="T84" s="120" t="s">
        <v>7</v>
      </c>
      <c r="U84" s="120" t="s">
        <v>8</v>
      </c>
      <c r="V84" s="120" t="s">
        <v>9</v>
      </c>
      <c r="W84" s="120" t="s">
        <v>10</v>
      </c>
      <c r="X84" s="120" t="s">
        <v>11</v>
      </c>
      <c r="Y84" s="120" t="s">
        <v>12</v>
      </c>
      <c r="Z84" s="120" t="s">
        <v>13</v>
      </c>
      <c r="AA84" s="120" t="s">
        <v>14</v>
      </c>
      <c r="AB84" s="120" t="s">
        <v>15</v>
      </c>
      <c r="AC84" s="120" t="s">
        <v>16</v>
      </c>
      <c r="AD84" s="120" t="s">
        <v>17</v>
      </c>
      <c r="AE84" s="120" t="s">
        <v>18</v>
      </c>
      <c r="AF84" s="120" t="s">
        <v>19</v>
      </c>
      <c r="AG84" s="120" t="s">
        <v>20</v>
      </c>
      <c r="AH84" s="120" t="s">
        <v>21</v>
      </c>
      <c r="AI84" s="120" t="s">
        <v>22</v>
      </c>
      <c r="AJ84" s="120" t="s">
        <v>23</v>
      </c>
      <c r="AK84" s="120" t="s">
        <v>24</v>
      </c>
      <c r="AL84" s="120" t="s">
        <v>25</v>
      </c>
      <c r="AM84" s="120" t="s">
        <v>26</v>
      </c>
      <c r="AN84" s="120" t="s">
        <v>27</v>
      </c>
      <c r="AO84" s="120" t="s">
        <v>28</v>
      </c>
      <c r="AP84" s="120" t="s">
        <v>29</v>
      </c>
      <c r="AQ84" s="120" t="s">
        <v>30</v>
      </c>
      <c r="AR84" s="120" t="s">
        <v>31</v>
      </c>
      <c r="AS84" s="120" t="s">
        <v>32</v>
      </c>
      <c r="AT84" s="120">
        <v>27</v>
      </c>
      <c r="AU84" s="120" t="s">
        <v>33</v>
      </c>
      <c r="AV84" s="120" t="s">
        <v>34</v>
      </c>
      <c r="AW84" s="120">
        <v>30</v>
      </c>
      <c r="AX84" s="120">
        <v>31</v>
      </c>
      <c r="AY84" s="120" t="s">
        <v>35</v>
      </c>
      <c r="AZ84" s="120" t="s">
        <v>36</v>
      </c>
      <c r="BA84" s="120" t="s">
        <v>37</v>
      </c>
      <c r="BB84" s="120">
        <v>35</v>
      </c>
      <c r="BC84" s="120" t="s">
        <v>38</v>
      </c>
      <c r="BD84" s="120" t="s">
        <v>39</v>
      </c>
      <c r="BE84" s="120">
        <v>38</v>
      </c>
      <c r="BF84" s="120">
        <v>39</v>
      </c>
      <c r="BG84" s="120" t="s">
        <v>40</v>
      </c>
      <c r="BH84" s="120" t="s">
        <v>41</v>
      </c>
      <c r="BI84" s="120" t="s">
        <v>42</v>
      </c>
      <c r="BJ84" s="120" t="s">
        <v>43</v>
      </c>
      <c r="BK84" s="120" t="s">
        <v>44</v>
      </c>
      <c r="BL84" s="120">
        <v>45</v>
      </c>
      <c r="BM84" s="120" t="s">
        <v>45</v>
      </c>
      <c r="BN84" s="120" t="s">
        <v>46</v>
      </c>
      <c r="BO84" s="120" t="s">
        <v>47</v>
      </c>
      <c r="BP84" s="120" t="s">
        <v>48</v>
      </c>
      <c r="BQ84" s="120" t="s">
        <v>49</v>
      </c>
      <c r="BR84" s="120" t="s">
        <v>50</v>
      </c>
      <c r="BS84" s="120" t="s">
        <v>51</v>
      </c>
      <c r="BT84" s="120" t="s">
        <v>7</v>
      </c>
      <c r="BU84" s="120" t="s">
        <v>8</v>
      </c>
      <c r="BV84" s="120" t="s">
        <v>9</v>
      </c>
      <c r="BW84" s="120" t="s">
        <v>10</v>
      </c>
      <c r="BX84" s="120" t="s">
        <v>11</v>
      </c>
      <c r="BY84" s="120" t="s">
        <v>12</v>
      </c>
      <c r="BZ84" s="120" t="s">
        <v>13</v>
      </c>
      <c r="CA84" s="120" t="s">
        <v>14</v>
      </c>
      <c r="CB84" s="120" t="s">
        <v>15</v>
      </c>
      <c r="CC84" s="120" t="s">
        <v>16</v>
      </c>
      <c r="CD84" s="120" t="s">
        <v>17</v>
      </c>
      <c r="CE84" s="120" t="s">
        <v>18</v>
      </c>
      <c r="CF84" s="120" t="s">
        <v>19</v>
      </c>
      <c r="CG84" s="120" t="s">
        <v>20</v>
      </c>
      <c r="CH84" s="120" t="s">
        <v>21</v>
      </c>
      <c r="CI84" s="120" t="s">
        <v>22</v>
      </c>
      <c r="CJ84" s="120" t="s">
        <v>23</v>
      </c>
      <c r="CK84" s="120" t="s">
        <v>24</v>
      </c>
      <c r="CL84" s="120" t="s">
        <v>25</v>
      </c>
      <c r="CM84" s="120" t="s">
        <v>26</v>
      </c>
      <c r="CN84" s="120" t="s">
        <v>27</v>
      </c>
      <c r="CO84" s="120" t="s">
        <v>28</v>
      </c>
      <c r="CP84" s="120" t="s">
        <v>29</v>
      </c>
      <c r="CQ84" s="120" t="s">
        <v>30</v>
      </c>
      <c r="CR84" s="120" t="s">
        <v>31</v>
      </c>
      <c r="CS84" s="120" t="s">
        <v>32</v>
      </c>
      <c r="CT84" s="120">
        <v>27</v>
      </c>
      <c r="CU84" s="120" t="s">
        <v>33</v>
      </c>
      <c r="CV84" s="120" t="s">
        <v>34</v>
      </c>
      <c r="CW84" s="120">
        <v>30</v>
      </c>
      <c r="CX84" s="120">
        <v>31</v>
      </c>
      <c r="CY84" s="120" t="s">
        <v>35</v>
      </c>
      <c r="CZ84" s="120" t="s">
        <v>36</v>
      </c>
      <c r="DA84" s="120" t="s">
        <v>37</v>
      </c>
      <c r="DB84" s="120">
        <v>35</v>
      </c>
      <c r="DC84" s="120" t="s">
        <v>38</v>
      </c>
      <c r="DD84" s="120" t="s">
        <v>39</v>
      </c>
      <c r="DE84" s="120">
        <v>38</v>
      </c>
      <c r="DF84" s="120">
        <v>39</v>
      </c>
      <c r="DG84" s="120" t="s">
        <v>40</v>
      </c>
      <c r="DH84" s="120" t="s">
        <v>41</v>
      </c>
      <c r="DI84" s="120" t="s">
        <v>42</v>
      </c>
      <c r="DJ84" s="120" t="s">
        <v>43</v>
      </c>
      <c r="DK84" s="120" t="s">
        <v>44</v>
      </c>
      <c r="DL84" s="120">
        <v>45</v>
      </c>
      <c r="DM84" s="120" t="s">
        <v>45</v>
      </c>
      <c r="DN84" s="120" t="s">
        <v>46</v>
      </c>
      <c r="DO84" s="120" t="s">
        <v>47</v>
      </c>
      <c r="DP84" s="120" t="s">
        <v>48</v>
      </c>
      <c r="DQ84" s="120" t="s">
        <v>49</v>
      </c>
      <c r="DR84" s="120" t="s">
        <v>50</v>
      </c>
      <c r="DS84" s="120" t="s">
        <v>51</v>
      </c>
      <c r="DT84" s="120" t="s">
        <v>7</v>
      </c>
      <c r="DU84" s="149">
        <v>2</v>
      </c>
      <c r="DV84" s="149">
        <v>3</v>
      </c>
      <c r="DW84" s="149">
        <v>4</v>
      </c>
      <c r="DX84" s="149">
        <v>5</v>
      </c>
      <c r="DY84" s="149">
        <v>6</v>
      </c>
      <c r="DZ84" s="149">
        <v>7</v>
      </c>
      <c r="EA84" s="149">
        <v>8</v>
      </c>
      <c r="EB84" s="149">
        <v>9</v>
      </c>
      <c r="EC84" s="149">
        <v>10</v>
      </c>
      <c r="ED84" s="149">
        <v>11</v>
      </c>
      <c r="EE84" s="149">
        <v>12</v>
      </c>
      <c r="EF84" s="149">
        <v>13</v>
      </c>
      <c r="EG84" s="149">
        <v>14</v>
      </c>
      <c r="EH84" s="149">
        <v>15</v>
      </c>
      <c r="EI84" s="149">
        <v>16</v>
      </c>
      <c r="EJ84" s="149">
        <v>17</v>
      </c>
      <c r="EK84" s="149">
        <v>18</v>
      </c>
      <c r="EL84" s="149">
        <v>19</v>
      </c>
      <c r="EM84" s="149">
        <v>20</v>
      </c>
      <c r="EN84" s="149">
        <v>21</v>
      </c>
      <c r="EO84" s="149">
        <v>22</v>
      </c>
      <c r="EP84" s="149">
        <v>23</v>
      </c>
      <c r="EQ84" s="149">
        <v>24</v>
      </c>
      <c r="ER84" s="149">
        <v>25</v>
      </c>
      <c r="ES84" s="149">
        <v>26</v>
      </c>
      <c r="ET84" s="149">
        <v>27</v>
      </c>
      <c r="EU84" s="149">
        <v>28</v>
      </c>
      <c r="EV84" s="149">
        <v>29</v>
      </c>
      <c r="EW84" s="149">
        <v>30</v>
      </c>
      <c r="EX84" s="149">
        <v>31</v>
      </c>
      <c r="EY84" s="149">
        <v>32</v>
      </c>
      <c r="EZ84" s="149">
        <v>33</v>
      </c>
      <c r="FA84" s="149">
        <v>34</v>
      </c>
      <c r="FB84" s="149">
        <v>35</v>
      </c>
      <c r="FC84" s="149">
        <v>36</v>
      </c>
      <c r="FD84" s="149">
        <v>37</v>
      </c>
      <c r="FE84" s="149">
        <v>38</v>
      </c>
      <c r="FF84" s="149">
        <v>39</v>
      </c>
      <c r="FG84" s="149">
        <v>40</v>
      </c>
      <c r="FH84" s="149">
        <v>41</v>
      </c>
      <c r="FI84" s="149">
        <v>42</v>
      </c>
      <c r="FJ84" s="149">
        <v>43</v>
      </c>
      <c r="FK84" s="149">
        <v>44</v>
      </c>
      <c r="FL84" s="149">
        <v>45</v>
      </c>
      <c r="FM84" s="149">
        <v>46</v>
      </c>
      <c r="FN84" s="149">
        <v>47</v>
      </c>
      <c r="FO84" s="149">
        <v>48</v>
      </c>
      <c r="FP84" s="149">
        <v>49</v>
      </c>
      <c r="FQ84" s="149">
        <v>50</v>
      </c>
      <c r="FR84" s="149">
        <v>51</v>
      </c>
      <c r="FS84" s="149">
        <v>52</v>
      </c>
      <c r="FT84" s="149">
        <v>53</v>
      </c>
      <c r="FU84" s="149">
        <v>1</v>
      </c>
      <c r="FV84" s="149">
        <v>2</v>
      </c>
      <c r="FW84" s="149">
        <v>3</v>
      </c>
      <c r="FX84" s="149">
        <v>4</v>
      </c>
      <c r="FY84" s="149">
        <v>5</v>
      </c>
      <c r="FZ84" s="149">
        <v>6</v>
      </c>
      <c r="GA84" s="149">
        <v>7</v>
      </c>
      <c r="GB84" s="149">
        <v>8</v>
      </c>
      <c r="GC84" s="149">
        <v>9</v>
      </c>
      <c r="GD84" s="149">
        <v>10</v>
      </c>
      <c r="GE84" s="149">
        <v>11</v>
      </c>
      <c r="GF84" s="149">
        <v>12</v>
      </c>
      <c r="GG84" s="149">
        <v>13</v>
      </c>
      <c r="GH84" s="149">
        <v>14</v>
      </c>
      <c r="GI84" s="149">
        <v>15</v>
      </c>
      <c r="GJ84" s="149">
        <v>16</v>
      </c>
      <c r="GK84" s="149">
        <v>17</v>
      </c>
      <c r="GL84" s="149">
        <v>18</v>
      </c>
      <c r="GM84" s="149">
        <v>19</v>
      </c>
      <c r="GN84" s="149">
        <v>20</v>
      </c>
      <c r="GO84" s="149">
        <v>21</v>
      </c>
      <c r="GP84" s="149">
        <v>22</v>
      </c>
      <c r="GQ84" s="149">
        <v>23</v>
      </c>
      <c r="GR84" s="149">
        <v>24</v>
      </c>
      <c r="GS84" s="149">
        <v>25</v>
      </c>
      <c r="GT84" s="149">
        <v>26</v>
      </c>
      <c r="GU84" s="149">
        <v>27</v>
      </c>
      <c r="GV84" s="149">
        <v>28</v>
      </c>
      <c r="GW84" s="149">
        <v>29</v>
      </c>
      <c r="GX84" s="149">
        <v>30</v>
      </c>
      <c r="GY84" s="149">
        <v>31</v>
      </c>
      <c r="GZ84" s="149">
        <v>32</v>
      </c>
      <c r="HA84" s="149">
        <v>33</v>
      </c>
      <c r="HB84" s="149">
        <v>34</v>
      </c>
      <c r="HC84" s="149">
        <v>35</v>
      </c>
      <c r="HD84" s="149">
        <v>36</v>
      </c>
      <c r="HE84" s="149">
        <v>37</v>
      </c>
      <c r="HF84" s="149">
        <v>38</v>
      </c>
      <c r="HG84" s="149">
        <v>39</v>
      </c>
      <c r="HH84" s="149">
        <v>40</v>
      </c>
      <c r="HI84" s="149">
        <v>41</v>
      </c>
      <c r="HJ84" s="149">
        <v>42</v>
      </c>
      <c r="HK84" s="149">
        <v>43</v>
      </c>
      <c r="HL84" s="149">
        <v>44</v>
      </c>
      <c r="HM84" s="149">
        <v>45</v>
      </c>
      <c r="HN84" s="149">
        <v>46</v>
      </c>
      <c r="HO84" s="149">
        <v>47</v>
      </c>
      <c r="HP84" s="149">
        <v>48</v>
      </c>
      <c r="HQ84" s="149">
        <v>49</v>
      </c>
      <c r="HR84" s="149">
        <v>50</v>
      </c>
      <c r="HS84" s="149">
        <v>51</v>
      </c>
      <c r="HT84" s="149">
        <v>52</v>
      </c>
      <c r="HU84" s="149">
        <v>1</v>
      </c>
      <c r="HV84" s="149">
        <v>2</v>
      </c>
      <c r="HW84" s="149">
        <v>3</v>
      </c>
      <c r="HX84" s="149">
        <v>4</v>
      </c>
      <c r="HY84" s="149">
        <v>5</v>
      </c>
      <c r="HZ84" s="149">
        <v>6</v>
      </c>
      <c r="IA84" s="149">
        <v>7</v>
      </c>
      <c r="IB84" s="149">
        <v>8</v>
      </c>
      <c r="IC84" s="149">
        <v>9</v>
      </c>
      <c r="ID84" s="149">
        <v>10</v>
      </c>
      <c r="IE84" s="149">
        <v>11</v>
      </c>
      <c r="IF84" s="149">
        <v>12</v>
      </c>
      <c r="IG84" s="149">
        <v>13</v>
      </c>
      <c r="IH84" s="149">
        <v>14</v>
      </c>
      <c r="II84" s="149">
        <v>15</v>
      </c>
      <c r="IJ84" s="149">
        <v>16</v>
      </c>
      <c r="IK84" s="149">
        <v>17</v>
      </c>
      <c r="IL84" s="149">
        <v>18</v>
      </c>
      <c r="IM84" s="149">
        <v>19</v>
      </c>
      <c r="IN84" s="149">
        <v>20</v>
      </c>
      <c r="IO84" s="149">
        <v>21</v>
      </c>
      <c r="IP84" s="149">
        <v>22</v>
      </c>
      <c r="IQ84" s="149">
        <v>23</v>
      </c>
      <c r="IR84" s="149">
        <v>24</v>
      </c>
      <c r="IS84" s="149">
        <v>25</v>
      </c>
      <c r="IT84" s="149">
        <v>26</v>
      </c>
      <c r="IU84" s="149">
        <v>27</v>
      </c>
      <c r="IV84" s="149">
        <v>28</v>
      </c>
      <c r="IW84" s="149">
        <v>29</v>
      </c>
      <c r="IX84" s="149">
        <v>30</v>
      </c>
      <c r="IY84" s="149">
        <v>31</v>
      </c>
      <c r="IZ84" s="149">
        <v>32</v>
      </c>
      <c r="JA84" s="149">
        <v>33</v>
      </c>
      <c r="JB84" s="149">
        <v>34</v>
      </c>
      <c r="JC84" s="149">
        <v>35</v>
      </c>
      <c r="JD84" s="149">
        <v>36</v>
      </c>
      <c r="JE84" s="149">
        <v>37</v>
      </c>
      <c r="JF84" s="149">
        <v>38</v>
      </c>
      <c r="JG84" s="149">
        <v>39</v>
      </c>
      <c r="JH84" s="149">
        <v>40</v>
      </c>
      <c r="JI84" s="149">
        <v>41</v>
      </c>
      <c r="JJ84" s="149">
        <v>42</v>
      </c>
      <c r="JK84" s="149">
        <v>43</v>
      </c>
      <c r="JL84" s="149">
        <v>44</v>
      </c>
      <c r="JM84" s="149">
        <v>45</v>
      </c>
      <c r="JN84" s="149">
        <v>46</v>
      </c>
      <c r="JO84" s="149">
        <v>47</v>
      </c>
      <c r="JP84" s="149">
        <v>48</v>
      </c>
      <c r="JQ84" s="149">
        <v>49</v>
      </c>
      <c r="JR84" s="149">
        <v>50</v>
      </c>
      <c r="JS84" s="149">
        <v>51</v>
      </c>
      <c r="JT84" s="149">
        <v>52</v>
      </c>
      <c r="JU84" s="149">
        <v>1</v>
      </c>
      <c r="JV84" s="149">
        <v>2</v>
      </c>
      <c r="JW84" s="149">
        <v>3</v>
      </c>
      <c r="JX84" s="149">
        <v>4</v>
      </c>
      <c r="JY84" s="149">
        <v>5</v>
      </c>
      <c r="JZ84" s="149">
        <v>6</v>
      </c>
      <c r="KA84" s="149">
        <v>7</v>
      </c>
      <c r="KB84" s="149">
        <v>8</v>
      </c>
      <c r="KC84" s="149">
        <v>9</v>
      </c>
      <c r="KD84" s="149">
        <v>10</v>
      </c>
      <c r="KE84" s="149">
        <v>11</v>
      </c>
      <c r="KF84" s="149">
        <v>12</v>
      </c>
      <c r="KG84" s="149">
        <v>13</v>
      </c>
      <c r="KH84" s="149">
        <v>14</v>
      </c>
      <c r="KI84" s="149">
        <v>15</v>
      </c>
      <c r="KJ84" s="149">
        <v>16</v>
      </c>
      <c r="KK84" s="149">
        <v>17</v>
      </c>
      <c r="KL84" s="149">
        <v>18</v>
      </c>
      <c r="KM84" s="149">
        <v>19</v>
      </c>
      <c r="KN84" s="149">
        <v>20</v>
      </c>
      <c r="KO84" s="149">
        <v>21</v>
      </c>
      <c r="KP84" s="149">
        <v>22</v>
      </c>
      <c r="KQ84" s="149">
        <v>23</v>
      </c>
      <c r="KR84" s="149">
        <v>24</v>
      </c>
      <c r="KS84" s="149">
        <v>25</v>
      </c>
      <c r="KT84" s="149">
        <v>26</v>
      </c>
      <c r="KU84" s="149">
        <v>27</v>
      </c>
      <c r="KV84" s="149">
        <v>28</v>
      </c>
      <c r="KW84" s="149">
        <v>29</v>
      </c>
      <c r="KX84" s="149">
        <v>30</v>
      </c>
      <c r="KY84" s="149">
        <v>31</v>
      </c>
      <c r="KZ84" s="149">
        <v>32</v>
      </c>
      <c r="LA84" s="149">
        <v>33</v>
      </c>
      <c r="LB84" s="149">
        <v>34</v>
      </c>
      <c r="LC84" s="149">
        <v>35</v>
      </c>
      <c r="LD84" s="149">
        <v>36</v>
      </c>
      <c r="LE84" s="149">
        <v>37</v>
      </c>
      <c r="LF84" s="149">
        <v>38</v>
      </c>
      <c r="LG84" s="149">
        <v>39</v>
      </c>
      <c r="LH84" s="149">
        <v>40</v>
      </c>
      <c r="LI84" s="149">
        <v>41</v>
      </c>
      <c r="LJ84" s="149">
        <v>42</v>
      </c>
      <c r="LK84" s="149">
        <v>43</v>
      </c>
      <c r="LL84" s="149">
        <v>44</v>
      </c>
      <c r="LM84" s="149">
        <v>45</v>
      </c>
      <c r="LN84" s="149">
        <v>46</v>
      </c>
      <c r="LO84" s="149">
        <v>47</v>
      </c>
      <c r="LP84" s="149">
        <v>48</v>
      </c>
      <c r="LQ84" s="149">
        <v>49</v>
      </c>
      <c r="LR84" s="149">
        <v>50</v>
      </c>
      <c r="LS84" s="149">
        <v>51</v>
      </c>
      <c r="LT84" s="149">
        <v>52</v>
      </c>
      <c r="LU84" s="149">
        <v>1</v>
      </c>
      <c r="LV84" s="149">
        <v>2</v>
      </c>
      <c r="LW84" s="149">
        <v>3</v>
      </c>
      <c r="LX84" s="149">
        <v>4</v>
      </c>
      <c r="LY84" s="149">
        <v>5</v>
      </c>
      <c r="LZ84" s="149">
        <v>6</v>
      </c>
      <c r="MA84" s="149">
        <v>7</v>
      </c>
      <c r="MB84" s="149">
        <v>8</v>
      </c>
      <c r="MC84" s="149">
        <v>9</v>
      </c>
      <c r="MD84" s="149">
        <v>10</v>
      </c>
      <c r="ME84" s="149">
        <v>11</v>
      </c>
      <c r="MF84" s="149">
        <v>12</v>
      </c>
      <c r="MG84" s="149">
        <v>13</v>
      </c>
      <c r="MH84" s="149">
        <v>14</v>
      </c>
      <c r="MI84" s="149">
        <v>15</v>
      </c>
      <c r="MJ84" s="149">
        <v>16</v>
      </c>
      <c r="MK84" s="149">
        <v>17</v>
      </c>
    </row>
    <row r="85" spans="1:349" x14ac:dyDescent="0.25">
      <c r="A85" s="29" t="s">
        <v>53</v>
      </c>
      <c r="B85" s="31">
        <v>0</v>
      </c>
      <c r="C85" s="31">
        <v>2</v>
      </c>
      <c r="D85" s="28">
        <v>3</v>
      </c>
      <c r="E85" s="28">
        <v>0</v>
      </c>
      <c r="F85" s="28">
        <v>0</v>
      </c>
      <c r="G85" s="28">
        <v>6</v>
      </c>
      <c r="H85" s="28">
        <v>3</v>
      </c>
      <c r="I85" s="28">
        <v>3</v>
      </c>
      <c r="J85" s="28">
        <v>1</v>
      </c>
      <c r="K85" s="28">
        <v>3</v>
      </c>
      <c r="L85" s="28">
        <v>0</v>
      </c>
      <c r="M85" s="28">
        <v>5</v>
      </c>
      <c r="N85" s="28">
        <v>3</v>
      </c>
      <c r="O85" s="28">
        <v>2</v>
      </c>
      <c r="P85" s="28">
        <v>4</v>
      </c>
      <c r="Q85" s="28">
        <v>4</v>
      </c>
      <c r="R85" s="28">
        <v>3</v>
      </c>
      <c r="S85" s="28">
        <v>4</v>
      </c>
      <c r="T85" s="119">
        <v>8</v>
      </c>
      <c r="U85" s="119">
        <v>6</v>
      </c>
      <c r="V85" s="119">
        <v>6</v>
      </c>
      <c r="W85" s="119">
        <v>3</v>
      </c>
      <c r="X85" s="119">
        <v>6</v>
      </c>
      <c r="Y85" s="119">
        <v>3</v>
      </c>
      <c r="Z85" s="119">
        <v>3</v>
      </c>
      <c r="AA85" s="119">
        <v>9</v>
      </c>
      <c r="AB85" s="119">
        <v>5</v>
      </c>
      <c r="AC85" s="119">
        <v>18</v>
      </c>
      <c r="AD85" s="119">
        <v>6</v>
      </c>
      <c r="AE85" s="119">
        <v>16</v>
      </c>
      <c r="AF85" s="119">
        <v>7</v>
      </c>
      <c r="AG85" s="119">
        <v>15</v>
      </c>
      <c r="AH85" s="119">
        <v>7</v>
      </c>
      <c r="AI85" s="119">
        <v>10</v>
      </c>
      <c r="AJ85" s="119">
        <v>18</v>
      </c>
      <c r="AK85" s="119">
        <v>14</v>
      </c>
      <c r="AL85" s="119">
        <v>5</v>
      </c>
      <c r="AM85" s="119">
        <v>8</v>
      </c>
      <c r="AN85" s="28">
        <v>3</v>
      </c>
      <c r="AO85" s="28">
        <v>1</v>
      </c>
      <c r="AP85" s="28">
        <v>0</v>
      </c>
      <c r="AQ85" s="28">
        <v>0</v>
      </c>
      <c r="AR85" s="28">
        <v>1</v>
      </c>
      <c r="AS85" s="28">
        <v>2</v>
      </c>
      <c r="AT85" s="28">
        <v>1</v>
      </c>
      <c r="AU85" s="28">
        <v>1</v>
      </c>
      <c r="AV85" s="28">
        <v>0</v>
      </c>
      <c r="AW85" s="28">
        <v>0</v>
      </c>
      <c r="AX85" s="28">
        <v>2</v>
      </c>
      <c r="AY85" s="28">
        <v>0</v>
      </c>
      <c r="AZ85" s="28">
        <v>0</v>
      </c>
      <c r="BA85" s="28">
        <v>0</v>
      </c>
      <c r="BB85" s="31">
        <v>0</v>
      </c>
      <c r="BC85" s="31">
        <v>0</v>
      </c>
      <c r="BD85" s="28">
        <v>2</v>
      </c>
      <c r="BE85" s="28">
        <v>0</v>
      </c>
      <c r="BF85" s="28">
        <v>0</v>
      </c>
      <c r="BG85" s="28">
        <v>0</v>
      </c>
      <c r="BH85" s="28">
        <v>2</v>
      </c>
      <c r="BI85" s="28">
        <v>4</v>
      </c>
      <c r="BJ85" s="28">
        <v>0</v>
      </c>
      <c r="BK85" s="28">
        <v>1</v>
      </c>
      <c r="BL85" s="28">
        <v>8</v>
      </c>
      <c r="BM85" s="28">
        <v>1</v>
      </c>
      <c r="BN85" s="28">
        <v>1</v>
      </c>
      <c r="BO85" s="28">
        <v>3</v>
      </c>
      <c r="BP85" s="28">
        <v>1</v>
      </c>
      <c r="BQ85" s="28">
        <v>2</v>
      </c>
      <c r="BR85" s="28">
        <v>2</v>
      </c>
      <c r="BS85" s="28">
        <v>2</v>
      </c>
      <c r="BT85" s="28">
        <v>5</v>
      </c>
      <c r="BU85" s="28">
        <v>4</v>
      </c>
      <c r="BV85" s="28">
        <v>4</v>
      </c>
      <c r="BW85" s="28">
        <v>4</v>
      </c>
      <c r="BX85" s="28">
        <v>5</v>
      </c>
      <c r="BY85" s="28">
        <v>5</v>
      </c>
      <c r="BZ85" s="28">
        <v>3</v>
      </c>
      <c r="CA85" s="28">
        <v>9</v>
      </c>
      <c r="CB85" s="28">
        <v>4</v>
      </c>
      <c r="CC85" s="28">
        <v>4</v>
      </c>
      <c r="CD85" s="28">
        <v>2</v>
      </c>
      <c r="CE85" s="28">
        <v>8</v>
      </c>
      <c r="CF85" s="28">
        <v>7</v>
      </c>
      <c r="CG85" s="28">
        <v>4</v>
      </c>
      <c r="CH85" s="28">
        <v>4</v>
      </c>
      <c r="CI85" s="28">
        <v>1</v>
      </c>
      <c r="CJ85" s="28">
        <v>5</v>
      </c>
      <c r="CK85" s="28">
        <v>2</v>
      </c>
      <c r="CL85" s="28">
        <v>3</v>
      </c>
      <c r="CM85" s="28">
        <v>2</v>
      </c>
      <c r="CN85" s="28">
        <v>3</v>
      </c>
      <c r="CO85" s="28">
        <v>4</v>
      </c>
      <c r="CP85" s="28">
        <v>2</v>
      </c>
      <c r="CQ85" s="28">
        <v>2</v>
      </c>
      <c r="CR85" s="28">
        <v>1</v>
      </c>
      <c r="CS85" s="28">
        <v>3</v>
      </c>
      <c r="CT85" s="28">
        <v>2</v>
      </c>
      <c r="CU85" s="28">
        <v>4</v>
      </c>
      <c r="CV85" s="28">
        <v>3</v>
      </c>
      <c r="CW85" s="28">
        <v>2</v>
      </c>
      <c r="CX85" s="28">
        <v>0</v>
      </c>
      <c r="CY85" s="28">
        <v>2</v>
      </c>
      <c r="CZ85" s="28">
        <v>3</v>
      </c>
      <c r="DA85" s="28">
        <v>4</v>
      </c>
      <c r="DB85" s="28">
        <v>2</v>
      </c>
      <c r="DC85" s="28">
        <v>0</v>
      </c>
      <c r="DD85" s="28">
        <v>1</v>
      </c>
      <c r="DE85" s="28">
        <v>0</v>
      </c>
      <c r="DF85" s="28">
        <v>0</v>
      </c>
      <c r="DG85" s="28">
        <v>5</v>
      </c>
      <c r="DH85" s="28">
        <v>0</v>
      </c>
      <c r="DI85" s="28">
        <v>4</v>
      </c>
      <c r="DJ85" s="28">
        <v>1</v>
      </c>
      <c r="DK85" s="28">
        <v>4</v>
      </c>
      <c r="DL85" s="28">
        <v>3</v>
      </c>
      <c r="DM85" s="28">
        <v>3</v>
      </c>
      <c r="DN85" s="28">
        <v>2</v>
      </c>
      <c r="DO85" s="28">
        <v>7</v>
      </c>
      <c r="DP85" s="28">
        <v>4</v>
      </c>
      <c r="DQ85" s="28">
        <v>10</v>
      </c>
      <c r="DR85" s="28">
        <v>17</v>
      </c>
      <c r="DS85" s="28">
        <v>37</v>
      </c>
      <c r="DT85" s="118">
        <f t="shared" ref="DT85:EC86" si="70">B18</f>
        <v>22</v>
      </c>
      <c r="DU85" s="118">
        <f t="shared" si="70"/>
        <v>132</v>
      </c>
      <c r="DV85" s="118">
        <f t="shared" si="70"/>
        <v>197</v>
      </c>
      <c r="DW85" s="118">
        <f t="shared" si="70"/>
        <v>185</v>
      </c>
      <c r="DX85" s="118">
        <f t="shared" si="70"/>
        <v>307</v>
      </c>
      <c r="DY85" s="118">
        <f t="shared" si="70"/>
        <v>380</v>
      </c>
      <c r="DZ85" s="118">
        <f t="shared" si="70"/>
        <v>440</v>
      </c>
      <c r="EA85" s="118">
        <f t="shared" si="70"/>
        <v>373</v>
      </c>
      <c r="EB85" s="118">
        <f t="shared" si="70"/>
        <v>293</v>
      </c>
      <c r="EC85" s="118">
        <f t="shared" si="70"/>
        <v>222</v>
      </c>
      <c r="ED85" s="118">
        <f t="shared" ref="ED85:EM86" si="71">L18</f>
        <v>269</v>
      </c>
      <c r="EE85" s="118">
        <f t="shared" si="71"/>
        <v>224</v>
      </c>
      <c r="EF85" s="118">
        <f t="shared" si="71"/>
        <v>175</v>
      </c>
      <c r="EG85" s="118">
        <f t="shared" si="71"/>
        <v>197</v>
      </c>
      <c r="EH85" s="118">
        <f t="shared" si="71"/>
        <v>215</v>
      </c>
      <c r="EI85" s="118">
        <f t="shared" si="71"/>
        <v>128</v>
      </c>
      <c r="EJ85" s="118">
        <f t="shared" si="71"/>
        <v>91</v>
      </c>
      <c r="EK85" s="118">
        <f t="shared" si="71"/>
        <v>48</v>
      </c>
      <c r="EL85" s="118">
        <f t="shared" si="71"/>
        <v>54</v>
      </c>
      <c r="EM85" s="118">
        <f t="shared" si="71"/>
        <v>40</v>
      </c>
      <c r="EN85" s="118">
        <f t="shared" ref="EN85:EW86" si="72">V18</f>
        <v>15</v>
      </c>
      <c r="EO85" s="118">
        <f t="shared" si="72"/>
        <v>11</v>
      </c>
      <c r="EP85" s="118">
        <f t="shared" si="72"/>
        <v>8</v>
      </c>
      <c r="EQ85" s="118">
        <f t="shared" si="72"/>
        <v>2</v>
      </c>
      <c r="ER85" s="118">
        <f t="shared" si="72"/>
        <v>10</v>
      </c>
      <c r="ES85" s="118">
        <f t="shared" si="72"/>
        <v>4</v>
      </c>
      <c r="ET85" s="118">
        <f t="shared" si="72"/>
        <v>0</v>
      </c>
      <c r="EU85" s="118">
        <f t="shared" si="72"/>
        <v>0</v>
      </c>
      <c r="EV85" s="118">
        <f t="shared" si="72"/>
        <v>0</v>
      </c>
      <c r="EW85" s="118">
        <f t="shared" si="72"/>
        <v>0</v>
      </c>
      <c r="EX85" s="118">
        <f t="shared" ref="EX85:FG86" si="73">AF18</f>
        <v>0</v>
      </c>
      <c r="EY85" s="118">
        <f t="shared" si="73"/>
        <v>1</v>
      </c>
      <c r="EZ85" s="118">
        <f t="shared" si="73"/>
        <v>0</v>
      </c>
      <c r="FA85" s="118">
        <f t="shared" si="73"/>
        <v>1</v>
      </c>
      <c r="FB85" s="118">
        <f t="shared" si="73"/>
        <v>1</v>
      </c>
      <c r="FC85" s="118">
        <f t="shared" si="73"/>
        <v>1</v>
      </c>
      <c r="FD85" s="118">
        <f t="shared" si="73"/>
        <v>0</v>
      </c>
      <c r="FE85" s="118">
        <f t="shared" si="73"/>
        <v>0</v>
      </c>
      <c r="FF85" s="118">
        <f t="shared" si="73"/>
        <v>3</v>
      </c>
      <c r="FG85" s="118">
        <f t="shared" si="73"/>
        <v>0</v>
      </c>
      <c r="FH85" s="118">
        <f t="shared" ref="FH85:FQ86" si="74">AP18</f>
        <v>1</v>
      </c>
      <c r="FI85" s="118">
        <f t="shared" si="74"/>
        <v>4</v>
      </c>
      <c r="FJ85" s="118">
        <f t="shared" si="74"/>
        <v>2</v>
      </c>
      <c r="FK85" s="118">
        <f t="shared" si="74"/>
        <v>2</v>
      </c>
      <c r="FL85" s="118">
        <f t="shared" si="74"/>
        <v>3</v>
      </c>
      <c r="FM85" s="118">
        <f t="shared" si="74"/>
        <v>4</v>
      </c>
      <c r="FN85" s="118">
        <f t="shared" si="74"/>
        <v>4</v>
      </c>
      <c r="FO85" s="118">
        <f t="shared" si="74"/>
        <v>3</v>
      </c>
      <c r="FP85" s="118">
        <f t="shared" si="74"/>
        <v>7</v>
      </c>
      <c r="FQ85" s="118">
        <f t="shared" si="74"/>
        <v>2</v>
      </c>
      <c r="FR85" s="118">
        <f t="shared" ref="FR85:FT86" si="75">AZ18</f>
        <v>12</v>
      </c>
      <c r="FS85" s="118">
        <f t="shared" si="75"/>
        <v>13</v>
      </c>
      <c r="FT85" s="118">
        <f t="shared" si="75"/>
        <v>4</v>
      </c>
      <c r="FU85" s="28">
        <f t="shared" ref="FU85:GD86" si="76">B23</f>
        <v>1</v>
      </c>
      <c r="FV85" s="28">
        <f t="shared" si="76"/>
        <v>12</v>
      </c>
      <c r="FW85" s="28">
        <f t="shared" si="76"/>
        <v>18</v>
      </c>
      <c r="FX85" s="28">
        <f t="shared" si="76"/>
        <v>8</v>
      </c>
      <c r="FY85" s="28">
        <f t="shared" si="76"/>
        <v>5</v>
      </c>
      <c r="FZ85" s="28">
        <f t="shared" si="76"/>
        <v>4</v>
      </c>
      <c r="GA85" s="28">
        <f t="shared" si="76"/>
        <v>6</v>
      </c>
      <c r="GB85" s="28">
        <f t="shared" si="76"/>
        <v>10</v>
      </c>
      <c r="GC85" s="28">
        <f t="shared" si="76"/>
        <v>4</v>
      </c>
      <c r="GD85" s="28">
        <f t="shared" si="76"/>
        <v>15</v>
      </c>
      <c r="GE85" s="28">
        <f t="shared" ref="GE85:GN86" si="77">L23</f>
        <v>6</v>
      </c>
      <c r="GF85" s="28">
        <f t="shared" si="77"/>
        <v>4</v>
      </c>
      <c r="GG85" s="28">
        <f t="shared" si="77"/>
        <v>5</v>
      </c>
      <c r="GH85" s="28">
        <f t="shared" si="77"/>
        <v>15</v>
      </c>
      <c r="GI85" s="28">
        <f t="shared" si="77"/>
        <v>10</v>
      </c>
      <c r="GJ85" s="28">
        <f t="shared" si="77"/>
        <v>6</v>
      </c>
      <c r="GK85" s="28">
        <f t="shared" si="77"/>
        <v>8</v>
      </c>
      <c r="GL85" s="28">
        <f t="shared" si="77"/>
        <v>4</v>
      </c>
      <c r="GM85" s="28">
        <f t="shared" si="77"/>
        <v>6</v>
      </c>
      <c r="GN85" s="28">
        <f t="shared" si="77"/>
        <v>5</v>
      </c>
      <c r="GO85" s="28">
        <f t="shared" ref="GO85:GX86" si="78">V23</f>
        <v>1</v>
      </c>
      <c r="GP85" s="28">
        <f t="shared" si="78"/>
        <v>0</v>
      </c>
      <c r="GQ85" s="28">
        <f t="shared" si="78"/>
        <v>0</v>
      </c>
      <c r="GR85" s="28">
        <f t="shared" si="78"/>
        <v>5</v>
      </c>
      <c r="GS85" s="28">
        <f t="shared" si="78"/>
        <v>3</v>
      </c>
      <c r="GT85" s="28">
        <f t="shared" si="78"/>
        <v>1</v>
      </c>
      <c r="GU85" s="28">
        <f t="shared" si="78"/>
        <v>1</v>
      </c>
      <c r="GV85" s="28">
        <f t="shared" si="78"/>
        <v>2</v>
      </c>
      <c r="GW85" s="28">
        <f t="shared" si="78"/>
        <v>1</v>
      </c>
      <c r="GX85" s="28">
        <f t="shared" si="78"/>
        <v>2</v>
      </c>
      <c r="GY85" s="28">
        <f t="shared" ref="GY85:HH86" si="79">AF23</f>
        <v>0</v>
      </c>
      <c r="GZ85" s="28">
        <f t="shared" si="79"/>
        <v>0</v>
      </c>
      <c r="HA85" s="28">
        <f t="shared" si="79"/>
        <v>2</v>
      </c>
      <c r="HB85" s="28">
        <f t="shared" si="79"/>
        <v>0</v>
      </c>
      <c r="HC85" s="28">
        <f t="shared" si="79"/>
        <v>0</v>
      </c>
      <c r="HD85" s="28">
        <f t="shared" si="79"/>
        <v>1</v>
      </c>
      <c r="HE85" s="28">
        <f t="shared" si="79"/>
        <v>2</v>
      </c>
      <c r="HF85" s="28">
        <f t="shared" si="79"/>
        <v>4</v>
      </c>
      <c r="HG85" s="28">
        <f t="shared" si="79"/>
        <v>2</v>
      </c>
      <c r="HH85" s="28">
        <f t="shared" si="79"/>
        <v>6</v>
      </c>
      <c r="HI85" s="28">
        <f t="shared" ref="HI85:HR86" si="80">AP23</f>
        <v>2</v>
      </c>
      <c r="HJ85" s="28">
        <f t="shared" si="80"/>
        <v>6</v>
      </c>
      <c r="HK85" s="28">
        <f t="shared" si="80"/>
        <v>3</v>
      </c>
      <c r="HL85" s="28">
        <f t="shared" si="80"/>
        <v>7</v>
      </c>
      <c r="HM85" s="28">
        <f t="shared" si="80"/>
        <v>3</v>
      </c>
      <c r="HN85" s="28">
        <f t="shared" si="80"/>
        <v>5</v>
      </c>
      <c r="HO85" s="28">
        <f t="shared" si="80"/>
        <v>6</v>
      </c>
      <c r="HP85" s="28">
        <f t="shared" si="80"/>
        <v>2</v>
      </c>
      <c r="HQ85" s="28">
        <f t="shared" si="80"/>
        <v>6</v>
      </c>
      <c r="HR85" s="28">
        <f t="shared" si="80"/>
        <v>0</v>
      </c>
      <c r="HS85" s="28">
        <f t="shared" ref="HS85:HT86" si="81">AZ23</f>
        <v>7</v>
      </c>
      <c r="HT85" s="28">
        <f t="shared" si="81"/>
        <v>10</v>
      </c>
      <c r="HU85" s="31">
        <f t="shared" ref="HU85:ID86" si="82">B28</f>
        <v>13</v>
      </c>
      <c r="HV85" s="31">
        <f t="shared" si="82"/>
        <v>8</v>
      </c>
      <c r="HW85" s="31">
        <f t="shared" si="82"/>
        <v>19</v>
      </c>
      <c r="HX85" s="31">
        <f t="shared" si="82"/>
        <v>7</v>
      </c>
      <c r="HY85" s="31">
        <f t="shared" si="82"/>
        <v>2</v>
      </c>
      <c r="HZ85" s="31">
        <f t="shared" si="82"/>
        <v>10</v>
      </c>
      <c r="IA85" s="31">
        <f t="shared" si="82"/>
        <v>6</v>
      </c>
      <c r="IB85" s="31">
        <f t="shared" si="82"/>
        <v>9</v>
      </c>
      <c r="IC85" s="31">
        <f t="shared" si="82"/>
        <v>23</v>
      </c>
      <c r="ID85" s="31">
        <f t="shared" si="82"/>
        <v>29</v>
      </c>
      <c r="IE85" s="31">
        <f t="shared" ref="IE85:IN86" si="83">L28</f>
        <v>32</v>
      </c>
      <c r="IF85" s="31">
        <f t="shared" si="83"/>
        <v>31</v>
      </c>
      <c r="IG85" s="31">
        <f t="shared" si="83"/>
        <v>16</v>
      </c>
      <c r="IH85" s="31">
        <f t="shared" si="83"/>
        <v>21</v>
      </c>
      <c r="II85" s="31">
        <f t="shared" si="83"/>
        <v>15</v>
      </c>
      <c r="IJ85" s="31">
        <f t="shared" si="83"/>
        <v>24</v>
      </c>
      <c r="IK85" s="31">
        <f t="shared" si="83"/>
        <v>33</v>
      </c>
      <c r="IL85" s="31">
        <f t="shared" si="83"/>
        <v>16</v>
      </c>
      <c r="IM85" s="31">
        <f t="shared" si="83"/>
        <v>44</v>
      </c>
      <c r="IN85" s="31">
        <f t="shared" si="83"/>
        <v>21</v>
      </c>
      <c r="IO85" s="31">
        <f t="shared" ref="IO85:IX86" si="84">V28</f>
        <v>6</v>
      </c>
      <c r="IP85" s="31">
        <f t="shared" si="84"/>
        <v>1</v>
      </c>
      <c r="IQ85" s="31">
        <f t="shared" si="84"/>
        <v>1</v>
      </c>
      <c r="IR85" s="31">
        <f t="shared" si="84"/>
        <v>5</v>
      </c>
      <c r="IS85" s="31">
        <f t="shared" si="84"/>
        <v>6</v>
      </c>
      <c r="IT85" s="31">
        <f t="shared" si="84"/>
        <v>2</v>
      </c>
      <c r="IU85" s="31">
        <f t="shared" si="84"/>
        <v>11</v>
      </c>
      <c r="IV85" s="31">
        <f t="shared" si="84"/>
        <v>7</v>
      </c>
      <c r="IW85" s="31">
        <f t="shared" si="84"/>
        <v>13</v>
      </c>
      <c r="IX85" s="31">
        <f t="shared" si="84"/>
        <v>0</v>
      </c>
      <c r="IY85" s="31">
        <f t="shared" ref="IY85:JH86" si="85">AF28</f>
        <v>1</v>
      </c>
      <c r="IZ85" s="31">
        <f t="shared" si="85"/>
        <v>1</v>
      </c>
      <c r="JA85" s="31">
        <f t="shared" si="85"/>
        <v>0</v>
      </c>
      <c r="JB85" s="31">
        <f t="shared" si="85"/>
        <v>0</v>
      </c>
      <c r="JC85" s="31">
        <f t="shared" si="85"/>
        <v>2</v>
      </c>
      <c r="JD85" s="31">
        <f t="shared" si="85"/>
        <v>2</v>
      </c>
      <c r="JE85" s="31">
        <f t="shared" si="85"/>
        <v>0</v>
      </c>
      <c r="JF85" s="31">
        <f t="shared" si="85"/>
        <v>1</v>
      </c>
      <c r="JG85" s="31">
        <f t="shared" si="85"/>
        <v>4</v>
      </c>
      <c r="JH85" s="31">
        <f t="shared" si="85"/>
        <v>6</v>
      </c>
      <c r="JI85" s="31">
        <f t="shared" ref="JI85:JR86" si="86">AP28</f>
        <v>6</v>
      </c>
      <c r="JJ85" s="31">
        <f t="shared" si="86"/>
        <v>8</v>
      </c>
      <c r="JK85" s="31">
        <f t="shared" si="86"/>
        <v>17</v>
      </c>
      <c r="JL85" s="31">
        <f t="shared" si="86"/>
        <v>10</v>
      </c>
      <c r="JM85" s="31">
        <f t="shared" si="86"/>
        <v>23</v>
      </c>
      <c r="JN85" s="31">
        <f t="shared" si="86"/>
        <v>22</v>
      </c>
      <c r="JO85" s="31">
        <f t="shared" si="86"/>
        <v>20</v>
      </c>
      <c r="JP85" s="31">
        <f t="shared" si="86"/>
        <v>21</v>
      </c>
      <c r="JQ85" s="31">
        <f t="shared" si="86"/>
        <v>22</v>
      </c>
      <c r="JR85" s="31">
        <f t="shared" si="86"/>
        <v>32</v>
      </c>
      <c r="JS85" s="31">
        <f t="shared" ref="JS85:JT86" si="87">AZ28</f>
        <v>5</v>
      </c>
      <c r="JT85" s="31">
        <f t="shared" si="87"/>
        <v>16</v>
      </c>
      <c r="JU85" s="31">
        <f t="shared" ref="JU85:KD86" si="88">B32</f>
        <v>21</v>
      </c>
      <c r="JV85" s="31">
        <f t="shared" si="88"/>
        <v>19</v>
      </c>
      <c r="JW85" s="31">
        <f t="shared" si="88"/>
        <v>52</v>
      </c>
      <c r="JX85" s="31">
        <f t="shared" si="88"/>
        <v>75</v>
      </c>
      <c r="JY85" s="31">
        <f t="shared" si="88"/>
        <v>135</v>
      </c>
      <c r="JZ85" s="31">
        <f t="shared" si="88"/>
        <v>198</v>
      </c>
      <c r="KA85" s="31">
        <f t="shared" si="88"/>
        <v>194</v>
      </c>
      <c r="KB85" s="31">
        <f t="shared" si="88"/>
        <v>216</v>
      </c>
      <c r="KC85" s="31">
        <f t="shared" si="88"/>
        <v>263</v>
      </c>
      <c r="KD85" s="31">
        <f t="shared" si="88"/>
        <v>371</v>
      </c>
      <c r="KE85" s="31">
        <f t="shared" ref="KE85:KN86" si="89">L32</f>
        <v>415</v>
      </c>
      <c r="KF85" s="31">
        <f t="shared" si="89"/>
        <v>400</v>
      </c>
      <c r="KG85" s="31">
        <f t="shared" si="89"/>
        <v>343</v>
      </c>
      <c r="KH85" s="31">
        <f t="shared" si="89"/>
        <v>392</v>
      </c>
      <c r="KI85" s="31">
        <f t="shared" si="89"/>
        <v>398</v>
      </c>
      <c r="KJ85" s="31">
        <f t="shared" si="89"/>
        <v>313</v>
      </c>
      <c r="KK85" s="31">
        <f t="shared" si="89"/>
        <v>247</v>
      </c>
      <c r="KL85" s="31">
        <f t="shared" si="89"/>
        <v>189</v>
      </c>
      <c r="KM85" s="31">
        <f t="shared" si="89"/>
        <v>188</v>
      </c>
      <c r="KN85" s="31">
        <f t="shared" si="89"/>
        <v>78</v>
      </c>
      <c r="KO85" s="31">
        <f t="shared" ref="KO85:KV86" si="90">V32</f>
        <v>74</v>
      </c>
      <c r="KP85" s="31">
        <f t="shared" si="90"/>
        <v>84</v>
      </c>
      <c r="KQ85" s="31">
        <f t="shared" si="90"/>
        <v>67</v>
      </c>
      <c r="KR85" s="31">
        <f t="shared" si="90"/>
        <v>31</v>
      </c>
      <c r="KS85" s="31">
        <f t="shared" si="90"/>
        <v>16</v>
      </c>
      <c r="KT85" s="31">
        <f t="shared" si="90"/>
        <v>13</v>
      </c>
      <c r="KU85" s="31">
        <f t="shared" si="90"/>
        <v>7</v>
      </c>
      <c r="KV85" s="31">
        <f t="shared" si="90"/>
        <v>6</v>
      </c>
      <c r="KW85" s="31">
        <f t="shared" ref="KW85:LA85" si="91">AD32</f>
        <v>4</v>
      </c>
      <c r="KX85" s="31">
        <f t="shared" si="91"/>
        <v>3</v>
      </c>
      <c r="KY85" s="31">
        <f t="shared" si="91"/>
        <v>6</v>
      </c>
      <c r="KZ85" s="31">
        <f t="shared" si="91"/>
        <v>5</v>
      </c>
      <c r="LA85" s="31">
        <f t="shared" si="91"/>
        <v>4</v>
      </c>
      <c r="LB85" s="31">
        <f t="shared" ref="LB85:LK86" si="92">AI32</f>
        <v>2</v>
      </c>
      <c r="LC85" s="31">
        <f t="shared" si="92"/>
        <v>2</v>
      </c>
      <c r="LD85" s="31">
        <f t="shared" si="92"/>
        <v>11</v>
      </c>
      <c r="LE85" s="31">
        <f t="shared" si="92"/>
        <v>6</v>
      </c>
      <c r="LF85" s="31">
        <f t="shared" si="92"/>
        <v>8</v>
      </c>
      <c r="LG85" s="31">
        <f t="shared" si="92"/>
        <v>5</v>
      </c>
      <c r="LH85" s="31">
        <f t="shared" si="92"/>
        <v>3</v>
      </c>
      <c r="LI85" s="31">
        <f t="shared" si="92"/>
        <v>5</v>
      </c>
      <c r="LJ85" s="31">
        <f t="shared" si="92"/>
        <v>3</v>
      </c>
      <c r="LK85" s="31">
        <f t="shared" si="92"/>
        <v>10</v>
      </c>
      <c r="LL85" s="31">
        <f t="shared" ref="LL85:LT86" si="93">AS32</f>
        <v>4</v>
      </c>
      <c r="LM85" s="31">
        <f t="shared" si="93"/>
        <v>9</v>
      </c>
      <c r="LN85" s="31">
        <f t="shared" si="93"/>
        <v>8</v>
      </c>
      <c r="LO85" s="31">
        <f t="shared" si="93"/>
        <v>0</v>
      </c>
      <c r="LP85" s="31">
        <f t="shared" si="93"/>
        <v>14</v>
      </c>
      <c r="LQ85" s="31">
        <f t="shared" si="93"/>
        <v>12</v>
      </c>
      <c r="LR85" s="31">
        <f t="shared" si="93"/>
        <v>22</v>
      </c>
      <c r="LS85" s="31">
        <f t="shared" si="93"/>
        <v>11</v>
      </c>
      <c r="LT85" s="31">
        <f t="shared" si="93"/>
        <v>19</v>
      </c>
      <c r="LU85" s="31">
        <f>B36</f>
        <v>27</v>
      </c>
      <c r="LV85" s="31">
        <f t="shared" ref="LV85:LZ85" si="94">C36</f>
        <v>38</v>
      </c>
      <c r="LW85" s="31">
        <f t="shared" si="94"/>
        <v>25</v>
      </c>
      <c r="LX85" s="31">
        <f t="shared" si="94"/>
        <v>25</v>
      </c>
      <c r="LY85" s="31">
        <f t="shared" si="94"/>
        <v>36</v>
      </c>
      <c r="LZ85" s="31">
        <f t="shared" si="94"/>
        <v>25</v>
      </c>
      <c r="MA85" s="31">
        <f t="shared" ref="MA85:MK86" si="95">H36</f>
        <v>26</v>
      </c>
      <c r="MB85" s="31">
        <f t="shared" si="95"/>
        <v>35</v>
      </c>
      <c r="MC85" s="31">
        <f t="shared" si="95"/>
        <v>28</v>
      </c>
      <c r="MD85" s="31">
        <f t="shared" si="95"/>
        <v>33</v>
      </c>
      <c r="ME85" s="31">
        <f t="shared" si="95"/>
        <v>51</v>
      </c>
      <c r="MF85" s="31">
        <f t="shared" si="95"/>
        <v>63</v>
      </c>
      <c r="MG85" s="31">
        <f t="shared" si="95"/>
        <v>72</v>
      </c>
      <c r="MH85" s="31">
        <f t="shared" si="95"/>
        <v>102</v>
      </c>
      <c r="MI85" s="31">
        <f t="shared" si="95"/>
        <v>103</v>
      </c>
      <c r="MJ85" s="31">
        <f t="shared" si="95"/>
        <v>98</v>
      </c>
      <c r="MK85" s="31">
        <f t="shared" si="95"/>
        <v>90</v>
      </c>
    </row>
    <row r="86" spans="1:349" x14ac:dyDescent="0.25">
      <c r="A86" s="29" t="s">
        <v>54</v>
      </c>
      <c r="B86" s="31">
        <v>0</v>
      </c>
      <c r="C86" s="31">
        <v>0</v>
      </c>
      <c r="D86" s="28">
        <v>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2</v>
      </c>
      <c r="AF86" s="28">
        <v>1</v>
      </c>
      <c r="AG86" s="28">
        <v>1</v>
      </c>
      <c r="AH86" s="28">
        <v>0</v>
      </c>
      <c r="AI86" s="28">
        <v>0</v>
      </c>
      <c r="AJ86" s="28">
        <v>2</v>
      </c>
      <c r="AK86" s="28">
        <v>1</v>
      </c>
      <c r="AL86" s="28">
        <v>0</v>
      </c>
      <c r="AM86" s="28">
        <v>2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31">
        <v>0</v>
      </c>
      <c r="BC86" s="31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28">
        <v>1</v>
      </c>
      <c r="BY86" s="28">
        <v>0</v>
      </c>
      <c r="BZ86" s="28">
        <v>0</v>
      </c>
      <c r="CA86" s="28">
        <v>1</v>
      </c>
      <c r="CB86" s="28">
        <v>2</v>
      </c>
      <c r="CC86" s="28">
        <v>0</v>
      </c>
      <c r="CD86" s="28">
        <v>0</v>
      </c>
      <c r="CE86" s="28">
        <v>1</v>
      </c>
      <c r="CF86" s="28">
        <v>0</v>
      </c>
      <c r="CG86" s="28">
        <v>1</v>
      </c>
      <c r="CH86" s="28">
        <v>1</v>
      </c>
      <c r="CI86" s="28">
        <v>0</v>
      </c>
      <c r="CJ86" s="28">
        <v>3</v>
      </c>
      <c r="CK86" s="28">
        <v>0</v>
      </c>
      <c r="CL86" s="28">
        <v>0</v>
      </c>
      <c r="CM86" s="28">
        <v>0</v>
      </c>
      <c r="CN86" s="28">
        <v>0</v>
      </c>
      <c r="CO86" s="28">
        <v>0</v>
      </c>
      <c r="CP86" s="28">
        <v>0</v>
      </c>
      <c r="CQ86" s="28">
        <v>0</v>
      </c>
      <c r="CR86" s="28">
        <v>0</v>
      </c>
      <c r="CS86" s="28">
        <v>0</v>
      </c>
      <c r="CT86" s="28">
        <v>0</v>
      </c>
      <c r="CU86" s="28">
        <v>1</v>
      </c>
      <c r="CV86" s="28">
        <v>0</v>
      </c>
      <c r="CW86" s="28">
        <v>0</v>
      </c>
      <c r="CX86" s="28">
        <v>0</v>
      </c>
      <c r="CY86" s="28">
        <v>0</v>
      </c>
      <c r="CZ86" s="28">
        <v>0</v>
      </c>
      <c r="DA86" s="28">
        <v>0</v>
      </c>
      <c r="DB86" s="28">
        <v>0</v>
      </c>
      <c r="DC86" s="28">
        <v>0</v>
      </c>
      <c r="DD86" s="28">
        <v>0</v>
      </c>
      <c r="DE86" s="28">
        <v>0</v>
      </c>
      <c r="DF86" s="28">
        <v>0</v>
      </c>
      <c r="DG86" s="28">
        <v>0</v>
      </c>
      <c r="DH86" s="28">
        <v>0</v>
      </c>
      <c r="DI86" s="28">
        <v>0</v>
      </c>
      <c r="DJ86" s="28">
        <v>0</v>
      </c>
      <c r="DK86" s="28">
        <v>0</v>
      </c>
      <c r="DL86" s="28">
        <v>0</v>
      </c>
      <c r="DM86" s="28">
        <v>0</v>
      </c>
      <c r="DN86" s="28">
        <v>0</v>
      </c>
      <c r="DO86" s="28">
        <v>4</v>
      </c>
      <c r="DP86" s="28">
        <v>0</v>
      </c>
      <c r="DQ86" s="28">
        <v>3</v>
      </c>
      <c r="DR86" s="28">
        <v>9</v>
      </c>
      <c r="DS86" s="28">
        <v>28</v>
      </c>
      <c r="DT86" s="118">
        <f t="shared" si="70"/>
        <v>9</v>
      </c>
      <c r="DU86" s="118">
        <f t="shared" si="70"/>
        <v>85</v>
      </c>
      <c r="DV86" s="118">
        <f t="shared" si="70"/>
        <v>127</v>
      </c>
      <c r="DW86" s="118">
        <f t="shared" si="70"/>
        <v>126</v>
      </c>
      <c r="DX86" s="118">
        <f t="shared" si="70"/>
        <v>188</v>
      </c>
      <c r="DY86" s="118">
        <f t="shared" si="70"/>
        <v>231</v>
      </c>
      <c r="DZ86" s="118">
        <f t="shared" si="70"/>
        <v>304</v>
      </c>
      <c r="EA86" s="118">
        <f t="shared" si="70"/>
        <v>217</v>
      </c>
      <c r="EB86" s="118">
        <f t="shared" si="70"/>
        <v>156</v>
      </c>
      <c r="EC86" s="118">
        <f t="shared" si="70"/>
        <v>116</v>
      </c>
      <c r="ED86" s="118">
        <f t="shared" si="71"/>
        <v>155</v>
      </c>
      <c r="EE86" s="118">
        <f t="shared" si="71"/>
        <v>152</v>
      </c>
      <c r="EF86" s="118">
        <f t="shared" si="71"/>
        <v>128</v>
      </c>
      <c r="EG86" s="118">
        <f t="shared" si="71"/>
        <v>156</v>
      </c>
      <c r="EH86" s="118">
        <f t="shared" si="71"/>
        <v>177</v>
      </c>
      <c r="EI86" s="118">
        <f t="shared" si="71"/>
        <v>87</v>
      </c>
      <c r="EJ86" s="118">
        <f t="shared" si="71"/>
        <v>68</v>
      </c>
      <c r="EK86" s="118">
        <f t="shared" si="71"/>
        <v>32</v>
      </c>
      <c r="EL86" s="118">
        <f t="shared" si="71"/>
        <v>33</v>
      </c>
      <c r="EM86" s="118">
        <f t="shared" si="71"/>
        <v>19</v>
      </c>
      <c r="EN86" s="118">
        <f t="shared" si="72"/>
        <v>9</v>
      </c>
      <c r="EO86" s="118">
        <f t="shared" si="72"/>
        <v>6</v>
      </c>
      <c r="EP86" s="118">
        <f t="shared" si="72"/>
        <v>2</v>
      </c>
      <c r="EQ86" s="118">
        <f t="shared" si="72"/>
        <v>1</v>
      </c>
      <c r="ER86" s="118">
        <f t="shared" si="72"/>
        <v>2</v>
      </c>
      <c r="ES86" s="118">
        <f t="shared" si="72"/>
        <v>0</v>
      </c>
      <c r="ET86" s="118">
        <f t="shared" si="72"/>
        <v>0</v>
      </c>
      <c r="EU86" s="118">
        <f t="shared" si="72"/>
        <v>0</v>
      </c>
      <c r="EV86" s="118">
        <f t="shared" si="72"/>
        <v>0</v>
      </c>
      <c r="EW86" s="118">
        <f t="shared" si="72"/>
        <v>0</v>
      </c>
      <c r="EX86" s="118">
        <f t="shared" si="73"/>
        <v>0</v>
      </c>
      <c r="EY86" s="118">
        <f t="shared" si="73"/>
        <v>0</v>
      </c>
      <c r="EZ86" s="118">
        <f t="shared" si="73"/>
        <v>0</v>
      </c>
      <c r="FA86" s="118">
        <f t="shared" si="73"/>
        <v>0</v>
      </c>
      <c r="FB86" s="118">
        <f t="shared" si="73"/>
        <v>0</v>
      </c>
      <c r="FC86" s="118">
        <f t="shared" si="73"/>
        <v>0</v>
      </c>
      <c r="FD86" s="118">
        <f t="shared" si="73"/>
        <v>0</v>
      </c>
      <c r="FE86" s="118">
        <f t="shared" si="73"/>
        <v>0</v>
      </c>
      <c r="FF86" s="118">
        <f t="shared" si="73"/>
        <v>0</v>
      </c>
      <c r="FG86" s="118">
        <f t="shared" si="73"/>
        <v>0</v>
      </c>
      <c r="FH86" s="118">
        <f t="shared" si="74"/>
        <v>0</v>
      </c>
      <c r="FI86" s="118">
        <f t="shared" si="74"/>
        <v>0</v>
      </c>
      <c r="FJ86" s="118">
        <f t="shared" si="74"/>
        <v>0</v>
      </c>
      <c r="FK86" s="118">
        <f t="shared" si="74"/>
        <v>0</v>
      </c>
      <c r="FL86" s="118">
        <f t="shared" si="74"/>
        <v>0</v>
      </c>
      <c r="FM86" s="118">
        <f t="shared" si="74"/>
        <v>0</v>
      </c>
      <c r="FN86" s="118">
        <f t="shared" si="74"/>
        <v>0</v>
      </c>
      <c r="FO86" s="118">
        <f t="shared" si="74"/>
        <v>0</v>
      </c>
      <c r="FP86" s="118">
        <f t="shared" si="74"/>
        <v>0</v>
      </c>
      <c r="FQ86" s="118">
        <f t="shared" si="74"/>
        <v>1</v>
      </c>
      <c r="FR86" s="118">
        <f t="shared" si="75"/>
        <v>0</v>
      </c>
      <c r="FS86" s="118">
        <f t="shared" si="75"/>
        <v>2</v>
      </c>
      <c r="FT86" s="118">
        <f t="shared" si="75"/>
        <v>0</v>
      </c>
      <c r="FU86" s="28">
        <f t="shared" si="76"/>
        <v>1</v>
      </c>
      <c r="FV86" s="28">
        <f t="shared" si="76"/>
        <v>2</v>
      </c>
      <c r="FW86" s="28">
        <f t="shared" si="76"/>
        <v>3</v>
      </c>
      <c r="FX86" s="28">
        <f t="shared" si="76"/>
        <v>1</v>
      </c>
      <c r="FY86" s="28">
        <f t="shared" si="76"/>
        <v>1</v>
      </c>
      <c r="FZ86" s="28">
        <f t="shared" si="76"/>
        <v>1</v>
      </c>
      <c r="GA86" s="28">
        <f t="shared" si="76"/>
        <v>1</v>
      </c>
      <c r="GB86" s="28">
        <f t="shared" si="76"/>
        <v>1</v>
      </c>
      <c r="GC86" s="28">
        <f t="shared" si="76"/>
        <v>0</v>
      </c>
      <c r="GD86" s="28">
        <f t="shared" si="76"/>
        <v>1</v>
      </c>
      <c r="GE86" s="28">
        <f t="shared" si="77"/>
        <v>0</v>
      </c>
      <c r="GF86" s="28">
        <f t="shared" si="77"/>
        <v>1</v>
      </c>
      <c r="GG86" s="28">
        <f t="shared" si="77"/>
        <v>0</v>
      </c>
      <c r="GH86" s="28">
        <f t="shared" si="77"/>
        <v>6</v>
      </c>
      <c r="GI86" s="28">
        <f t="shared" si="77"/>
        <v>2</v>
      </c>
      <c r="GJ86" s="28">
        <f t="shared" si="77"/>
        <v>0</v>
      </c>
      <c r="GK86" s="28">
        <f t="shared" si="77"/>
        <v>0</v>
      </c>
      <c r="GL86" s="28">
        <f t="shared" si="77"/>
        <v>0</v>
      </c>
      <c r="GM86" s="28">
        <f t="shared" si="77"/>
        <v>1</v>
      </c>
      <c r="GN86" s="28">
        <f t="shared" si="77"/>
        <v>1</v>
      </c>
      <c r="GO86" s="28">
        <f t="shared" si="78"/>
        <v>0</v>
      </c>
      <c r="GP86" s="28">
        <f t="shared" si="78"/>
        <v>0</v>
      </c>
      <c r="GQ86" s="28">
        <f t="shared" si="78"/>
        <v>0</v>
      </c>
      <c r="GR86" s="28">
        <f t="shared" si="78"/>
        <v>0</v>
      </c>
      <c r="GS86" s="28">
        <f t="shared" si="78"/>
        <v>0</v>
      </c>
      <c r="GT86" s="28">
        <f t="shared" si="78"/>
        <v>0</v>
      </c>
      <c r="GU86" s="28">
        <f t="shared" si="78"/>
        <v>0</v>
      </c>
      <c r="GV86" s="28">
        <f t="shared" si="78"/>
        <v>0</v>
      </c>
      <c r="GW86" s="28">
        <f t="shared" si="78"/>
        <v>0</v>
      </c>
      <c r="GX86" s="28">
        <f t="shared" si="78"/>
        <v>0</v>
      </c>
      <c r="GY86" s="28">
        <f t="shared" si="79"/>
        <v>0</v>
      </c>
      <c r="GZ86" s="28">
        <f t="shared" si="79"/>
        <v>0</v>
      </c>
      <c r="HA86" s="28">
        <f t="shared" si="79"/>
        <v>0</v>
      </c>
      <c r="HB86" s="28">
        <f t="shared" si="79"/>
        <v>0</v>
      </c>
      <c r="HC86" s="28">
        <f t="shared" si="79"/>
        <v>0</v>
      </c>
      <c r="HD86" s="28">
        <f t="shared" si="79"/>
        <v>0</v>
      </c>
      <c r="HE86" s="28">
        <f t="shared" si="79"/>
        <v>0</v>
      </c>
      <c r="HF86" s="28">
        <f t="shared" si="79"/>
        <v>1</v>
      </c>
      <c r="HG86" s="28">
        <f t="shared" si="79"/>
        <v>0</v>
      </c>
      <c r="HH86" s="28">
        <f t="shared" si="79"/>
        <v>1</v>
      </c>
      <c r="HI86" s="28">
        <f t="shared" si="80"/>
        <v>0</v>
      </c>
      <c r="HJ86" s="28">
        <f t="shared" si="80"/>
        <v>0</v>
      </c>
      <c r="HK86" s="28">
        <f t="shared" si="80"/>
        <v>0</v>
      </c>
      <c r="HL86" s="28">
        <f t="shared" si="80"/>
        <v>0</v>
      </c>
      <c r="HM86" s="28">
        <f t="shared" si="80"/>
        <v>0</v>
      </c>
      <c r="HN86" s="28">
        <f t="shared" si="80"/>
        <v>0</v>
      </c>
      <c r="HO86" s="28">
        <f t="shared" si="80"/>
        <v>0</v>
      </c>
      <c r="HP86" s="28">
        <f t="shared" si="80"/>
        <v>0</v>
      </c>
      <c r="HQ86" s="28">
        <f t="shared" si="80"/>
        <v>0</v>
      </c>
      <c r="HR86" s="28">
        <f t="shared" si="80"/>
        <v>0</v>
      </c>
      <c r="HS86" s="28">
        <f t="shared" si="81"/>
        <v>2</v>
      </c>
      <c r="HT86" s="28">
        <f t="shared" si="81"/>
        <v>0</v>
      </c>
      <c r="HU86" s="31">
        <f t="shared" si="82"/>
        <v>0</v>
      </c>
      <c r="HV86" s="31">
        <f t="shared" si="82"/>
        <v>0</v>
      </c>
      <c r="HW86" s="31">
        <f t="shared" si="82"/>
        <v>0</v>
      </c>
      <c r="HX86" s="31">
        <f t="shared" si="82"/>
        <v>0</v>
      </c>
      <c r="HY86" s="31">
        <f t="shared" si="82"/>
        <v>0</v>
      </c>
      <c r="HZ86" s="31">
        <f t="shared" si="82"/>
        <v>0</v>
      </c>
      <c r="IA86" s="31">
        <f t="shared" si="82"/>
        <v>0</v>
      </c>
      <c r="IB86" s="31">
        <f t="shared" si="82"/>
        <v>4</v>
      </c>
      <c r="IC86" s="31">
        <f t="shared" si="82"/>
        <v>9</v>
      </c>
      <c r="ID86" s="31">
        <f t="shared" si="82"/>
        <v>14</v>
      </c>
      <c r="IE86" s="31">
        <f t="shared" si="83"/>
        <v>15</v>
      </c>
      <c r="IF86" s="31">
        <f t="shared" si="83"/>
        <v>8</v>
      </c>
      <c r="IG86" s="31">
        <f t="shared" si="83"/>
        <v>3</v>
      </c>
      <c r="IH86" s="31">
        <f t="shared" si="83"/>
        <v>1</v>
      </c>
      <c r="II86" s="31">
        <f t="shared" si="83"/>
        <v>3</v>
      </c>
      <c r="IJ86" s="31">
        <f t="shared" si="83"/>
        <v>4</v>
      </c>
      <c r="IK86" s="31">
        <f t="shared" si="83"/>
        <v>13</v>
      </c>
      <c r="IL86" s="31">
        <f t="shared" si="83"/>
        <v>4</v>
      </c>
      <c r="IM86" s="31">
        <f t="shared" si="83"/>
        <v>8</v>
      </c>
      <c r="IN86" s="31">
        <f t="shared" si="83"/>
        <v>6</v>
      </c>
      <c r="IO86" s="31">
        <f t="shared" si="84"/>
        <v>0</v>
      </c>
      <c r="IP86" s="31">
        <f t="shared" si="84"/>
        <v>0</v>
      </c>
      <c r="IQ86" s="31">
        <f t="shared" si="84"/>
        <v>0</v>
      </c>
      <c r="IR86" s="31">
        <f t="shared" si="84"/>
        <v>2</v>
      </c>
      <c r="IS86" s="31">
        <f t="shared" si="84"/>
        <v>0</v>
      </c>
      <c r="IT86" s="31">
        <f t="shared" si="84"/>
        <v>0</v>
      </c>
      <c r="IU86" s="31">
        <f t="shared" si="84"/>
        <v>0</v>
      </c>
      <c r="IV86" s="31">
        <f t="shared" si="84"/>
        <v>0</v>
      </c>
      <c r="IW86" s="31">
        <f t="shared" si="84"/>
        <v>0</v>
      </c>
      <c r="IX86" s="31">
        <f t="shared" si="84"/>
        <v>0</v>
      </c>
      <c r="IY86" s="31">
        <f t="shared" si="85"/>
        <v>0</v>
      </c>
      <c r="IZ86" s="31">
        <f t="shared" si="85"/>
        <v>0</v>
      </c>
      <c r="JA86" s="31">
        <f t="shared" si="85"/>
        <v>0</v>
      </c>
      <c r="JB86" s="31">
        <f t="shared" si="85"/>
        <v>0</v>
      </c>
      <c r="JC86" s="31">
        <f t="shared" si="85"/>
        <v>0</v>
      </c>
      <c r="JD86" s="31">
        <f t="shared" si="85"/>
        <v>0</v>
      </c>
      <c r="JE86" s="31">
        <f t="shared" si="85"/>
        <v>0</v>
      </c>
      <c r="JF86" s="31">
        <f t="shared" si="85"/>
        <v>0</v>
      </c>
      <c r="JG86" s="31">
        <f t="shared" si="85"/>
        <v>0</v>
      </c>
      <c r="JH86" s="31">
        <f t="shared" si="85"/>
        <v>0</v>
      </c>
      <c r="JI86" s="31">
        <f t="shared" si="86"/>
        <v>0</v>
      </c>
      <c r="JJ86" s="31">
        <f t="shared" si="86"/>
        <v>0</v>
      </c>
      <c r="JK86" s="31">
        <f t="shared" si="86"/>
        <v>0</v>
      </c>
      <c r="JL86" s="31">
        <f t="shared" si="86"/>
        <v>0</v>
      </c>
      <c r="JM86" s="31">
        <f t="shared" si="86"/>
        <v>0</v>
      </c>
      <c r="JN86" s="31">
        <f t="shared" si="86"/>
        <v>0</v>
      </c>
      <c r="JO86" s="31">
        <f t="shared" si="86"/>
        <v>1</v>
      </c>
      <c r="JP86" s="31">
        <f t="shared" si="86"/>
        <v>0</v>
      </c>
      <c r="JQ86" s="31">
        <f t="shared" si="86"/>
        <v>2</v>
      </c>
      <c r="JR86" s="31">
        <f t="shared" si="86"/>
        <v>1</v>
      </c>
      <c r="JS86" s="31">
        <f t="shared" si="87"/>
        <v>2</v>
      </c>
      <c r="JT86" s="31">
        <f t="shared" si="87"/>
        <v>2</v>
      </c>
      <c r="JU86" s="31">
        <f t="shared" si="88"/>
        <v>4</v>
      </c>
      <c r="JV86" s="31">
        <f t="shared" si="88"/>
        <v>2</v>
      </c>
      <c r="JW86" s="31">
        <f t="shared" si="88"/>
        <v>11</v>
      </c>
      <c r="JX86" s="31">
        <f t="shared" si="88"/>
        <v>21</v>
      </c>
      <c r="JY86" s="31">
        <f t="shared" si="88"/>
        <v>57</v>
      </c>
      <c r="JZ86" s="31">
        <f t="shared" si="88"/>
        <v>78</v>
      </c>
      <c r="KA86" s="31">
        <f t="shared" si="88"/>
        <v>97</v>
      </c>
      <c r="KB86" s="31">
        <f t="shared" si="88"/>
        <v>88</v>
      </c>
      <c r="KC86" s="31">
        <f t="shared" si="88"/>
        <v>78</v>
      </c>
      <c r="KD86" s="31">
        <f t="shared" si="88"/>
        <v>175</v>
      </c>
      <c r="KE86" s="31">
        <f t="shared" si="89"/>
        <v>130</v>
      </c>
      <c r="KF86" s="31">
        <f t="shared" si="89"/>
        <v>283</v>
      </c>
      <c r="KG86" s="31">
        <f t="shared" si="89"/>
        <v>140</v>
      </c>
      <c r="KH86" s="31">
        <f t="shared" si="89"/>
        <v>194</v>
      </c>
      <c r="KI86" s="31">
        <f t="shared" si="89"/>
        <v>220</v>
      </c>
      <c r="KJ86" s="31">
        <f t="shared" si="89"/>
        <v>170</v>
      </c>
      <c r="KK86" s="31">
        <f t="shared" si="89"/>
        <v>86</v>
      </c>
      <c r="KL86" s="31">
        <f t="shared" si="89"/>
        <v>98</v>
      </c>
      <c r="KM86" s="31">
        <f t="shared" si="89"/>
        <v>37</v>
      </c>
      <c r="KN86" s="31">
        <f t="shared" si="89"/>
        <v>24</v>
      </c>
      <c r="KO86" s="31">
        <f t="shared" si="90"/>
        <v>21</v>
      </c>
      <c r="KP86" s="31">
        <f t="shared" si="90"/>
        <v>21</v>
      </c>
      <c r="KQ86" s="31">
        <f t="shared" si="90"/>
        <v>19</v>
      </c>
      <c r="KR86" s="31">
        <f t="shared" si="90"/>
        <v>9</v>
      </c>
      <c r="KS86" s="31">
        <f t="shared" si="90"/>
        <v>2</v>
      </c>
      <c r="KT86" s="31">
        <f t="shared" si="90"/>
        <v>3</v>
      </c>
      <c r="KU86" s="31">
        <f t="shared" si="90"/>
        <v>4</v>
      </c>
      <c r="KV86" s="31">
        <f t="shared" si="90"/>
        <v>2</v>
      </c>
      <c r="KW86" s="31">
        <f t="shared" ref="KW86:LA86" si="96">AD33</f>
        <v>0</v>
      </c>
      <c r="KX86" s="31">
        <f t="shared" si="96"/>
        <v>0</v>
      </c>
      <c r="KY86" s="31">
        <f t="shared" si="96"/>
        <v>1</v>
      </c>
      <c r="KZ86" s="31">
        <f t="shared" si="96"/>
        <v>0</v>
      </c>
      <c r="LA86" s="31">
        <f t="shared" si="96"/>
        <v>0</v>
      </c>
      <c r="LB86" s="31">
        <f t="shared" si="92"/>
        <v>0</v>
      </c>
      <c r="LC86" s="31">
        <f t="shared" si="92"/>
        <v>0</v>
      </c>
      <c r="LD86" s="31">
        <f t="shared" si="92"/>
        <v>0</v>
      </c>
      <c r="LE86" s="31">
        <f t="shared" si="92"/>
        <v>0</v>
      </c>
      <c r="LF86" s="31">
        <f t="shared" si="92"/>
        <v>0</v>
      </c>
      <c r="LG86" s="31">
        <f t="shared" si="92"/>
        <v>0</v>
      </c>
      <c r="LH86" s="31">
        <f t="shared" si="92"/>
        <v>0</v>
      </c>
      <c r="LI86" s="31">
        <f t="shared" si="92"/>
        <v>0</v>
      </c>
      <c r="LJ86" s="31">
        <f t="shared" si="92"/>
        <v>0</v>
      </c>
      <c r="LK86" s="31">
        <f t="shared" si="92"/>
        <v>0</v>
      </c>
      <c r="LL86" s="31">
        <f t="shared" si="93"/>
        <v>0</v>
      </c>
      <c r="LM86" s="31">
        <f t="shared" si="93"/>
        <v>0</v>
      </c>
      <c r="LN86" s="31">
        <f t="shared" si="93"/>
        <v>1</v>
      </c>
      <c r="LO86" s="31">
        <f t="shared" si="93"/>
        <v>0</v>
      </c>
      <c r="LP86" s="31">
        <f t="shared" si="93"/>
        <v>0</v>
      </c>
      <c r="LQ86" s="31">
        <f t="shared" si="93"/>
        <v>0</v>
      </c>
      <c r="LR86" s="31">
        <f t="shared" si="93"/>
        <v>0</v>
      </c>
      <c r="LS86" s="31">
        <f t="shared" si="93"/>
        <v>1</v>
      </c>
      <c r="LT86" s="31">
        <f t="shared" si="93"/>
        <v>0</v>
      </c>
      <c r="LU86" s="31">
        <f>B37</f>
        <v>1</v>
      </c>
      <c r="LV86" s="31">
        <f t="shared" ref="LV86:LZ86" si="97">C37</f>
        <v>2</v>
      </c>
      <c r="LW86" s="31">
        <f t="shared" si="97"/>
        <v>1</v>
      </c>
      <c r="LX86" s="31">
        <f t="shared" si="97"/>
        <v>0</v>
      </c>
      <c r="LY86" s="31">
        <f t="shared" si="97"/>
        <v>3</v>
      </c>
      <c r="LZ86" s="31">
        <f t="shared" si="97"/>
        <v>1</v>
      </c>
      <c r="MA86" s="31">
        <f t="shared" si="95"/>
        <v>7</v>
      </c>
      <c r="MB86" s="31">
        <f t="shared" si="95"/>
        <v>2</v>
      </c>
      <c r="MC86" s="31">
        <f t="shared" si="95"/>
        <v>3</v>
      </c>
      <c r="MD86" s="31">
        <f t="shared" si="95"/>
        <v>1</v>
      </c>
      <c r="ME86" s="31">
        <f t="shared" si="95"/>
        <v>9</v>
      </c>
      <c r="MF86" s="31">
        <f t="shared" si="95"/>
        <v>12</v>
      </c>
      <c r="MG86" s="31">
        <f t="shared" si="95"/>
        <v>13</v>
      </c>
      <c r="MH86" s="31">
        <f t="shared" si="95"/>
        <v>43</v>
      </c>
      <c r="MI86" s="31">
        <f t="shared" si="95"/>
        <v>33</v>
      </c>
      <c r="MJ86" s="31">
        <f t="shared" si="95"/>
        <v>42</v>
      </c>
      <c r="MK86" s="31">
        <f t="shared" si="95"/>
        <v>23</v>
      </c>
    </row>
    <row r="87" spans="1:349" x14ac:dyDescent="0.25">
      <c r="A87" s="5"/>
      <c r="BC87" s="30"/>
    </row>
    <row r="88" spans="1:349" x14ac:dyDescent="0.25">
      <c r="A88" s="5"/>
      <c r="BC88" s="30"/>
    </row>
    <row r="89" spans="1:349" x14ac:dyDescent="0.25">
      <c r="BC89" s="30"/>
    </row>
    <row r="90" spans="1:349" x14ac:dyDescent="0.25">
      <c r="A90" s="7" t="s">
        <v>56</v>
      </c>
    </row>
    <row r="91" spans="1:349" x14ac:dyDescent="0.25">
      <c r="A91" s="8">
        <v>2017</v>
      </c>
      <c r="B91" s="4" t="s">
        <v>7</v>
      </c>
      <c r="C91" s="4" t="s">
        <v>8</v>
      </c>
      <c r="D91" s="4" t="s">
        <v>9</v>
      </c>
      <c r="E91" s="4" t="s">
        <v>10</v>
      </c>
      <c r="F91" s="4" t="s">
        <v>11</v>
      </c>
      <c r="G91" s="4" t="s">
        <v>12</v>
      </c>
      <c r="H91" s="4" t="s">
        <v>13</v>
      </c>
      <c r="I91" s="4" t="s">
        <v>14</v>
      </c>
      <c r="J91" s="4" t="s">
        <v>15</v>
      </c>
      <c r="K91" s="4" t="s">
        <v>16</v>
      </c>
      <c r="L91" s="4" t="s">
        <v>17</v>
      </c>
      <c r="M91" s="4" t="s">
        <v>18</v>
      </c>
      <c r="N91" s="4" t="s">
        <v>19</v>
      </c>
      <c r="O91" s="4" t="s">
        <v>20</v>
      </c>
      <c r="P91" s="4" t="s">
        <v>21</v>
      </c>
      <c r="Q91" s="4" t="s">
        <v>22</v>
      </c>
      <c r="R91" s="4" t="s">
        <v>23</v>
      </c>
      <c r="S91" s="4" t="s">
        <v>24</v>
      </c>
      <c r="T91" s="4" t="s">
        <v>25</v>
      </c>
      <c r="U91" s="4" t="s">
        <v>26</v>
      </c>
      <c r="V91" s="4" t="s">
        <v>27</v>
      </c>
      <c r="W91" s="4" t="s">
        <v>28</v>
      </c>
      <c r="X91" s="4" t="s">
        <v>29</v>
      </c>
      <c r="Y91" s="4" t="s">
        <v>30</v>
      </c>
      <c r="Z91" s="4" t="s">
        <v>31</v>
      </c>
      <c r="AA91" s="4" t="s">
        <v>32</v>
      </c>
      <c r="AB91" s="4">
        <v>27</v>
      </c>
      <c r="AC91" s="4" t="s">
        <v>33</v>
      </c>
      <c r="AD91" s="4" t="s">
        <v>34</v>
      </c>
      <c r="AE91" s="4">
        <v>30</v>
      </c>
      <c r="AF91" s="4">
        <v>31</v>
      </c>
      <c r="AG91" s="4" t="s">
        <v>35</v>
      </c>
      <c r="AH91" s="4" t="s">
        <v>36</v>
      </c>
      <c r="AI91" s="4" t="s">
        <v>37</v>
      </c>
      <c r="AJ91" s="4">
        <v>35</v>
      </c>
      <c r="AK91" s="4" t="s">
        <v>38</v>
      </c>
      <c r="AL91" s="4" t="s">
        <v>39</v>
      </c>
      <c r="AM91" s="4">
        <v>38</v>
      </c>
      <c r="AN91" s="4">
        <v>39</v>
      </c>
      <c r="AO91" s="4" t="s">
        <v>40</v>
      </c>
      <c r="AP91" s="4" t="s">
        <v>41</v>
      </c>
      <c r="AQ91" s="4" t="s">
        <v>42</v>
      </c>
      <c r="AR91" s="4" t="s">
        <v>43</v>
      </c>
      <c r="AS91" s="4" t="s">
        <v>44</v>
      </c>
      <c r="AT91" s="4">
        <v>45</v>
      </c>
      <c r="AU91" s="4" t="s">
        <v>45</v>
      </c>
      <c r="AV91" s="4" t="s">
        <v>46</v>
      </c>
      <c r="AW91" s="4" t="s">
        <v>47</v>
      </c>
      <c r="AX91" s="4" t="s">
        <v>48</v>
      </c>
      <c r="AY91" s="4" t="s">
        <v>49</v>
      </c>
      <c r="AZ91" s="4" t="s">
        <v>50</v>
      </c>
      <c r="BA91" s="4" t="s">
        <v>51</v>
      </c>
      <c r="BB91" s="4"/>
      <c r="BC91" s="4" t="s">
        <v>52</v>
      </c>
    </row>
    <row r="92" spans="1:349" x14ac:dyDescent="0.25">
      <c r="A92" s="5" t="s">
        <v>53</v>
      </c>
      <c r="B92" s="8">
        <v>0</v>
      </c>
      <c r="C92" s="8">
        <v>1</v>
      </c>
      <c r="D92" s="1">
        <v>8</v>
      </c>
      <c r="E92" s="1">
        <v>3</v>
      </c>
      <c r="G92" s="1">
        <v>5</v>
      </c>
      <c r="H92" s="1">
        <v>1</v>
      </c>
      <c r="I92" s="1">
        <v>3</v>
      </c>
      <c r="J92" s="1">
        <v>7</v>
      </c>
      <c r="K92" s="1">
        <v>4</v>
      </c>
      <c r="L92" s="1">
        <v>6</v>
      </c>
      <c r="M92" s="1">
        <v>17</v>
      </c>
      <c r="N92" s="1">
        <v>7</v>
      </c>
      <c r="O92" s="1">
        <v>10</v>
      </c>
      <c r="P92" s="1">
        <v>8</v>
      </c>
      <c r="Q92" s="1">
        <v>18</v>
      </c>
      <c r="R92" s="1">
        <v>6</v>
      </c>
      <c r="S92" s="1">
        <v>4</v>
      </c>
      <c r="T92" s="1">
        <v>10</v>
      </c>
      <c r="U92" s="1">
        <v>5</v>
      </c>
      <c r="V92" s="1">
        <v>2</v>
      </c>
      <c r="W92" s="1">
        <v>3</v>
      </c>
      <c r="X92" s="1">
        <v>2</v>
      </c>
      <c r="Y92" s="1">
        <v>0</v>
      </c>
      <c r="Z92" s="1">
        <v>5</v>
      </c>
      <c r="AA92" s="3">
        <v>1</v>
      </c>
      <c r="AB92" s="3">
        <v>0</v>
      </c>
      <c r="AC92" s="1">
        <v>1</v>
      </c>
      <c r="AD92" s="1">
        <v>1</v>
      </c>
      <c r="AE92" s="3">
        <v>0</v>
      </c>
      <c r="AF92" s="3">
        <v>0</v>
      </c>
      <c r="AG92" s="1">
        <v>2</v>
      </c>
      <c r="AH92" s="1">
        <v>2</v>
      </c>
      <c r="AI92" s="1">
        <v>2</v>
      </c>
      <c r="AJ92" s="3">
        <v>0</v>
      </c>
      <c r="AK92" s="1">
        <v>1</v>
      </c>
      <c r="AL92" s="1">
        <v>2</v>
      </c>
      <c r="AM92" s="3">
        <v>0</v>
      </c>
      <c r="AN92" s="3">
        <v>0</v>
      </c>
      <c r="AO92" s="1">
        <v>5</v>
      </c>
      <c r="AP92" s="1">
        <v>2</v>
      </c>
      <c r="AQ92" s="3">
        <v>0</v>
      </c>
      <c r="AR92" s="1">
        <v>1</v>
      </c>
      <c r="AS92" s="1">
        <v>1</v>
      </c>
      <c r="AT92" s="3">
        <v>0</v>
      </c>
      <c r="AU92" s="1">
        <v>5</v>
      </c>
      <c r="AV92" s="1">
        <v>1</v>
      </c>
      <c r="AW92" s="1">
        <v>2</v>
      </c>
      <c r="AX92" s="3">
        <v>1</v>
      </c>
      <c r="AY92" s="1">
        <v>3</v>
      </c>
      <c r="AZ92" s="1">
        <v>3</v>
      </c>
      <c r="BA92" s="1">
        <v>3</v>
      </c>
      <c r="BB92" s="1"/>
      <c r="BC92" s="30">
        <f>SUM(B92:BA92)</f>
        <v>174</v>
      </c>
    </row>
    <row r="93" spans="1:349" x14ac:dyDescent="0.25">
      <c r="A93" s="5" t="s">
        <v>54</v>
      </c>
      <c r="B93" s="8">
        <v>0</v>
      </c>
      <c r="C93" s="8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1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1</v>
      </c>
      <c r="BC93" s="30">
        <f>SUM(B93:BA93)</f>
        <v>2</v>
      </c>
    </row>
    <row r="95" spans="1:349" x14ac:dyDescent="0.25">
      <c r="A95" s="8">
        <v>2018</v>
      </c>
      <c r="B95" s="4" t="s">
        <v>7</v>
      </c>
      <c r="C95" s="4" t="s">
        <v>8</v>
      </c>
      <c r="D95" s="4" t="s">
        <v>9</v>
      </c>
      <c r="E95" s="4" t="s">
        <v>10</v>
      </c>
      <c r="F95" s="4" t="s">
        <v>11</v>
      </c>
      <c r="G95" s="4" t="s">
        <v>12</v>
      </c>
      <c r="H95" s="4" t="s">
        <v>13</v>
      </c>
      <c r="I95" s="4" t="s">
        <v>14</v>
      </c>
      <c r="J95" s="4" t="s">
        <v>15</v>
      </c>
      <c r="K95" s="4" t="s">
        <v>16</v>
      </c>
      <c r="L95" s="4" t="s">
        <v>17</v>
      </c>
      <c r="M95" s="4" t="s">
        <v>18</v>
      </c>
      <c r="N95" s="4" t="s">
        <v>19</v>
      </c>
      <c r="O95" s="4" t="s">
        <v>20</v>
      </c>
      <c r="P95" s="4" t="s">
        <v>21</v>
      </c>
      <c r="Q95" s="4" t="s">
        <v>22</v>
      </c>
      <c r="R95" s="4" t="s">
        <v>23</v>
      </c>
      <c r="S95" s="4" t="s">
        <v>24</v>
      </c>
      <c r="T95" s="4" t="s">
        <v>25</v>
      </c>
      <c r="U95" s="4" t="s">
        <v>26</v>
      </c>
      <c r="V95" s="4" t="s">
        <v>27</v>
      </c>
      <c r="W95" s="4" t="s">
        <v>28</v>
      </c>
      <c r="X95" s="4" t="s">
        <v>29</v>
      </c>
      <c r="Y95" s="4" t="s">
        <v>30</v>
      </c>
      <c r="Z95" s="4" t="s">
        <v>31</v>
      </c>
      <c r="AA95" s="4" t="s">
        <v>32</v>
      </c>
      <c r="AB95" s="4">
        <v>27</v>
      </c>
      <c r="AC95" s="4" t="s">
        <v>33</v>
      </c>
      <c r="AD95" s="4" t="s">
        <v>34</v>
      </c>
      <c r="AE95" s="4">
        <v>30</v>
      </c>
      <c r="AF95" s="4">
        <v>31</v>
      </c>
      <c r="AG95" s="4" t="s">
        <v>35</v>
      </c>
      <c r="AH95" s="4" t="s">
        <v>36</v>
      </c>
      <c r="AI95" s="4" t="s">
        <v>37</v>
      </c>
      <c r="AJ95" s="4">
        <v>35</v>
      </c>
      <c r="AK95" s="4" t="s">
        <v>38</v>
      </c>
      <c r="AL95" s="4" t="s">
        <v>39</v>
      </c>
      <c r="AM95" s="4">
        <v>38</v>
      </c>
      <c r="AN95" s="4">
        <v>39</v>
      </c>
      <c r="AO95" s="4" t="s">
        <v>40</v>
      </c>
      <c r="AP95" s="4" t="s">
        <v>41</v>
      </c>
      <c r="AQ95" s="4" t="s">
        <v>42</v>
      </c>
      <c r="AR95" s="4" t="s">
        <v>43</v>
      </c>
      <c r="AS95" s="4" t="s">
        <v>44</v>
      </c>
      <c r="AT95" s="4">
        <v>45</v>
      </c>
      <c r="AU95" s="4" t="s">
        <v>45</v>
      </c>
      <c r="AV95" s="4" t="s">
        <v>46</v>
      </c>
      <c r="AW95" s="4" t="s">
        <v>47</v>
      </c>
      <c r="AX95" s="4" t="s">
        <v>48</v>
      </c>
      <c r="AY95" s="4" t="s">
        <v>49</v>
      </c>
      <c r="AZ95" s="4" t="s">
        <v>50</v>
      </c>
      <c r="BA95" s="4" t="s">
        <v>51</v>
      </c>
      <c r="BB95" s="4"/>
      <c r="BC95" s="4" t="s">
        <v>52</v>
      </c>
    </row>
    <row r="96" spans="1:349" x14ac:dyDescent="0.25">
      <c r="A96" s="5" t="s">
        <v>53</v>
      </c>
      <c r="B96" s="8">
        <v>6</v>
      </c>
      <c r="C96" s="30">
        <v>5</v>
      </c>
      <c r="D96" s="1">
        <v>3</v>
      </c>
      <c r="E96" s="1">
        <v>2</v>
      </c>
      <c r="F96" s="1">
        <v>6</v>
      </c>
      <c r="G96" s="1">
        <v>3</v>
      </c>
      <c r="H96" s="1">
        <v>2</v>
      </c>
      <c r="I96" s="1">
        <v>6</v>
      </c>
      <c r="J96" s="1">
        <v>5</v>
      </c>
      <c r="K96" s="12">
        <v>14</v>
      </c>
      <c r="L96" s="1">
        <v>4</v>
      </c>
      <c r="M96" s="1">
        <v>8</v>
      </c>
      <c r="N96" s="1">
        <v>5</v>
      </c>
      <c r="O96" s="1">
        <v>10</v>
      </c>
      <c r="P96" s="1">
        <v>7</v>
      </c>
      <c r="Q96" s="1">
        <v>9</v>
      </c>
      <c r="R96" s="1">
        <v>13</v>
      </c>
      <c r="S96" s="1">
        <v>14</v>
      </c>
      <c r="T96" s="1">
        <v>3</v>
      </c>
      <c r="U96" s="1">
        <v>7</v>
      </c>
      <c r="V96" s="4">
        <v>3</v>
      </c>
      <c r="W96" s="4">
        <v>1</v>
      </c>
      <c r="X96" s="4">
        <v>1</v>
      </c>
      <c r="Y96" s="4">
        <v>0</v>
      </c>
      <c r="Z96" s="4">
        <v>1</v>
      </c>
      <c r="AA96" s="4">
        <v>1</v>
      </c>
      <c r="AB96" s="4">
        <v>1</v>
      </c>
      <c r="AC96" s="4">
        <v>1</v>
      </c>
      <c r="AD96" s="4">
        <v>0</v>
      </c>
      <c r="AE96" s="4">
        <v>0</v>
      </c>
      <c r="AF96" s="4">
        <v>1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1</v>
      </c>
      <c r="AQ96" s="4">
        <v>3</v>
      </c>
      <c r="AR96" s="4">
        <v>0</v>
      </c>
      <c r="AS96" s="4">
        <v>0</v>
      </c>
      <c r="AT96" s="4">
        <v>4</v>
      </c>
      <c r="AU96" s="4">
        <v>1</v>
      </c>
      <c r="AV96" s="4">
        <v>1</v>
      </c>
      <c r="AW96" s="4">
        <v>1</v>
      </c>
      <c r="AX96" s="4">
        <v>0</v>
      </c>
      <c r="AY96" s="4">
        <v>2</v>
      </c>
      <c r="AZ96" s="4">
        <v>1</v>
      </c>
      <c r="BA96" s="4">
        <v>2</v>
      </c>
      <c r="BB96" s="4"/>
      <c r="BC96" s="30">
        <f>SUM(B96:BA96)</f>
        <v>159</v>
      </c>
      <c r="BD96" s="8">
        <f>SUM(B96:BA96)</f>
        <v>159</v>
      </c>
    </row>
    <row r="97" spans="1:296" x14ac:dyDescent="0.25">
      <c r="A97" s="5" t="s">
        <v>54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3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1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/>
      <c r="BC97" s="30">
        <f>SUM(B97:BA97)</f>
        <v>4</v>
      </c>
      <c r="BD97" s="8">
        <f>SUM(B97:BA97)</f>
        <v>4</v>
      </c>
    </row>
    <row r="98" spans="1:296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0"/>
    </row>
    <row r="99" spans="1:296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0"/>
    </row>
    <row r="100" spans="1:296" x14ac:dyDescent="0.25">
      <c r="A100" s="8">
        <v>2019</v>
      </c>
      <c r="B100" s="4" t="s">
        <v>7</v>
      </c>
      <c r="C100" s="4" t="s">
        <v>8</v>
      </c>
      <c r="D100" s="4" t="s">
        <v>9</v>
      </c>
      <c r="E100" s="4" t="s">
        <v>10</v>
      </c>
      <c r="F100" s="4" t="s">
        <v>11</v>
      </c>
      <c r="G100" s="4" t="s">
        <v>12</v>
      </c>
      <c r="H100" s="4" t="s">
        <v>13</v>
      </c>
      <c r="I100" s="4" t="s">
        <v>14</v>
      </c>
      <c r="J100" s="4" t="s">
        <v>15</v>
      </c>
      <c r="K100" s="4" t="s">
        <v>16</v>
      </c>
      <c r="L100" s="4" t="s">
        <v>17</v>
      </c>
      <c r="M100" s="4" t="s">
        <v>18</v>
      </c>
      <c r="N100" s="4" t="s">
        <v>19</v>
      </c>
      <c r="O100" s="4" t="s">
        <v>20</v>
      </c>
      <c r="P100" s="4" t="s">
        <v>21</v>
      </c>
      <c r="Q100" s="4" t="s">
        <v>22</v>
      </c>
      <c r="R100" s="4" t="s">
        <v>23</v>
      </c>
      <c r="S100" s="4" t="s">
        <v>24</v>
      </c>
      <c r="T100" s="4" t="s">
        <v>25</v>
      </c>
      <c r="U100" s="4" t="s">
        <v>26</v>
      </c>
      <c r="V100" s="4" t="s">
        <v>27</v>
      </c>
      <c r="W100" s="4" t="s">
        <v>28</v>
      </c>
      <c r="X100" s="4" t="s">
        <v>29</v>
      </c>
      <c r="Y100" s="4" t="s">
        <v>30</v>
      </c>
      <c r="Z100" s="4" t="s">
        <v>31</v>
      </c>
      <c r="AA100" s="4" t="s">
        <v>32</v>
      </c>
      <c r="AB100" s="4">
        <v>27</v>
      </c>
      <c r="AC100" s="4" t="s">
        <v>33</v>
      </c>
      <c r="AD100" s="4" t="s">
        <v>34</v>
      </c>
      <c r="AE100" s="4">
        <v>30</v>
      </c>
      <c r="AF100" s="4">
        <v>31</v>
      </c>
      <c r="AG100" s="4" t="s">
        <v>35</v>
      </c>
      <c r="AH100" s="4" t="s">
        <v>36</v>
      </c>
      <c r="AI100" s="4" t="s">
        <v>37</v>
      </c>
      <c r="AJ100" s="4">
        <v>35</v>
      </c>
      <c r="AK100" s="4" t="s">
        <v>38</v>
      </c>
      <c r="AL100" s="4" t="s">
        <v>39</v>
      </c>
      <c r="AM100" s="4">
        <v>38</v>
      </c>
      <c r="AN100" s="4">
        <v>39</v>
      </c>
      <c r="AO100" s="4" t="s">
        <v>40</v>
      </c>
      <c r="AP100" s="4" t="s">
        <v>41</v>
      </c>
      <c r="AQ100" s="4" t="s">
        <v>42</v>
      </c>
      <c r="AR100" s="4" t="s">
        <v>43</v>
      </c>
      <c r="AS100" s="4" t="s">
        <v>44</v>
      </c>
      <c r="AT100" s="4">
        <v>45</v>
      </c>
      <c r="AU100" s="4" t="s">
        <v>45</v>
      </c>
      <c r="AV100" s="4" t="s">
        <v>46</v>
      </c>
      <c r="AW100" s="4" t="s">
        <v>47</v>
      </c>
      <c r="AX100" s="4" t="s">
        <v>48</v>
      </c>
      <c r="AY100" s="4" t="s">
        <v>49</v>
      </c>
      <c r="AZ100" s="4" t="s">
        <v>50</v>
      </c>
      <c r="BA100" s="4" t="s">
        <v>51</v>
      </c>
      <c r="BB100" s="4"/>
      <c r="BC100" s="4" t="s">
        <v>52</v>
      </c>
    </row>
    <row r="101" spans="1:296" x14ac:dyDescent="0.25">
      <c r="A101" s="5" t="s">
        <v>53</v>
      </c>
      <c r="B101" s="4">
        <v>2</v>
      </c>
      <c r="C101" s="4">
        <v>2</v>
      </c>
      <c r="D101" s="4">
        <v>3</v>
      </c>
      <c r="E101" s="4">
        <v>4</v>
      </c>
      <c r="F101" s="4">
        <v>2</v>
      </c>
      <c r="G101" s="4">
        <v>1</v>
      </c>
      <c r="H101" s="4">
        <v>1</v>
      </c>
      <c r="I101" s="4">
        <v>2</v>
      </c>
      <c r="J101" s="4">
        <v>2</v>
      </c>
      <c r="K101" s="4">
        <v>4</v>
      </c>
      <c r="L101" s="4">
        <v>0</v>
      </c>
      <c r="M101" s="4">
        <v>2</v>
      </c>
      <c r="N101" s="4">
        <v>1</v>
      </c>
      <c r="O101" s="4">
        <v>1</v>
      </c>
      <c r="P101" s="4">
        <v>4</v>
      </c>
      <c r="Q101" s="4">
        <v>1</v>
      </c>
      <c r="R101" s="4">
        <v>2</v>
      </c>
      <c r="S101" s="4">
        <v>0</v>
      </c>
      <c r="T101" s="4">
        <v>0</v>
      </c>
      <c r="U101" s="4">
        <v>1</v>
      </c>
      <c r="V101" s="4">
        <v>2</v>
      </c>
      <c r="W101" s="4">
        <v>2</v>
      </c>
      <c r="X101" s="4">
        <v>1</v>
      </c>
      <c r="Y101" s="4">
        <v>1</v>
      </c>
      <c r="Z101" s="4">
        <v>0</v>
      </c>
      <c r="AA101" s="4">
        <v>2</v>
      </c>
      <c r="AB101" s="4">
        <v>1</v>
      </c>
      <c r="AC101" s="4">
        <v>1</v>
      </c>
      <c r="AD101" s="4">
        <v>0</v>
      </c>
      <c r="AE101" s="4">
        <v>1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1</v>
      </c>
      <c r="AR101" s="4">
        <v>0</v>
      </c>
      <c r="AS101" s="4">
        <v>2</v>
      </c>
      <c r="AT101" s="4">
        <v>0</v>
      </c>
      <c r="AU101" s="4">
        <v>1</v>
      </c>
      <c r="AV101" s="4">
        <v>0</v>
      </c>
      <c r="AW101" s="4">
        <v>0</v>
      </c>
      <c r="AX101" s="4">
        <v>1</v>
      </c>
      <c r="AY101" s="4">
        <v>1</v>
      </c>
      <c r="AZ101" s="4">
        <v>1</v>
      </c>
      <c r="BA101" s="4">
        <v>6</v>
      </c>
      <c r="BB101" s="4"/>
      <c r="BC101" s="30">
        <f>SUM(B101:BA101)</f>
        <v>59</v>
      </c>
      <c r="BD101" s="8">
        <f>BC101</f>
        <v>59</v>
      </c>
    </row>
    <row r="102" spans="1:296" x14ac:dyDescent="0.25">
      <c r="A102" s="5" t="s">
        <v>54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1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1</v>
      </c>
      <c r="AY102" s="4">
        <v>0</v>
      </c>
      <c r="AZ102" s="4">
        <v>0</v>
      </c>
      <c r="BA102" s="4">
        <v>1</v>
      </c>
      <c r="BB102" s="4"/>
      <c r="BC102" s="30">
        <f>SUM(B102:BA102)</f>
        <v>3</v>
      </c>
      <c r="BD102" s="8">
        <f>BC102</f>
        <v>3</v>
      </c>
    </row>
    <row r="103" spans="1:296" ht="13.5" customHeight="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0"/>
    </row>
    <row r="104" spans="1:296" s="1" customFormat="1" ht="30.75" customHeight="1" x14ac:dyDescent="0.25">
      <c r="A104" s="30">
        <v>2020</v>
      </c>
      <c r="B104" s="4" t="s">
        <v>7</v>
      </c>
      <c r="C104" s="33" t="s">
        <v>8</v>
      </c>
      <c r="D104" s="33" t="s">
        <v>9</v>
      </c>
      <c r="E104" s="33" t="s">
        <v>10</v>
      </c>
      <c r="F104" s="33" t="s">
        <v>11</v>
      </c>
      <c r="G104" s="33" t="s">
        <v>12</v>
      </c>
      <c r="H104" s="33" t="s">
        <v>13</v>
      </c>
      <c r="I104" s="33" t="s">
        <v>14</v>
      </c>
      <c r="J104" s="33" t="s">
        <v>15</v>
      </c>
      <c r="K104" s="33" t="s">
        <v>16</v>
      </c>
      <c r="L104" s="33" t="s">
        <v>17</v>
      </c>
      <c r="M104" s="33" t="s">
        <v>18</v>
      </c>
      <c r="N104" s="33" t="s">
        <v>19</v>
      </c>
      <c r="O104" s="33" t="s">
        <v>20</v>
      </c>
      <c r="P104" s="33" t="s">
        <v>21</v>
      </c>
      <c r="Q104" s="33" t="s">
        <v>22</v>
      </c>
      <c r="R104" s="33" t="s">
        <v>23</v>
      </c>
      <c r="S104" s="33" t="s">
        <v>24</v>
      </c>
      <c r="T104" s="33" t="s">
        <v>25</v>
      </c>
      <c r="U104" s="33" t="s">
        <v>26</v>
      </c>
      <c r="V104" s="33" t="s">
        <v>27</v>
      </c>
      <c r="W104" s="33" t="s">
        <v>28</v>
      </c>
      <c r="X104" s="33" t="s">
        <v>29</v>
      </c>
      <c r="Y104" s="33" t="s">
        <v>30</v>
      </c>
      <c r="Z104" s="33" t="s">
        <v>31</v>
      </c>
      <c r="AA104" s="33" t="s">
        <v>32</v>
      </c>
      <c r="AB104" s="33">
        <v>27</v>
      </c>
      <c r="AC104" s="33" t="s">
        <v>33</v>
      </c>
      <c r="AD104" s="33" t="s">
        <v>34</v>
      </c>
      <c r="AE104" s="33">
        <v>30</v>
      </c>
      <c r="AF104" s="33">
        <v>31</v>
      </c>
      <c r="AG104" s="33" t="s">
        <v>35</v>
      </c>
      <c r="AH104" s="33" t="s">
        <v>36</v>
      </c>
      <c r="AI104" s="33" t="s">
        <v>37</v>
      </c>
      <c r="AJ104" s="33">
        <v>35</v>
      </c>
      <c r="AK104" s="33" t="s">
        <v>38</v>
      </c>
      <c r="AL104" s="33" t="s">
        <v>39</v>
      </c>
      <c r="AM104" s="33">
        <v>38</v>
      </c>
      <c r="AN104" s="33">
        <v>39</v>
      </c>
      <c r="AO104" s="33" t="s">
        <v>40</v>
      </c>
      <c r="AP104" s="33" t="s">
        <v>41</v>
      </c>
      <c r="AQ104" s="33" t="s">
        <v>42</v>
      </c>
      <c r="AR104" s="33" t="s">
        <v>43</v>
      </c>
      <c r="AS104" s="33" t="s">
        <v>44</v>
      </c>
      <c r="AT104" s="33">
        <v>45</v>
      </c>
      <c r="AU104" s="33" t="s">
        <v>45</v>
      </c>
      <c r="AV104" s="33" t="s">
        <v>46</v>
      </c>
      <c r="AW104" s="33" t="s">
        <v>47</v>
      </c>
      <c r="AX104" s="33" t="s">
        <v>48</v>
      </c>
      <c r="AY104" s="33" t="s">
        <v>49</v>
      </c>
      <c r="AZ104" s="33" t="s">
        <v>50</v>
      </c>
      <c r="BA104" s="33" t="s">
        <v>51</v>
      </c>
      <c r="BB104" s="33">
        <v>53</v>
      </c>
      <c r="BC104" s="37" t="s">
        <v>72</v>
      </c>
      <c r="BD104" s="39" t="s">
        <v>73</v>
      </c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JV104" s="30"/>
      <c r="KJ104" s="30"/>
    </row>
    <row r="105" spans="1:296" ht="13.5" customHeight="1" x14ac:dyDescent="0.25">
      <c r="A105" s="5" t="s">
        <v>53</v>
      </c>
      <c r="B105" s="4">
        <v>2</v>
      </c>
      <c r="C105" s="4">
        <v>10</v>
      </c>
      <c r="D105" s="4">
        <v>12</v>
      </c>
      <c r="E105" s="4">
        <v>15</v>
      </c>
      <c r="F105" s="4">
        <v>14</v>
      </c>
      <c r="G105" s="4">
        <v>19</v>
      </c>
      <c r="H105" s="4">
        <v>4</v>
      </c>
      <c r="I105" s="4">
        <v>9</v>
      </c>
      <c r="J105" s="4">
        <v>14</v>
      </c>
      <c r="K105" s="4">
        <v>19</v>
      </c>
      <c r="L105" s="4">
        <v>31</v>
      </c>
      <c r="M105" s="4">
        <v>62</v>
      </c>
      <c r="N105" s="4">
        <v>20</v>
      </c>
      <c r="O105" s="4">
        <v>33</v>
      </c>
      <c r="P105" s="4">
        <v>31</v>
      </c>
      <c r="Q105" s="4">
        <v>19</v>
      </c>
      <c r="R105" s="4">
        <v>12</v>
      </c>
      <c r="S105" s="4">
        <v>2</v>
      </c>
      <c r="T105" s="4">
        <v>2</v>
      </c>
      <c r="U105" s="4">
        <v>6</v>
      </c>
      <c r="V105" s="4">
        <v>3</v>
      </c>
      <c r="W105" s="4">
        <v>1</v>
      </c>
      <c r="X105" s="4">
        <v>2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1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1</v>
      </c>
      <c r="AU105" s="4">
        <v>1</v>
      </c>
      <c r="AV105" s="4">
        <v>0</v>
      </c>
      <c r="AW105" s="4">
        <v>0</v>
      </c>
      <c r="AX105" s="4">
        <v>1</v>
      </c>
      <c r="AY105" s="4">
        <v>0</v>
      </c>
      <c r="AZ105" s="4">
        <v>1</v>
      </c>
      <c r="BA105" s="4">
        <v>5</v>
      </c>
      <c r="BB105" s="4">
        <v>1</v>
      </c>
      <c r="BC105" s="30">
        <f>SUM(B101:BA101)</f>
        <v>59</v>
      </c>
      <c r="BD105" s="8">
        <f>SUM(B105:BB105)</f>
        <v>353</v>
      </c>
    </row>
    <row r="106" spans="1:296" ht="13.5" customHeight="1" x14ac:dyDescent="0.25">
      <c r="A106" s="5" t="s">
        <v>54</v>
      </c>
      <c r="B106" s="4">
        <v>1</v>
      </c>
      <c r="C106" s="4">
        <v>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1</v>
      </c>
      <c r="N106" s="4">
        <v>0</v>
      </c>
      <c r="O106" s="4">
        <v>2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30">
        <f>SUM(B102:BA102)</f>
        <v>3</v>
      </c>
      <c r="BD106" s="8">
        <f>SUM(B106:BB106)</f>
        <v>5</v>
      </c>
    </row>
    <row r="107" spans="1:296" ht="13.5" customHeight="1" x14ac:dyDescent="0.25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0"/>
    </row>
    <row r="108" spans="1:296" ht="13.5" customHeight="1" x14ac:dyDescent="0.25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0"/>
    </row>
    <row r="109" spans="1:296" s="1" customFormat="1" ht="30.75" customHeight="1" x14ac:dyDescent="0.25">
      <c r="A109" s="92">
        <v>2021</v>
      </c>
      <c r="B109" s="4" t="s">
        <v>7</v>
      </c>
      <c r="C109" s="33" t="s">
        <v>8</v>
      </c>
      <c r="D109" s="33" t="s">
        <v>9</v>
      </c>
      <c r="E109" s="33" t="s">
        <v>10</v>
      </c>
      <c r="F109" s="33" t="s">
        <v>11</v>
      </c>
      <c r="G109" s="33" t="s">
        <v>12</v>
      </c>
      <c r="H109" s="33" t="s">
        <v>13</v>
      </c>
      <c r="I109" s="33" t="s">
        <v>14</v>
      </c>
      <c r="J109" s="33" t="s">
        <v>15</v>
      </c>
      <c r="K109" s="33" t="s">
        <v>16</v>
      </c>
      <c r="L109" s="33" t="s">
        <v>17</v>
      </c>
      <c r="M109" s="33" t="s">
        <v>18</v>
      </c>
      <c r="N109" s="33" t="s">
        <v>19</v>
      </c>
      <c r="O109" s="33" t="s">
        <v>20</v>
      </c>
      <c r="P109" s="33" t="s">
        <v>21</v>
      </c>
      <c r="Q109" s="33" t="s">
        <v>22</v>
      </c>
      <c r="R109" s="33" t="s">
        <v>23</v>
      </c>
      <c r="S109" s="33" t="s">
        <v>24</v>
      </c>
      <c r="T109" s="33" t="s">
        <v>25</v>
      </c>
      <c r="U109" s="33" t="s">
        <v>26</v>
      </c>
      <c r="V109" s="33" t="s">
        <v>27</v>
      </c>
      <c r="W109" s="33" t="s">
        <v>28</v>
      </c>
      <c r="X109" s="33" t="s">
        <v>29</v>
      </c>
      <c r="Y109" s="33" t="s">
        <v>30</v>
      </c>
      <c r="Z109" s="33" t="s">
        <v>31</v>
      </c>
      <c r="AA109" s="33" t="s">
        <v>32</v>
      </c>
      <c r="AB109" s="33">
        <v>27</v>
      </c>
      <c r="AC109" s="33" t="s">
        <v>33</v>
      </c>
      <c r="AD109" s="33" t="s">
        <v>34</v>
      </c>
      <c r="AE109" s="33">
        <v>30</v>
      </c>
      <c r="AF109" s="33">
        <v>31</v>
      </c>
      <c r="AG109" s="33" t="s">
        <v>35</v>
      </c>
      <c r="AH109" s="33" t="s">
        <v>36</v>
      </c>
      <c r="AI109" s="33" t="s">
        <v>37</v>
      </c>
      <c r="AJ109" s="33">
        <v>35</v>
      </c>
      <c r="AK109" s="33" t="s">
        <v>38</v>
      </c>
      <c r="AL109" s="33" t="s">
        <v>39</v>
      </c>
      <c r="AM109" s="33">
        <v>38</v>
      </c>
      <c r="AN109" s="33">
        <v>39</v>
      </c>
      <c r="AO109" s="33" t="s">
        <v>40</v>
      </c>
      <c r="AP109" s="33" t="s">
        <v>41</v>
      </c>
      <c r="AQ109" s="33" t="s">
        <v>42</v>
      </c>
      <c r="AR109" s="33" t="s">
        <v>43</v>
      </c>
      <c r="AS109" s="33" t="s">
        <v>44</v>
      </c>
      <c r="AT109" s="33">
        <v>45</v>
      </c>
      <c r="AU109" s="33" t="s">
        <v>45</v>
      </c>
      <c r="AV109" s="33" t="s">
        <v>46</v>
      </c>
      <c r="AW109" s="33" t="s">
        <v>47</v>
      </c>
      <c r="AX109" s="33" t="s">
        <v>48</v>
      </c>
      <c r="AY109" s="33" t="s">
        <v>49</v>
      </c>
      <c r="AZ109" s="33" t="s">
        <v>50</v>
      </c>
      <c r="BA109" s="33" t="s">
        <v>51</v>
      </c>
      <c r="BB109" s="33">
        <v>53</v>
      </c>
      <c r="BC109" s="37" t="s">
        <v>73</v>
      </c>
      <c r="BD109" s="39" t="s">
        <v>110</v>
      </c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JV109" s="30"/>
      <c r="KJ109" s="30"/>
    </row>
    <row r="110" spans="1:296" ht="13.5" customHeight="1" x14ac:dyDescent="0.25">
      <c r="A110" s="5" t="s">
        <v>53</v>
      </c>
      <c r="B110" s="4">
        <v>0</v>
      </c>
      <c r="C110" s="4">
        <v>4</v>
      </c>
      <c r="D110" s="4">
        <v>4</v>
      </c>
      <c r="E110" s="4">
        <v>0</v>
      </c>
      <c r="F110" s="4">
        <v>0</v>
      </c>
      <c r="G110" s="4">
        <v>2</v>
      </c>
      <c r="H110" s="4">
        <v>1</v>
      </c>
      <c r="I110" s="4">
        <v>0</v>
      </c>
      <c r="J110" s="4">
        <v>2</v>
      </c>
      <c r="K110" s="4">
        <v>3</v>
      </c>
      <c r="L110" s="4">
        <v>1</v>
      </c>
      <c r="M110" s="4">
        <v>2</v>
      </c>
      <c r="N110" s="4">
        <v>1</v>
      </c>
      <c r="O110" s="4">
        <v>0</v>
      </c>
      <c r="P110" s="4">
        <v>3</v>
      </c>
      <c r="Q110" s="4">
        <v>1</v>
      </c>
      <c r="R110" s="4">
        <v>0</v>
      </c>
      <c r="S110" s="4">
        <v>0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1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2</v>
      </c>
      <c r="AO110" s="4">
        <v>2</v>
      </c>
      <c r="AP110" s="4">
        <v>0</v>
      </c>
      <c r="AQ110" s="4">
        <v>1</v>
      </c>
      <c r="AR110" s="4">
        <v>1</v>
      </c>
      <c r="AS110" s="4">
        <v>0</v>
      </c>
      <c r="AT110" s="4">
        <v>1</v>
      </c>
      <c r="AU110" s="4">
        <v>0</v>
      </c>
      <c r="AV110" s="4">
        <v>0</v>
      </c>
      <c r="AW110" s="4">
        <v>1</v>
      </c>
      <c r="AX110" s="4">
        <v>2</v>
      </c>
      <c r="AY110" s="4">
        <v>0</v>
      </c>
      <c r="AZ110" s="4">
        <v>1</v>
      </c>
      <c r="BA110" s="4">
        <v>1</v>
      </c>
      <c r="BB110" s="4"/>
      <c r="BC110" s="30">
        <f>SUM(B105:BB105)</f>
        <v>353</v>
      </c>
      <c r="BD110" s="8">
        <f>SUM(B110:BB110)</f>
        <v>39</v>
      </c>
    </row>
    <row r="111" spans="1:296" ht="13.5" customHeight="1" x14ac:dyDescent="0.25">
      <c r="A111" s="5" t="s">
        <v>54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/>
      <c r="BC111" s="30">
        <f>SUM(B106:BB106)</f>
        <v>5</v>
      </c>
      <c r="BD111" s="8">
        <f>SUM(B111:BB111)</f>
        <v>0</v>
      </c>
    </row>
    <row r="112" spans="1:296" ht="13.5" customHeight="1" x14ac:dyDescent="0.25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0"/>
    </row>
    <row r="113" spans="1:296" ht="13.5" customHeight="1" x14ac:dyDescent="0.25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0"/>
    </row>
    <row r="114" spans="1:296" s="1" customFormat="1" ht="27.75" customHeight="1" x14ac:dyDescent="0.3">
      <c r="A114" s="92">
        <v>2022</v>
      </c>
      <c r="B114" s="33" t="s">
        <v>7</v>
      </c>
      <c r="C114" s="33" t="s">
        <v>8</v>
      </c>
      <c r="D114" s="33" t="s">
        <v>9</v>
      </c>
      <c r="E114" s="33" t="s">
        <v>10</v>
      </c>
      <c r="F114" s="33" t="s">
        <v>11</v>
      </c>
      <c r="G114" s="33" t="s">
        <v>12</v>
      </c>
      <c r="H114" s="33" t="s">
        <v>13</v>
      </c>
      <c r="I114" s="33" t="s">
        <v>14</v>
      </c>
      <c r="J114" s="33" t="s">
        <v>15</v>
      </c>
      <c r="K114" s="33" t="s">
        <v>16</v>
      </c>
      <c r="L114" s="33" t="s">
        <v>17</v>
      </c>
      <c r="M114" s="33" t="s">
        <v>18</v>
      </c>
      <c r="N114" s="33" t="s">
        <v>19</v>
      </c>
      <c r="O114" s="33" t="s">
        <v>20</v>
      </c>
      <c r="P114" s="33" t="s">
        <v>21</v>
      </c>
      <c r="Q114" s="33" t="s">
        <v>22</v>
      </c>
      <c r="R114" s="33" t="s">
        <v>23</v>
      </c>
      <c r="S114" s="33" t="s">
        <v>24</v>
      </c>
      <c r="T114" s="33" t="s">
        <v>25</v>
      </c>
      <c r="U114" s="33" t="s">
        <v>26</v>
      </c>
      <c r="V114" s="33" t="s">
        <v>27</v>
      </c>
      <c r="W114" s="33" t="s">
        <v>28</v>
      </c>
      <c r="X114" s="33" t="s">
        <v>29</v>
      </c>
      <c r="Y114" s="33" t="s">
        <v>30</v>
      </c>
      <c r="Z114" s="33" t="s">
        <v>31</v>
      </c>
      <c r="AA114" s="33" t="s">
        <v>32</v>
      </c>
      <c r="AB114" s="33" t="s">
        <v>121</v>
      </c>
      <c r="AC114" s="33" t="s">
        <v>33</v>
      </c>
      <c r="AD114" s="33" t="s">
        <v>34</v>
      </c>
      <c r="AE114" s="33" t="s">
        <v>122</v>
      </c>
      <c r="AF114" s="33" t="s">
        <v>123</v>
      </c>
      <c r="AG114" s="33" t="s">
        <v>35</v>
      </c>
      <c r="AH114" s="33" t="s">
        <v>36</v>
      </c>
      <c r="AI114" s="33" t="s">
        <v>37</v>
      </c>
      <c r="AJ114" s="33" t="s">
        <v>124</v>
      </c>
      <c r="AK114" s="33" t="s">
        <v>38</v>
      </c>
      <c r="AL114" s="33" t="s">
        <v>39</v>
      </c>
      <c r="AM114" s="33" t="s">
        <v>125</v>
      </c>
      <c r="AN114" s="33" t="s">
        <v>126</v>
      </c>
      <c r="AO114" s="33" t="s">
        <v>40</v>
      </c>
      <c r="AP114" s="33" t="s">
        <v>41</v>
      </c>
      <c r="AQ114" s="33" t="s">
        <v>42</v>
      </c>
      <c r="AR114" s="33" t="s">
        <v>43</v>
      </c>
      <c r="AS114" s="33" t="s">
        <v>44</v>
      </c>
      <c r="AT114" s="33" t="s">
        <v>127</v>
      </c>
      <c r="AU114" s="33" t="s">
        <v>45</v>
      </c>
      <c r="AV114" s="33" t="s">
        <v>46</v>
      </c>
      <c r="AW114" s="33" t="s">
        <v>47</v>
      </c>
      <c r="AX114" s="33" t="s">
        <v>48</v>
      </c>
      <c r="AY114" s="33" t="s">
        <v>49</v>
      </c>
      <c r="AZ114" s="33" t="s">
        <v>50</v>
      </c>
      <c r="BA114" s="33" t="s">
        <v>51</v>
      </c>
      <c r="BB114" s="33"/>
      <c r="BC114" s="37" t="s">
        <v>110</v>
      </c>
      <c r="BD114" s="39" t="s">
        <v>129</v>
      </c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JV114" s="30"/>
      <c r="KJ114" s="30"/>
    </row>
    <row r="115" spans="1:296" ht="13.5" customHeight="1" x14ac:dyDescent="0.25">
      <c r="A115" s="5" t="s">
        <v>53</v>
      </c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0</v>
      </c>
      <c r="K115" s="4">
        <v>0</v>
      </c>
      <c r="L115" s="4">
        <v>1</v>
      </c>
      <c r="M115" s="4">
        <v>0</v>
      </c>
      <c r="N115" s="4">
        <v>0</v>
      </c>
      <c r="O115" s="4">
        <v>4</v>
      </c>
      <c r="P115" s="4">
        <v>0</v>
      </c>
      <c r="Q115" s="4">
        <v>0</v>
      </c>
      <c r="R115" s="4">
        <v>0</v>
      </c>
      <c r="S115" s="4">
        <v>2</v>
      </c>
      <c r="T115" s="4">
        <v>1</v>
      </c>
      <c r="U115" s="4">
        <v>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</v>
      </c>
      <c r="AC115" s="4">
        <v>7</v>
      </c>
      <c r="AD115" s="4">
        <v>11</v>
      </c>
      <c r="AE115" s="4">
        <v>0</v>
      </c>
      <c r="AF115" s="4">
        <v>1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1</v>
      </c>
      <c r="AN115" s="4">
        <v>1</v>
      </c>
      <c r="AO115" s="4">
        <v>0</v>
      </c>
      <c r="AP115" s="4">
        <v>0</v>
      </c>
      <c r="AQ115" s="4">
        <v>0</v>
      </c>
      <c r="AR115" s="4">
        <v>2</v>
      </c>
      <c r="AS115" s="4">
        <v>1</v>
      </c>
      <c r="AT115" s="4">
        <v>4</v>
      </c>
      <c r="AU115" s="4">
        <v>0</v>
      </c>
      <c r="AV115" s="4">
        <v>1</v>
      </c>
      <c r="AW115" s="4">
        <v>0</v>
      </c>
      <c r="AX115" s="4">
        <v>3</v>
      </c>
      <c r="AY115" s="4">
        <v>3</v>
      </c>
      <c r="AZ115" s="4">
        <v>2</v>
      </c>
      <c r="BA115" s="4">
        <v>2</v>
      </c>
      <c r="BB115" s="4"/>
      <c r="BC115" s="30">
        <f>SUM(B110:BA110)</f>
        <v>39</v>
      </c>
      <c r="BD115" s="8">
        <f>SUM(B115:BB115)</f>
        <v>57</v>
      </c>
    </row>
    <row r="116" spans="1:296" ht="13.5" customHeight="1" x14ac:dyDescent="0.25">
      <c r="A116" s="5" t="s">
        <v>54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/>
      <c r="BC116" s="30">
        <f>SUM(B111:BA111)</f>
        <v>0</v>
      </c>
      <c r="BD116" s="8">
        <f>SUM(B116:BB116)</f>
        <v>0</v>
      </c>
    </row>
    <row r="117" spans="1:296" ht="13.5" customHeight="1" x14ac:dyDescent="0.25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0"/>
    </row>
    <row r="118" spans="1:296" s="1" customFormat="1" ht="27.75" customHeight="1" x14ac:dyDescent="0.3">
      <c r="A118" s="92">
        <v>2023</v>
      </c>
      <c r="B118" s="33" t="s">
        <v>7</v>
      </c>
      <c r="C118" s="33" t="s">
        <v>8</v>
      </c>
      <c r="D118" s="33" t="s">
        <v>9</v>
      </c>
      <c r="E118" s="33" t="s">
        <v>10</v>
      </c>
      <c r="F118" s="33" t="s">
        <v>11</v>
      </c>
      <c r="G118" s="33" t="s">
        <v>12</v>
      </c>
      <c r="H118" s="33" t="s">
        <v>13</v>
      </c>
      <c r="I118" s="33" t="s">
        <v>14</v>
      </c>
      <c r="J118" s="33" t="s">
        <v>15</v>
      </c>
      <c r="K118" s="33" t="s">
        <v>16</v>
      </c>
      <c r="L118" s="33" t="s">
        <v>17</v>
      </c>
      <c r="M118" s="33" t="s">
        <v>18</v>
      </c>
      <c r="N118" s="33" t="s">
        <v>19</v>
      </c>
      <c r="O118" s="33" t="s">
        <v>20</v>
      </c>
      <c r="P118" s="33" t="s">
        <v>21</v>
      </c>
      <c r="Q118" s="33" t="s">
        <v>22</v>
      </c>
      <c r="R118" s="33" t="s">
        <v>23</v>
      </c>
      <c r="S118" s="33" t="s">
        <v>24</v>
      </c>
      <c r="T118" s="33" t="s">
        <v>25</v>
      </c>
      <c r="U118" s="33" t="s">
        <v>26</v>
      </c>
      <c r="V118" s="33" t="s">
        <v>27</v>
      </c>
      <c r="W118" s="33" t="s">
        <v>28</v>
      </c>
      <c r="X118" s="33" t="s">
        <v>29</v>
      </c>
      <c r="Y118" s="33" t="s">
        <v>30</v>
      </c>
      <c r="Z118" s="33" t="s">
        <v>31</v>
      </c>
      <c r="AA118" s="33" t="s">
        <v>32</v>
      </c>
      <c r="AB118" s="33" t="s">
        <v>121</v>
      </c>
      <c r="AC118" s="33" t="s">
        <v>33</v>
      </c>
      <c r="AD118" s="33" t="s">
        <v>34</v>
      </c>
      <c r="AE118" s="33" t="s">
        <v>122</v>
      </c>
      <c r="AF118" s="33" t="s">
        <v>123</v>
      </c>
      <c r="AG118" s="33" t="s">
        <v>35</v>
      </c>
      <c r="AH118" s="33" t="s">
        <v>36</v>
      </c>
      <c r="AI118" s="33" t="s">
        <v>37</v>
      </c>
      <c r="AJ118" s="33" t="s">
        <v>124</v>
      </c>
      <c r="AK118" s="33" t="s">
        <v>38</v>
      </c>
      <c r="AL118" s="33" t="s">
        <v>39</v>
      </c>
      <c r="AM118" s="33" t="s">
        <v>125</v>
      </c>
      <c r="AN118" s="33" t="s">
        <v>126</v>
      </c>
      <c r="AO118" s="33" t="s">
        <v>40</v>
      </c>
      <c r="AP118" s="33" t="s">
        <v>41</v>
      </c>
      <c r="AQ118" s="33" t="s">
        <v>42</v>
      </c>
      <c r="AR118" s="33" t="s">
        <v>43</v>
      </c>
      <c r="AS118" s="33" t="s">
        <v>44</v>
      </c>
      <c r="AT118" s="33" t="s">
        <v>127</v>
      </c>
      <c r="AU118" s="33" t="s">
        <v>45</v>
      </c>
      <c r="AV118" s="33" t="s">
        <v>46</v>
      </c>
      <c r="AW118" s="33" t="s">
        <v>47</v>
      </c>
      <c r="AX118" s="33" t="s">
        <v>48</v>
      </c>
      <c r="AY118" s="33" t="s">
        <v>49</v>
      </c>
      <c r="AZ118" s="33" t="s">
        <v>50</v>
      </c>
      <c r="BA118" s="33" t="s">
        <v>51</v>
      </c>
      <c r="BB118" s="33"/>
      <c r="BC118" s="37" t="s">
        <v>129</v>
      </c>
      <c r="BD118" s="39" t="s">
        <v>139</v>
      </c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JV118" s="30"/>
      <c r="KJ118" s="30"/>
    </row>
    <row r="119" spans="1:296" ht="13.5" customHeight="1" x14ac:dyDescent="0.25">
      <c r="A119" s="5" t="s">
        <v>53</v>
      </c>
      <c r="B119" s="4">
        <v>3</v>
      </c>
      <c r="C119" s="4">
        <v>3</v>
      </c>
      <c r="D119" s="4">
        <v>3</v>
      </c>
      <c r="E119" s="4">
        <v>2</v>
      </c>
      <c r="F119" s="4">
        <v>4</v>
      </c>
      <c r="G119" s="4">
        <v>12</v>
      </c>
      <c r="H119" s="4">
        <v>9</v>
      </c>
      <c r="I119" s="4">
        <v>7</v>
      </c>
      <c r="J119" s="4">
        <v>16</v>
      </c>
      <c r="K119" s="4">
        <v>6</v>
      </c>
      <c r="L119" s="4">
        <v>1</v>
      </c>
      <c r="M119" s="4">
        <v>16</v>
      </c>
      <c r="N119" s="4">
        <v>31</v>
      </c>
      <c r="O119" s="4">
        <v>5</v>
      </c>
      <c r="P119" s="4">
        <v>19</v>
      </c>
      <c r="Q119" s="4">
        <v>4</v>
      </c>
      <c r="R119" s="4">
        <v>12</v>
      </c>
      <c r="S119" s="4">
        <v>3</v>
      </c>
      <c r="T119" s="4">
        <v>3</v>
      </c>
      <c r="U119" s="4">
        <v>2</v>
      </c>
      <c r="V119" s="4">
        <v>1</v>
      </c>
      <c r="W119" s="4">
        <v>3</v>
      </c>
      <c r="X119" s="4">
        <v>6</v>
      </c>
      <c r="Y119" s="4">
        <v>2</v>
      </c>
      <c r="Z119" s="4">
        <v>2</v>
      </c>
      <c r="AA119" s="4">
        <v>0</v>
      </c>
      <c r="AB119" s="4">
        <v>1</v>
      </c>
      <c r="AC119" s="4">
        <v>0</v>
      </c>
      <c r="AD119" s="4">
        <v>0</v>
      </c>
      <c r="AE119" s="4">
        <v>0</v>
      </c>
      <c r="AF119" s="4">
        <v>0</v>
      </c>
      <c r="AG119" s="4">
        <v>1</v>
      </c>
      <c r="AH119" s="4">
        <v>0</v>
      </c>
      <c r="AI119" s="4">
        <v>1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</v>
      </c>
      <c r="AQ119" s="4">
        <v>0</v>
      </c>
      <c r="AR119" s="4">
        <v>2</v>
      </c>
      <c r="AS119" s="4">
        <v>1</v>
      </c>
      <c r="AT119" s="4">
        <v>1</v>
      </c>
      <c r="AU119" s="4">
        <v>0</v>
      </c>
      <c r="AV119" s="4">
        <v>0</v>
      </c>
      <c r="AW119" s="4">
        <v>0</v>
      </c>
      <c r="AX119" s="4">
        <v>0</v>
      </c>
      <c r="AY119" s="4">
        <v>1</v>
      </c>
      <c r="AZ119" s="4">
        <v>0</v>
      </c>
      <c r="BA119" s="4">
        <v>0</v>
      </c>
      <c r="BB119" s="4"/>
      <c r="BC119" s="30">
        <f>SUM(B115:BA115)</f>
        <v>57</v>
      </c>
      <c r="BD119" s="8">
        <f>SUM(B119:BB119)</f>
        <v>184</v>
      </c>
    </row>
    <row r="120" spans="1:296" ht="13.5" customHeight="1" x14ac:dyDescent="0.25">
      <c r="A120" s="5" t="s">
        <v>54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1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/>
      <c r="BC120" s="30">
        <f>SUM(B116:BA116)</f>
        <v>0</v>
      </c>
      <c r="BD120" s="8">
        <f>SUM(B120:BB120)</f>
        <v>1</v>
      </c>
    </row>
    <row r="121" spans="1:296" ht="13.5" customHeight="1" x14ac:dyDescent="0.25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0"/>
    </row>
    <row r="122" spans="1:296" s="1" customFormat="1" ht="27.75" customHeight="1" x14ac:dyDescent="0.3">
      <c r="A122" s="92">
        <v>2024</v>
      </c>
      <c r="B122" s="33" t="s">
        <v>7</v>
      </c>
      <c r="C122" s="33" t="s">
        <v>8</v>
      </c>
      <c r="D122" s="33" t="s">
        <v>9</v>
      </c>
      <c r="E122" s="33" t="s">
        <v>10</v>
      </c>
      <c r="F122" s="33" t="s">
        <v>11</v>
      </c>
      <c r="G122" s="33" t="s">
        <v>12</v>
      </c>
      <c r="H122" s="33" t="s">
        <v>13</v>
      </c>
      <c r="I122" s="33" t="s">
        <v>14</v>
      </c>
      <c r="J122" s="33" t="s">
        <v>15</v>
      </c>
      <c r="K122" s="33" t="s">
        <v>16</v>
      </c>
      <c r="L122" s="33" t="s">
        <v>17</v>
      </c>
      <c r="M122" s="33" t="s">
        <v>18</v>
      </c>
      <c r="N122" s="33" t="s">
        <v>19</v>
      </c>
      <c r="O122" s="33" t="s">
        <v>20</v>
      </c>
      <c r="P122" s="33" t="s">
        <v>21</v>
      </c>
      <c r="Q122" s="33" t="s">
        <v>22</v>
      </c>
      <c r="R122" s="33" t="s">
        <v>23</v>
      </c>
      <c r="S122" s="33" t="s">
        <v>24</v>
      </c>
      <c r="T122" s="33" t="s">
        <v>25</v>
      </c>
      <c r="U122" s="33" t="s">
        <v>26</v>
      </c>
      <c r="V122" s="33" t="s">
        <v>27</v>
      </c>
      <c r="W122" s="33" t="s">
        <v>28</v>
      </c>
      <c r="X122" s="33" t="s">
        <v>29</v>
      </c>
      <c r="Y122" s="33" t="s">
        <v>30</v>
      </c>
      <c r="Z122" s="33" t="s">
        <v>31</v>
      </c>
      <c r="AA122" s="33" t="s">
        <v>32</v>
      </c>
      <c r="AB122" s="33" t="s">
        <v>121</v>
      </c>
      <c r="AC122" s="33" t="s">
        <v>33</v>
      </c>
      <c r="AD122" s="33" t="s">
        <v>34</v>
      </c>
      <c r="AE122" s="33" t="s">
        <v>122</v>
      </c>
      <c r="AF122" s="33" t="s">
        <v>123</v>
      </c>
      <c r="AG122" s="33" t="s">
        <v>35</v>
      </c>
      <c r="AH122" s="33" t="s">
        <v>36</v>
      </c>
      <c r="AI122" s="33" t="s">
        <v>37</v>
      </c>
      <c r="AJ122" s="33" t="s">
        <v>124</v>
      </c>
      <c r="AK122" s="33" t="s">
        <v>38</v>
      </c>
      <c r="AL122" s="33" t="s">
        <v>39</v>
      </c>
      <c r="AM122" s="33" t="s">
        <v>125</v>
      </c>
      <c r="AN122" s="33" t="s">
        <v>126</v>
      </c>
      <c r="AO122" s="33" t="s">
        <v>40</v>
      </c>
      <c r="AP122" s="33" t="s">
        <v>41</v>
      </c>
      <c r="AQ122" s="33" t="s">
        <v>42</v>
      </c>
      <c r="AR122" s="33" t="s">
        <v>43</v>
      </c>
      <c r="AS122" s="33" t="s">
        <v>44</v>
      </c>
      <c r="AT122" s="33" t="s">
        <v>127</v>
      </c>
      <c r="AU122" s="33" t="s">
        <v>45</v>
      </c>
      <c r="AV122" s="33" t="s">
        <v>46</v>
      </c>
      <c r="AW122" s="33" t="s">
        <v>47</v>
      </c>
      <c r="AX122" s="33" t="s">
        <v>48</v>
      </c>
      <c r="AY122" s="33" t="s">
        <v>49</v>
      </c>
      <c r="AZ122" s="33" t="s">
        <v>50</v>
      </c>
      <c r="BA122" s="33" t="s">
        <v>51</v>
      </c>
      <c r="BB122" s="33"/>
      <c r="BC122" s="37" t="s">
        <v>139</v>
      </c>
      <c r="BD122" s="39" t="s">
        <v>171</v>
      </c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JV122" s="30"/>
      <c r="KJ122" s="30"/>
    </row>
    <row r="123" spans="1:296" ht="13.5" customHeight="1" x14ac:dyDescent="0.25">
      <c r="A123" s="5" t="s">
        <v>53</v>
      </c>
      <c r="B123" s="4">
        <v>2</v>
      </c>
      <c r="C123" s="4">
        <v>3</v>
      </c>
      <c r="D123" s="4">
        <v>0</v>
      </c>
      <c r="E123" s="4">
        <v>1</v>
      </c>
      <c r="F123" s="4">
        <v>3</v>
      </c>
      <c r="G123" s="4">
        <v>0</v>
      </c>
      <c r="H123" s="4">
        <v>0</v>
      </c>
      <c r="I123" s="4">
        <v>4</v>
      </c>
      <c r="J123" s="4">
        <v>2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/>
      <c r="BC123" s="30">
        <f>SUM(B119:AC119)</f>
        <v>176</v>
      </c>
      <c r="BD123" s="8">
        <f>SUM(B123:BB123)</f>
        <v>15</v>
      </c>
    </row>
    <row r="124" spans="1:296" ht="13.5" customHeight="1" x14ac:dyDescent="0.25">
      <c r="A124" s="5" t="s">
        <v>54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/>
      <c r="BC124" s="30">
        <f>SUM(B120:AC120)</f>
        <v>0</v>
      </c>
      <c r="BD124" s="8">
        <f>SUM(B124:BB124)</f>
        <v>0</v>
      </c>
    </row>
    <row r="125" spans="1:296" ht="13.5" customHeight="1" x14ac:dyDescent="0.25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0"/>
    </row>
    <row r="126" spans="1:296" ht="25.5" customHeight="1" x14ac:dyDescent="0.25">
      <c r="A126" s="92">
        <v>2025</v>
      </c>
      <c r="B126" s="33" t="s">
        <v>7</v>
      </c>
      <c r="C126" s="33" t="s">
        <v>8</v>
      </c>
      <c r="D126" s="33" t="s">
        <v>9</v>
      </c>
      <c r="E126" s="33" t="s">
        <v>10</v>
      </c>
      <c r="F126" s="33" t="s">
        <v>11</v>
      </c>
      <c r="G126" s="33" t="s">
        <v>12</v>
      </c>
      <c r="H126" s="33" t="s">
        <v>13</v>
      </c>
      <c r="I126" s="33" t="s">
        <v>14</v>
      </c>
      <c r="J126" s="33" t="s">
        <v>15</v>
      </c>
      <c r="K126" s="33" t="s">
        <v>16</v>
      </c>
      <c r="L126" s="33" t="s">
        <v>17</v>
      </c>
      <c r="M126" s="33" t="s">
        <v>18</v>
      </c>
      <c r="N126" s="33" t="s">
        <v>19</v>
      </c>
      <c r="O126" s="33" t="s">
        <v>20</v>
      </c>
      <c r="P126" s="33" t="s">
        <v>21</v>
      </c>
      <c r="Q126" s="33" t="s">
        <v>22</v>
      </c>
      <c r="R126" s="33" t="s">
        <v>23</v>
      </c>
      <c r="S126" s="33" t="s">
        <v>24</v>
      </c>
      <c r="T126" s="33" t="s">
        <v>25</v>
      </c>
      <c r="U126" s="33" t="s">
        <v>26</v>
      </c>
      <c r="V126" s="33" t="s">
        <v>27</v>
      </c>
      <c r="W126" s="33" t="s">
        <v>28</v>
      </c>
      <c r="X126" s="33" t="s">
        <v>29</v>
      </c>
      <c r="Y126" s="33" t="s">
        <v>30</v>
      </c>
      <c r="Z126" s="33" t="s">
        <v>31</v>
      </c>
      <c r="AA126" s="33" t="s">
        <v>32</v>
      </c>
      <c r="AB126" s="33" t="s">
        <v>121</v>
      </c>
      <c r="AC126" s="33" t="s">
        <v>33</v>
      </c>
      <c r="AD126" s="33" t="s">
        <v>34</v>
      </c>
      <c r="AE126" s="33" t="s">
        <v>122</v>
      </c>
      <c r="AF126" s="33" t="s">
        <v>123</v>
      </c>
      <c r="AG126" s="33" t="s">
        <v>35</v>
      </c>
      <c r="AH126" s="33" t="s">
        <v>36</v>
      </c>
      <c r="AI126" s="33" t="s">
        <v>37</v>
      </c>
      <c r="AJ126" s="33" t="s">
        <v>124</v>
      </c>
      <c r="AK126" s="33" t="s">
        <v>38</v>
      </c>
      <c r="AL126" s="33" t="s">
        <v>39</v>
      </c>
      <c r="AM126" s="33" t="s">
        <v>125</v>
      </c>
      <c r="AN126" s="33" t="s">
        <v>126</v>
      </c>
      <c r="AO126" s="33" t="s">
        <v>40</v>
      </c>
      <c r="AP126" s="33" t="s">
        <v>41</v>
      </c>
      <c r="AQ126" s="33" t="s">
        <v>42</v>
      </c>
      <c r="AR126" s="33" t="s">
        <v>43</v>
      </c>
      <c r="AS126" s="33" t="s">
        <v>44</v>
      </c>
      <c r="AT126" s="33" t="s">
        <v>127</v>
      </c>
      <c r="AU126" s="33" t="s">
        <v>45</v>
      </c>
      <c r="AV126" s="33" t="s">
        <v>46</v>
      </c>
      <c r="AW126" s="33" t="s">
        <v>47</v>
      </c>
      <c r="AX126" s="33" t="s">
        <v>48</v>
      </c>
      <c r="AY126" s="33" t="s">
        <v>49</v>
      </c>
      <c r="AZ126" s="33" t="s">
        <v>50</v>
      </c>
      <c r="BA126" s="33" t="s">
        <v>51</v>
      </c>
      <c r="BB126" s="33">
        <v>53</v>
      </c>
      <c r="BC126" s="37" t="s">
        <v>139</v>
      </c>
      <c r="BD126" s="39" t="s">
        <v>171</v>
      </c>
    </row>
    <row r="127" spans="1:296" ht="13.5" customHeight="1" x14ac:dyDescent="0.25">
      <c r="A127" s="5" t="s">
        <v>53</v>
      </c>
      <c r="B127" s="4">
        <v>2</v>
      </c>
      <c r="C127" s="4">
        <v>3</v>
      </c>
      <c r="D127" s="4">
        <v>4</v>
      </c>
      <c r="E127" s="4">
        <v>2</v>
      </c>
      <c r="F127" s="4">
        <v>0</v>
      </c>
      <c r="G127" s="4">
        <v>0</v>
      </c>
      <c r="H127" s="4">
        <v>5</v>
      </c>
      <c r="I127" s="4">
        <v>2</v>
      </c>
      <c r="J127" s="4">
        <v>10</v>
      </c>
      <c r="K127" s="4">
        <v>7</v>
      </c>
      <c r="L127" s="4">
        <v>11</v>
      </c>
      <c r="M127" s="4">
        <v>13</v>
      </c>
      <c r="N127" s="4">
        <v>5</v>
      </c>
      <c r="O127" s="4">
        <v>4</v>
      </c>
      <c r="P127" s="4">
        <v>8</v>
      </c>
      <c r="Q127" s="4">
        <v>6</v>
      </c>
      <c r="R127" s="4">
        <v>4</v>
      </c>
      <c r="S127" s="4">
        <v>1</v>
      </c>
      <c r="T127" s="4">
        <v>4</v>
      </c>
      <c r="U127" s="4">
        <v>5</v>
      </c>
      <c r="V127" s="4">
        <v>2</v>
      </c>
      <c r="W127" s="4">
        <v>1</v>
      </c>
      <c r="X127" s="4">
        <v>2</v>
      </c>
      <c r="Y127" s="4">
        <v>1</v>
      </c>
      <c r="Z127" s="4">
        <v>1</v>
      </c>
      <c r="AA127" s="4">
        <v>1</v>
      </c>
      <c r="AB127" s="4">
        <v>0</v>
      </c>
      <c r="AC127" s="4">
        <v>0</v>
      </c>
      <c r="AD127" s="4">
        <v>1</v>
      </c>
      <c r="AE127" s="4">
        <v>0</v>
      </c>
      <c r="AF127" s="4">
        <v>0</v>
      </c>
      <c r="AG127" s="4">
        <v>1</v>
      </c>
      <c r="AH127" s="4">
        <v>0</v>
      </c>
      <c r="AI127" s="4">
        <v>1</v>
      </c>
      <c r="AJ127" s="4">
        <v>1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0</v>
      </c>
      <c r="AQ127" s="4">
        <v>1</v>
      </c>
      <c r="AR127" s="4">
        <v>0</v>
      </c>
      <c r="AS127" s="4">
        <v>0</v>
      </c>
      <c r="AT127" s="4">
        <v>0</v>
      </c>
      <c r="AU127" s="4">
        <v>2</v>
      </c>
      <c r="AV127" s="4">
        <v>1</v>
      </c>
      <c r="AW127" s="4">
        <v>1</v>
      </c>
      <c r="AX127" s="4">
        <v>1</v>
      </c>
      <c r="AY127" s="4">
        <v>3</v>
      </c>
      <c r="AZ127" s="4">
        <v>6</v>
      </c>
      <c r="BA127" s="4">
        <v>3</v>
      </c>
      <c r="BB127" s="4">
        <v>4</v>
      </c>
      <c r="BC127" s="30">
        <f>SUM(B123:AC123)</f>
        <v>15</v>
      </c>
      <c r="BD127" s="8">
        <f>SUM(B127:BB127)</f>
        <v>131</v>
      </c>
    </row>
    <row r="128" spans="1:296" ht="13.5" customHeight="1" x14ac:dyDescent="0.25">
      <c r="A128" s="5" t="s">
        <v>54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2</v>
      </c>
      <c r="J128" s="4">
        <v>2</v>
      </c>
      <c r="K128" s="4">
        <v>0</v>
      </c>
      <c r="L128" s="4">
        <v>2</v>
      </c>
      <c r="M128" s="4">
        <v>1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1</v>
      </c>
      <c r="X128" s="4">
        <v>0</v>
      </c>
      <c r="Y128" s="4">
        <v>0</v>
      </c>
      <c r="Z128" s="4">
        <v>1</v>
      </c>
      <c r="AA128" s="4">
        <v>0</v>
      </c>
      <c r="AB128" s="4">
        <v>0</v>
      </c>
      <c r="AC128" s="4">
        <v>1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3</v>
      </c>
      <c r="BB128" s="4">
        <v>3</v>
      </c>
      <c r="BC128" s="30">
        <f>SUM(B124:AC124)</f>
        <v>0</v>
      </c>
      <c r="BD128" s="8">
        <f>SUM(B128:BB128)</f>
        <v>16</v>
      </c>
    </row>
    <row r="129" spans="1:296" ht="13.5" customHeight="1" x14ac:dyDescent="0.25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0"/>
    </row>
    <row r="130" spans="1:296" ht="13.5" customHeight="1" x14ac:dyDescent="0.25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0"/>
    </row>
    <row r="131" spans="1:296" ht="13.5" customHeight="1" x14ac:dyDescent="0.25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0"/>
    </row>
    <row r="132" spans="1:296" ht="13.5" customHeight="1" x14ac:dyDescent="0.25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0"/>
    </row>
    <row r="133" spans="1:296" ht="15.6" x14ac:dyDescent="0.25">
      <c r="A133" s="42" t="s">
        <v>95</v>
      </c>
      <c r="T133" s="4"/>
      <c r="U133" s="4"/>
      <c r="V133" s="4"/>
      <c r="W133" s="4"/>
      <c r="X133" s="4"/>
      <c r="Y133" s="4"/>
      <c r="Z133" s="4"/>
      <c r="AA133" s="4"/>
      <c r="AB133" s="4"/>
      <c r="BC133" s="30"/>
    </row>
    <row r="134" spans="1:296" s="1" customFormat="1" ht="26.4" x14ac:dyDescent="0.3">
      <c r="A134" s="66" t="s">
        <v>70</v>
      </c>
      <c r="B134" s="67">
        <v>35</v>
      </c>
      <c r="C134" s="67" t="s">
        <v>38</v>
      </c>
      <c r="D134" s="67" t="s">
        <v>39</v>
      </c>
      <c r="E134" s="67">
        <v>38</v>
      </c>
      <c r="F134" s="67">
        <v>39</v>
      </c>
      <c r="G134" s="67" t="s">
        <v>40</v>
      </c>
      <c r="H134" s="67" t="s">
        <v>41</v>
      </c>
      <c r="I134" s="67" t="s">
        <v>42</v>
      </c>
      <c r="J134" s="67" t="s">
        <v>43</v>
      </c>
      <c r="K134" s="67" t="s">
        <v>44</v>
      </c>
      <c r="L134" s="67">
        <v>45</v>
      </c>
      <c r="M134" s="67" t="s">
        <v>45</v>
      </c>
      <c r="N134" s="67" t="s">
        <v>46</v>
      </c>
      <c r="O134" s="67" t="s">
        <v>47</v>
      </c>
      <c r="P134" s="67" t="s">
        <v>48</v>
      </c>
      <c r="Q134" s="67" t="s">
        <v>49</v>
      </c>
      <c r="R134" s="67" t="s">
        <v>50</v>
      </c>
      <c r="S134" s="67" t="s">
        <v>51</v>
      </c>
      <c r="T134" s="68">
        <v>1</v>
      </c>
      <c r="U134" s="68">
        <v>2</v>
      </c>
      <c r="V134" s="68">
        <v>3</v>
      </c>
      <c r="W134" s="68">
        <v>4</v>
      </c>
      <c r="X134" s="68">
        <v>5</v>
      </c>
      <c r="Y134" s="68">
        <v>6</v>
      </c>
      <c r="Z134" s="68">
        <v>7</v>
      </c>
      <c r="AA134" s="68">
        <v>8</v>
      </c>
      <c r="AB134" s="68">
        <v>9</v>
      </c>
      <c r="AC134" s="68">
        <v>10</v>
      </c>
      <c r="AD134" s="69">
        <v>11</v>
      </c>
      <c r="AE134" s="68">
        <v>12</v>
      </c>
      <c r="AF134" s="68">
        <v>13</v>
      </c>
      <c r="AG134" s="68">
        <v>14</v>
      </c>
      <c r="AH134" s="68">
        <v>15</v>
      </c>
      <c r="AI134" s="68">
        <v>16</v>
      </c>
      <c r="AJ134" s="68">
        <v>17</v>
      </c>
      <c r="AK134" s="68">
        <v>18</v>
      </c>
      <c r="AL134" s="68">
        <v>19</v>
      </c>
      <c r="AM134" s="68">
        <v>20</v>
      </c>
      <c r="AN134" s="68">
        <v>21</v>
      </c>
      <c r="AO134" s="68">
        <v>22</v>
      </c>
      <c r="AP134" s="68">
        <v>23</v>
      </c>
      <c r="AQ134" s="68">
        <v>24</v>
      </c>
      <c r="AR134" s="68">
        <v>25</v>
      </c>
      <c r="AS134" s="68">
        <v>26</v>
      </c>
      <c r="AT134" s="68">
        <v>27</v>
      </c>
      <c r="AU134" s="68">
        <v>28</v>
      </c>
      <c r="AV134" s="68">
        <v>29</v>
      </c>
      <c r="AW134" s="68">
        <v>30</v>
      </c>
      <c r="AX134" s="68">
        <v>31</v>
      </c>
      <c r="AY134" s="68">
        <v>32</v>
      </c>
      <c r="AZ134" s="68">
        <v>33</v>
      </c>
      <c r="BA134" s="68">
        <v>34</v>
      </c>
      <c r="BB134" s="68"/>
      <c r="BC134" s="69"/>
      <c r="BD134" s="69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 t="s">
        <v>98</v>
      </c>
      <c r="BO134" s="69" t="s">
        <v>97</v>
      </c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JV134" s="30"/>
      <c r="KJ134" s="30"/>
    </row>
    <row r="135" spans="1:296" x14ac:dyDescent="0.25">
      <c r="A135" s="5" t="s">
        <v>53</v>
      </c>
      <c r="B135" s="8">
        <f t="shared" ref="B135:K136" si="98">AJ101</f>
        <v>0</v>
      </c>
      <c r="C135" s="8">
        <f t="shared" si="98"/>
        <v>0</v>
      </c>
      <c r="D135" s="8">
        <f t="shared" si="98"/>
        <v>0</v>
      </c>
      <c r="E135" s="8">
        <f t="shared" si="98"/>
        <v>0</v>
      </c>
      <c r="F135" s="8">
        <f t="shared" si="98"/>
        <v>0</v>
      </c>
      <c r="G135" s="8">
        <f t="shared" si="98"/>
        <v>0</v>
      </c>
      <c r="H135" s="8">
        <f t="shared" si="98"/>
        <v>0</v>
      </c>
      <c r="I135" s="8">
        <f t="shared" si="98"/>
        <v>1</v>
      </c>
      <c r="J135" s="8">
        <f t="shared" si="98"/>
        <v>0</v>
      </c>
      <c r="K135" s="8">
        <f t="shared" si="98"/>
        <v>2</v>
      </c>
      <c r="L135" s="8">
        <f t="shared" ref="L135:S136" si="99">AT101</f>
        <v>0</v>
      </c>
      <c r="M135" s="8">
        <f t="shared" si="99"/>
        <v>1</v>
      </c>
      <c r="N135" s="8">
        <f t="shared" si="99"/>
        <v>0</v>
      </c>
      <c r="O135" s="8">
        <f t="shared" si="99"/>
        <v>0</v>
      </c>
      <c r="P135" s="8">
        <f t="shared" si="99"/>
        <v>1</v>
      </c>
      <c r="Q135" s="8">
        <f t="shared" si="99"/>
        <v>1</v>
      </c>
      <c r="R135" s="8">
        <f t="shared" si="99"/>
        <v>1</v>
      </c>
      <c r="S135" s="8">
        <f t="shared" si="99"/>
        <v>6</v>
      </c>
      <c r="T135" s="4">
        <f t="shared" ref="T135:AC136" si="100">B105</f>
        <v>2</v>
      </c>
      <c r="U135" s="4">
        <f t="shared" si="100"/>
        <v>10</v>
      </c>
      <c r="V135" s="4">
        <f t="shared" si="100"/>
        <v>12</v>
      </c>
      <c r="W135" s="4">
        <f t="shared" si="100"/>
        <v>15</v>
      </c>
      <c r="X135" s="4">
        <f t="shared" si="100"/>
        <v>14</v>
      </c>
      <c r="Y135" s="4">
        <f t="shared" si="100"/>
        <v>19</v>
      </c>
      <c r="Z135" s="4">
        <f t="shared" si="100"/>
        <v>4</v>
      </c>
      <c r="AA135" s="4">
        <f t="shared" si="100"/>
        <v>9</v>
      </c>
      <c r="AB135" s="4">
        <f t="shared" si="100"/>
        <v>14</v>
      </c>
      <c r="AC135" s="4">
        <f t="shared" si="100"/>
        <v>19</v>
      </c>
      <c r="AD135" s="4">
        <f t="shared" ref="AD135:AM136" si="101">L105</f>
        <v>31</v>
      </c>
      <c r="AE135" s="4">
        <f t="shared" si="101"/>
        <v>62</v>
      </c>
      <c r="AF135" s="4">
        <f t="shared" si="101"/>
        <v>20</v>
      </c>
      <c r="AG135" s="4">
        <f t="shared" si="101"/>
        <v>33</v>
      </c>
      <c r="AH135" s="4">
        <f t="shared" si="101"/>
        <v>31</v>
      </c>
      <c r="AI135" s="4">
        <f t="shared" si="101"/>
        <v>19</v>
      </c>
      <c r="AJ135" s="4">
        <f t="shared" si="101"/>
        <v>12</v>
      </c>
      <c r="AK135" s="4">
        <f t="shared" si="101"/>
        <v>2</v>
      </c>
      <c r="AL135" s="4">
        <f t="shared" si="101"/>
        <v>2</v>
      </c>
      <c r="AM135" s="4">
        <f t="shared" si="101"/>
        <v>6</v>
      </c>
      <c r="AN135" s="4">
        <f t="shared" ref="AN135:AW136" si="102">V105</f>
        <v>3</v>
      </c>
      <c r="AO135" s="4">
        <f t="shared" si="102"/>
        <v>1</v>
      </c>
      <c r="AP135" s="4">
        <f t="shared" si="102"/>
        <v>2</v>
      </c>
      <c r="AQ135" s="4">
        <f t="shared" si="102"/>
        <v>0</v>
      </c>
      <c r="AR135" s="4">
        <f t="shared" si="102"/>
        <v>0</v>
      </c>
      <c r="AS135" s="4">
        <f t="shared" si="102"/>
        <v>0</v>
      </c>
      <c r="AT135" s="4">
        <f t="shared" si="102"/>
        <v>0</v>
      </c>
      <c r="AU135" s="4">
        <f t="shared" si="102"/>
        <v>0</v>
      </c>
      <c r="AV135" s="4">
        <f t="shared" si="102"/>
        <v>0</v>
      </c>
      <c r="AW135" s="4">
        <f t="shared" si="102"/>
        <v>0</v>
      </c>
      <c r="AX135" s="4">
        <f t="shared" ref="AX135:BA136" si="103">AF105</f>
        <v>0</v>
      </c>
      <c r="AY135" s="4">
        <f t="shared" si="103"/>
        <v>0</v>
      </c>
      <c r="AZ135" s="4">
        <f t="shared" si="103"/>
        <v>0</v>
      </c>
      <c r="BA135" s="4">
        <f t="shared" si="103"/>
        <v>0</v>
      </c>
      <c r="BB135" s="4"/>
      <c r="BC135" s="4"/>
      <c r="BD135" s="4"/>
      <c r="BE135" s="4"/>
      <c r="BF135" s="4"/>
      <c r="BG135" s="4"/>
      <c r="BH135" s="4"/>
      <c r="BI135" s="4"/>
      <c r="BN135" s="3">
        <f>BN104</f>
        <v>0</v>
      </c>
      <c r="BO135" s="30">
        <f>SUM(B135:BA135)</f>
        <v>355</v>
      </c>
    </row>
    <row r="136" spans="1:296" x14ac:dyDescent="0.25">
      <c r="A136" s="5" t="s">
        <v>54</v>
      </c>
      <c r="B136" s="8">
        <f t="shared" si="98"/>
        <v>1</v>
      </c>
      <c r="C136" s="8">
        <f t="shared" si="98"/>
        <v>0</v>
      </c>
      <c r="D136" s="8">
        <f t="shared" si="98"/>
        <v>0</v>
      </c>
      <c r="E136" s="8">
        <f t="shared" si="98"/>
        <v>0</v>
      </c>
      <c r="F136" s="8">
        <f t="shared" si="98"/>
        <v>0</v>
      </c>
      <c r="G136" s="8">
        <f t="shared" si="98"/>
        <v>0</v>
      </c>
      <c r="H136" s="8">
        <f t="shared" si="98"/>
        <v>0</v>
      </c>
      <c r="I136" s="8">
        <f t="shared" si="98"/>
        <v>0</v>
      </c>
      <c r="J136" s="8">
        <f t="shared" si="98"/>
        <v>0</v>
      </c>
      <c r="K136" s="8">
        <f t="shared" si="98"/>
        <v>0</v>
      </c>
      <c r="L136" s="8">
        <f t="shared" si="99"/>
        <v>0</v>
      </c>
      <c r="M136" s="8">
        <f t="shared" si="99"/>
        <v>0</v>
      </c>
      <c r="N136" s="8">
        <f t="shared" si="99"/>
        <v>0</v>
      </c>
      <c r="O136" s="8">
        <f t="shared" si="99"/>
        <v>0</v>
      </c>
      <c r="P136" s="8">
        <f t="shared" si="99"/>
        <v>1</v>
      </c>
      <c r="Q136" s="8">
        <f t="shared" si="99"/>
        <v>0</v>
      </c>
      <c r="R136" s="8">
        <f t="shared" si="99"/>
        <v>0</v>
      </c>
      <c r="S136" s="8">
        <f t="shared" si="99"/>
        <v>1</v>
      </c>
      <c r="T136" s="4">
        <f t="shared" si="100"/>
        <v>1</v>
      </c>
      <c r="U136" s="4">
        <f t="shared" si="100"/>
        <v>1</v>
      </c>
      <c r="V136" s="4">
        <f t="shared" si="100"/>
        <v>0</v>
      </c>
      <c r="W136" s="4">
        <f t="shared" si="100"/>
        <v>0</v>
      </c>
      <c r="X136" s="4">
        <f t="shared" si="100"/>
        <v>0</v>
      </c>
      <c r="Y136" s="4">
        <f t="shared" si="100"/>
        <v>0</v>
      </c>
      <c r="Z136" s="4">
        <f t="shared" si="100"/>
        <v>0</v>
      </c>
      <c r="AA136" s="4">
        <f t="shared" si="100"/>
        <v>0</v>
      </c>
      <c r="AB136" s="4">
        <f t="shared" si="100"/>
        <v>0</v>
      </c>
      <c r="AC136" s="4">
        <f t="shared" si="100"/>
        <v>0</v>
      </c>
      <c r="AD136" s="4">
        <f t="shared" si="101"/>
        <v>0</v>
      </c>
      <c r="AE136" s="4">
        <f t="shared" si="101"/>
        <v>1</v>
      </c>
      <c r="AF136" s="4">
        <f t="shared" si="101"/>
        <v>0</v>
      </c>
      <c r="AG136" s="4">
        <f t="shared" si="101"/>
        <v>2</v>
      </c>
      <c r="AH136" s="4">
        <f t="shared" si="101"/>
        <v>0</v>
      </c>
      <c r="AI136" s="4">
        <f t="shared" si="101"/>
        <v>0</v>
      </c>
      <c r="AJ136" s="4">
        <f t="shared" si="101"/>
        <v>0</v>
      </c>
      <c r="AK136" s="4">
        <f t="shared" si="101"/>
        <v>0</v>
      </c>
      <c r="AL136" s="4">
        <f t="shared" si="101"/>
        <v>0</v>
      </c>
      <c r="AM136" s="4">
        <f t="shared" si="101"/>
        <v>0</v>
      </c>
      <c r="AN136" s="4">
        <f t="shared" si="102"/>
        <v>0</v>
      </c>
      <c r="AO136" s="4">
        <f t="shared" si="102"/>
        <v>0</v>
      </c>
      <c r="AP136" s="4">
        <f t="shared" si="102"/>
        <v>0</v>
      </c>
      <c r="AQ136" s="4">
        <f t="shared" si="102"/>
        <v>0</v>
      </c>
      <c r="AR136" s="4">
        <f t="shared" si="102"/>
        <v>0</v>
      </c>
      <c r="AS136" s="4">
        <f t="shared" si="102"/>
        <v>0</v>
      </c>
      <c r="AT136" s="4">
        <f t="shared" si="102"/>
        <v>0</v>
      </c>
      <c r="AU136" s="4">
        <f t="shared" si="102"/>
        <v>0</v>
      </c>
      <c r="AV136" s="4">
        <f t="shared" si="102"/>
        <v>0</v>
      </c>
      <c r="AW136" s="4">
        <f t="shared" si="102"/>
        <v>0</v>
      </c>
      <c r="AX136" s="4">
        <f t="shared" si="103"/>
        <v>0</v>
      </c>
      <c r="AY136" s="4">
        <f t="shared" si="103"/>
        <v>0</v>
      </c>
      <c r="AZ136" s="4">
        <f t="shared" si="103"/>
        <v>0</v>
      </c>
      <c r="BA136" s="4">
        <f t="shared" si="103"/>
        <v>0</v>
      </c>
      <c r="BB136" s="4"/>
      <c r="BC136" s="4"/>
      <c r="BD136" s="4"/>
      <c r="BE136" s="4"/>
      <c r="BF136" s="4"/>
      <c r="BG136" s="4"/>
      <c r="BH136" s="4"/>
      <c r="BI136" s="4"/>
      <c r="BN136" s="3">
        <f>BN105</f>
        <v>0</v>
      </c>
      <c r="BO136" s="30">
        <f>SUM(B136:BA136)</f>
        <v>8</v>
      </c>
    </row>
    <row r="137" spans="1:296" x14ac:dyDescent="0.25">
      <c r="A137" s="5"/>
      <c r="T137" s="4"/>
      <c r="U137" s="4"/>
      <c r="V137" s="4"/>
      <c r="W137" s="4"/>
      <c r="X137" s="4"/>
      <c r="Y137" s="4"/>
      <c r="Z137" s="4"/>
      <c r="AA137" s="4"/>
      <c r="AB137" s="4"/>
      <c r="BC137" s="30"/>
    </row>
    <row r="138" spans="1:296" ht="26.4" x14ac:dyDescent="0.25">
      <c r="A138" s="66" t="s">
        <v>99</v>
      </c>
      <c r="B138" s="67">
        <v>35</v>
      </c>
      <c r="C138" s="67" t="s">
        <v>38</v>
      </c>
      <c r="D138" s="67" t="s">
        <v>39</v>
      </c>
      <c r="E138" s="67">
        <v>38</v>
      </c>
      <c r="F138" s="67">
        <v>39</v>
      </c>
      <c r="G138" s="67" t="s">
        <v>40</v>
      </c>
      <c r="H138" s="67" t="s">
        <v>41</v>
      </c>
      <c r="I138" s="67" t="s">
        <v>42</v>
      </c>
      <c r="J138" s="67" t="s">
        <v>43</v>
      </c>
      <c r="K138" s="67" t="s">
        <v>44</v>
      </c>
      <c r="L138" s="67">
        <v>45</v>
      </c>
      <c r="M138" s="67" t="s">
        <v>45</v>
      </c>
      <c r="N138" s="67" t="s">
        <v>46</v>
      </c>
      <c r="O138" s="67" t="s">
        <v>47</v>
      </c>
      <c r="P138" s="67" t="s">
        <v>48</v>
      </c>
      <c r="Q138" s="67" t="s">
        <v>49</v>
      </c>
      <c r="R138" s="67" t="s">
        <v>50</v>
      </c>
      <c r="S138" s="67" t="s">
        <v>51</v>
      </c>
      <c r="T138" s="67" t="s">
        <v>102</v>
      </c>
      <c r="U138" s="68">
        <v>1</v>
      </c>
      <c r="V138" s="68">
        <v>2</v>
      </c>
      <c r="W138" s="68">
        <v>3</v>
      </c>
      <c r="X138" s="68">
        <v>4</v>
      </c>
      <c r="Y138" s="68">
        <v>5</v>
      </c>
      <c r="Z138" s="68">
        <v>6</v>
      </c>
      <c r="AA138" s="68">
        <v>7</v>
      </c>
      <c r="AB138" s="68">
        <v>8</v>
      </c>
      <c r="AC138" s="68">
        <v>9</v>
      </c>
      <c r="AD138" s="68">
        <v>10</v>
      </c>
      <c r="AE138" s="69">
        <v>11</v>
      </c>
      <c r="AF138" s="68">
        <v>12</v>
      </c>
      <c r="AG138" s="68">
        <v>13</v>
      </c>
      <c r="AH138" s="68">
        <v>14</v>
      </c>
      <c r="AI138" s="68">
        <v>15</v>
      </c>
      <c r="AJ138" s="68">
        <v>16</v>
      </c>
      <c r="AK138" s="68">
        <v>17</v>
      </c>
      <c r="AL138" s="68">
        <v>18</v>
      </c>
      <c r="AM138" s="68">
        <v>19</v>
      </c>
      <c r="AN138" s="68">
        <v>20</v>
      </c>
      <c r="AO138" s="68">
        <v>21</v>
      </c>
      <c r="AP138" s="68">
        <v>22</v>
      </c>
      <c r="AQ138" s="68">
        <v>23</v>
      </c>
      <c r="AR138" s="68">
        <v>24</v>
      </c>
      <c r="AS138" s="68">
        <v>25</v>
      </c>
      <c r="AT138" s="68">
        <v>26</v>
      </c>
      <c r="AU138" s="68">
        <v>27</v>
      </c>
      <c r="AV138" s="68">
        <v>28</v>
      </c>
      <c r="AW138" s="68">
        <v>29</v>
      </c>
      <c r="AX138" s="68">
        <v>30</v>
      </c>
      <c r="AY138" s="68">
        <v>31</v>
      </c>
      <c r="AZ138" s="68">
        <v>32</v>
      </c>
      <c r="BA138" s="68">
        <v>33</v>
      </c>
      <c r="BB138" s="68">
        <v>34</v>
      </c>
      <c r="BC138" s="69"/>
      <c r="BD138" s="70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 t="s">
        <v>97</v>
      </c>
      <c r="BO138" s="71" t="s">
        <v>100</v>
      </c>
      <c r="BP138" s="71"/>
    </row>
    <row r="139" spans="1:296" x14ac:dyDescent="0.25">
      <c r="A139" s="5" t="s">
        <v>53</v>
      </c>
      <c r="B139" s="8">
        <f t="shared" ref="B139:K140" si="104">AJ105</f>
        <v>0</v>
      </c>
      <c r="C139" s="8">
        <f t="shared" si="104"/>
        <v>0</v>
      </c>
      <c r="D139" s="8">
        <f t="shared" si="104"/>
        <v>0</v>
      </c>
      <c r="E139" s="8">
        <f t="shared" si="104"/>
        <v>0</v>
      </c>
      <c r="F139" s="8">
        <f t="shared" si="104"/>
        <v>1</v>
      </c>
      <c r="G139" s="8">
        <f t="shared" si="104"/>
        <v>0</v>
      </c>
      <c r="H139" s="8">
        <f t="shared" si="104"/>
        <v>0</v>
      </c>
      <c r="I139" s="8">
        <f t="shared" si="104"/>
        <v>0</v>
      </c>
      <c r="J139" s="8">
        <f t="shared" si="104"/>
        <v>0</v>
      </c>
      <c r="K139" s="8">
        <f t="shared" si="104"/>
        <v>0</v>
      </c>
      <c r="L139" s="8">
        <f t="shared" ref="L139:T140" si="105">AT105</f>
        <v>1</v>
      </c>
      <c r="M139" s="8">
        <f t="shared" si="105"/>
        <v>1</v>
      </c>
      <c r="N139" s="8">
        <f t="shared" si="105"/>
        <v>0</v>
      </c>
      <c r="O139" s="8">
        <f t="shared" si="105"/>
        <v>0</v>
      </c>
      <c r="P139" s="8">
        <f t="shared" si="105"/>
        <v>1</v>
      </c>
      <c r="Q139" s="8">
        <f t="shared" si="105"/>
        <v>0</v>
      </c>
      <c r="R139" s="8">
        <f t="shared" si="105"/>
        <v>1</v>
      </c>
      <c r="S139" s="8">
        <f t="shared" si="105"/>
        <v>5</v>
      </c>
      <c r="T139" s="8">
        <f t="shared" si="105"/>
        <v>1</v>
      </c>
      <c r="U139" s="4">
        <f t="shared" ref="U139:AD140" si="106">B110</f>
        <v>0</v>
      </c>
      <c r="V139" s="4">
        <f t="shared" si="106"/>
        <v>4</v>
      </c>
      <c r="W139" s="4">
        <f t="shared" si="106"/>
        <v>4</v>
      </c>
      <c r="X139" s="4">
        <f t="shared" si="106"/>
        <v>0</v>
      </c>
      <c r="Y139" s="4">
        <f t="shared" si="106"/>
        <v>0</v>
      </c>
      <c r="Z139" s="4">
        <f t="shared" si="106"/>
        <v>2</v>
      </c>
      <c r="AA139" s="4">
        <f t="shared" si="106"/>
        <v>1</v>
      </c>
      <c r="AB139" s="4">
        <f t="shared" si="106"/>
        <v>0</v>
      </c>
      <c r="AC139" s="4">
        <f t="shared" si="106"/>
        <v>2</v>
      </c>
      <c r="AD139" s="4">
        <f t="shared" si="106"/>
        <v>3</v>
      </c>
      <c r="AE139" s="4">
        <f t="shared" ref="AE139:AN140" si="107">L110</f>
        <v>1</v>
      </c>
      <c r="AF139" s="4">
        <f t="shared" si="107"/>
        <v>2</v>
      </c>
      <c r="AG139" s="4">
        <f t="shared" si="107"/>
        <v>1</v>
      </c>
      <c r="AH139" s="4">
        <f t="shared" si="107"/>
        <v>0</v>
      </c>
      <c r="AI139" s="4">
        <f t="shared" si="107"/>
        <v>3</v>
      </c>
      <c r="AJ139" s="4">
        <f t="shared" si="107"/>
        <v>1</v>
      </c>
      <c r="AK139" s="4">
        <f t="shared" si="107"/>
        <v>0</v>
      </c>
      <c r="AL139" s="4">
        <f t="shared" si="107"/>
        <v>0</v>
      </c>
      <c r="AM139" s="4">
        <f t="shared" si="107"/>
        <v>0</v>
      </c>
      <c r="AN139" s="4">
        <f t="shared" si="107"/>
        <v>1</v>
      </c>
      <c r="AO139" s="4">
        <f t="shared" ref="AO139:AX140" si="108">V110</f>
        <v>1</v>
      </c>
      <c r="AP139" s="4">
        <f t="shared" si="108"/>
        <v>0</v>
      </c>
      <c r="AQ139" s="4">
        <f t="shared" si="108"/>
        <v>0</v>
      </c>
      <c r="AR139" s="4">
        <f t="shared" si="108"/>
        <v>1</v>
      </c>
      <c r="AS139" s="4">
        <f t="shared" si="108"/>
        <v>0</v>
      </c>
      <c r="AT139" s="4">
        <f t="shared" si="108"/>
        <v>0</v>
      </c>
      <c r="AU139" s="4">
        <f t="shared" si="108"/>
        <v>0</v>
      </c>
      <c r="AV139" s="4">
        <f t="shared" si="108"/>
        <v>0</v>
      </c>
      <c r="AW139" s="4">
        <f t="shared" si="108"/>
        <v>0</v>
      </c>
      <c r="AX139" s="4">
        <f t="shared" si="108"/>
        <v>0</v>
      </c>
      <c r="AY139" s="4">
        <f t="shared" ref="AY139:BB140" si="109">AF110</f>
        <v>0</v>
      </c>
      <c r="AZ139" s="4">
        <f t="shared" si="109"/>
        <v>0</v>
      </c>
      <c r="BA139" s="4">
        <f t="shared" si="109"/>
        <v>0</v>
      </c>
      <c r="BB139" s="4">
        <f t="shared" si="109"/>
        <v>0</v>
      </c>
      <c r="BC139" s="30"/>
      <c r="BN139" s="3">
        <f>SUM(B135:BA135)</f>
        <v>355</v>
      </c>
      <c r="BO139" s="3">
        <f>SUM(B139:BB139)</f>
        <v>38</v>
      </c>
    </row>
    <row r="140" spans="1:296" x14ac:dyDescent="0.25">
      <c r="A140" s="5" t="s">
        <v>54</v>
      </c>
      <c r="B140" s="8">
        <f t="shared" si="104"/>
        <v>0</v>
      </c>
      <c r="C140" s="8">
        <f t="shared" si="104"/>
        <v>0</v>
      </c>
      <c r="D140" s="8">
        <f t="shared" si="104"/>
        <v>0</v>
      </c>
      <c r="E140" s="8">
        <f t="shared" si="104"/>
        <v>0</v>
      </c>
      <c r="F140" s="8">
        <f t="shared" si="104"/>
        <v>0</v>
      </c>
      <c r="G140" s="8">
        <f t="shared" si="104"/>
        <v>0</v>
      </c>
      <c r="H140" s="8">
        <f t="shared" si="104"/>
        <v>0</v>
      </c>
      <c r="I140" s="8">
        <f t="shared" si="104"/>
        <v>0</v>
      </c>
      <c r="J140" s="8">
        <f t="shared" si="104"/>
        <v>0</v>
      </c>
      <c r="K140" s="8">
        <f t="shared" si="104"/>
        <v>0</v>
      </c>
      <c r="L140" s="8">
        <f t="shared" si="105"/>
        <v>0</v>
      </c>
      <c r="M140" s="8">
        <f t="shared" si="105"/>
        <v>0</v>
      </c>
      <c r="N140" s="8">
        <f t="shared" si="105"/>
        <v>0</v>
      </c>
      <c r="O140" s="8">
        <f t="shared" si="105"/>
        <v>0</v>
      </c>
      <c r="P140" s="8">
        <f t="shared" si="105"/>
        <v>0</v>
      </c>
      <c r="Q140" s="8">
        <f t="shared" si="105"/>
        <v>0</v>
      </c>
      <c r="R140" s="8">
        <f t="shared" si="105"/>
        <v>0</v>
      </c>
      <c r="S140" s="8">
        <f t="shared" si="105"/>
        <v>0</v>
      </c>
      <c r="T140" s="8">
        <f t="shared" si="105"/>
        <v>0</v>
      </c>
      <c r="U140" s="4">
        <f t="shared" si="106"/>
        <v>0</v>
      </c>
      <c r="V140" s="4">
        <f t="shared" si="106"/>
        <v>0</v>
      </c>
      <c r="W140" s="4">
        <f t="shared" si="106"/>
        <v>0</v>
      </c>
      <c r="X140" s="4">
        <f t="shared" si="106"/>
        <v>0</v>
      </c>
      <c r="Y140" s="4">
        <f t="shared" si="106"/>
        <v>0</v>
      </c>
      <c r="Z140" s="4">
        <f t="shared" si="106"/>
        <v>0</v>
      </c>
      <c r="AA140" s="4">
        <f t="shared" si="106"/>
        <v>0</v>
      </c>
      <c r="AB140" s="4">
        <f t="shared" si="106"/>
        <v>0</v>
      </c>
      <c r="AC140" s="4">
        <f t="shared" si="106"/>
        <v>0</v>
      </c>
      <c r="AD140" s="4">
        <f t="shared" si="106"/>
        <v>0</v>
      </c>
      <c r="AE140" s="4">
        <f t="shared" si="107"/>
        <v>0</v>
      </c>
      <c r="AF140" s="4">
        <f t="shared" si="107"/>
        <v>0</v>
      </c>
      <c r="AG140" s="4">
        <f t="shared" si="107"/>
        <v>0</v>
      </c>
      <c r="AH140" s="4">
        <f t="shared" si="107"/>
        <v>0</v>
      </c>
      <c r="AI140" s="4">
        <f t="shared" si="107"/>
        <v>0</v>
      </c>
      <c r="AJ140" s="4">
        <f t="shared" si="107"/>
        <v>0</v>
      </c>
      <c r="AK140" s="4">
        <f t="shared" si="107"/>
        <v>0</v>
      </c>
      <c r="AL140" s="4">
        <f t="shared" si="107"/>
        <v>0</v>
      </c>
      <c r="AM140" s="4">
        <f t="shared" si="107"/>
        <v>0</v>
      </c>
      <c r="AN140" s="4">
        <f t="shared" si="107"/>
        <v>0</v>
      </c>
      <c r="AO140" s="4">
        <f t="shared" si="108"/>
        <v>0</v>
      </c>
      <c r="AP140" s="4">
        <f t="shared" si="108"/>
        <v>0</v>
      </c>
      <c r="AQ140" s="4">
        <f t="shared" si="108"/>
        <v>0</v>
      </c>
      <c r="AR140" s="4">
        <f t="shared" si="108"/>
        <v>0</v>
      </c>
      <c r="AS140" s="4">
        <f t="shared" si="108"/>
        <v>0</v>
      </c>
      <c r="AT140" s="4">
        <f t="shared" si="108"/>
        <v>0</v>
      </c>
      <c r="AU140" s="4">
        <f t="shared" si="108"/>
        <v>0</v>
      </c>
      <c r="AV140" s="4">
        <f t="shared" si="108"/>
        <v>0</v>
      </c>
      <c r="AW140" s="4">
        <f t="shared" si="108"/>
        <v>0</v>
      </c>
      <c r="AX140" s="4">
        <f t="shared" si="108"/>
        <v>0</v>
      </c>
      <c r="AY140" s="4">
        <f t="shared" si="109"/>
        <v>0</v>
      </c>
      <c r="AZ140" s="4">
        <f t="shared" si="109"/>
        <v>0</v>
      </c>
      <c r="BA140" s="4">
        <f t="shared" si="109"/>
        <v>0</v>
      </c>
      <c r="BB140" s="4">
        <f t="shared" si="109"/>
        <v>0</v>
      </c>
      <c r="BC140" s="30"/>
      <c r="BN140" s="3">
        <f>SUM(B136:BA136)</f>
        <v>8</v>
      </c>
      <c r="BO140" s="3">
        <f>SUM(B140:BB140)</f>
        <v>0</v>
      </c>
    </row>
    <row r="141" spans="1:296" x14ac:dyDescent="0.25">
      <c r="A141" s="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C141" s="30"/>
    </row>
    <row r="142" spans="1:296" ht="26.4" x14ac:dyDescent="0.25">
      <c r="A142" s="66" t="s">
        <v>117</v>
      </c>
      <c r="B142" s="67">
        <v>35</v>
      </c>
      <c r="C142" s="67" t="s">
        <v>38</v>
      </c>
      <c r="D142" s="67" t="s">
        <v>39</v>
      </c>
      <c r="E142" s="67">
        <v>38</v>
      </c>
      <c r="F142" s="67">
        <v>39</v>
      </c>
      <c r="G142" s="67" t="s">
        <v>40</v>
      </c>
      <c r="H142" s="67" t="s">
        <v>41</v>
      </c>
      <c r="I142" s="67" t="s">
        <v>42</v>
      </c>
      <c r="J142" s="67" t="s">
        <v>43</v>
      </c>
      <c r="K142" s="67" t="s">
        <v>44</v>
      </c>
      <c r="L142" s="67">
        <v>45</v>
      </c>
      <c r="M142" s="67" t="s">
        <v>45</v>
      </c>
      <c r="N142" s="67" t="s">
        <v>46</v>
      </c>
      <c r="O142" s="67" t="s">
        <v>47</v>
      </c>
      <c r="P142" s="67" t="s">
        <v>48</v>
      </c>
      <c r="Q142" s="67" t="s">
        <v>49</v>
      </c>
      <c r="R142" s="67" t="s">
        <v>50</v>
      </c>
      <c r="S142" s="67" t="s">
        <v>51</v>
      </c>
      <c r="T142" s="68">
        <v>1</v>
      </c>
      <c r="U142" s="68">
        <v>2</v>
      </c>
      <c r="V142" s="68">
        <v>3</v>
      </c>
      <c r="W142" s="68">
        <v>4</v>
      </c>
      <c r="X142" s="68">
        <v>5</v>
      </c>
      <c r="Y142" s="68">
        <v>6</v>
      </c>
      <c r="Z142" s="68">
        <v>7</v>
      </c>
      <c r="AA142" s="68">
        <v>8</v>
      </c>
      <c r="AB142" s="68">
        <v>9</v>
      </c>
      <c r="AC142" s="68">
        <v>10</v>
      </c>
      <c r="AD142" s="69">
        <v>11</v>
      </c>
      <c r="AE142" s="68">
        <v>12</v>
      </c>
      <c r="AF142" s="68">
        <v>13</v>
      </c>
      <c r="AG142" s="68">
        <v>14</v>
      </c>
      <c r="AH142" s="68">
        <v>15</v>
      </c>
      <c r="AI142" s="68">
        <v>16</v>
      </c>
      <c r="AJ142" s="68">
        <v>17</v>
      </c>
      <c r="AK142" s="68">
        <v>18</v>
      </c>
      <c r="AL142" s="68">
        <v>19</v>
      </c>
      <c r="AM142" s="68">
        <v>20</v>
      </c>
      <c r="AN142" s="68">
        <v>21</v>
      </c>
      <c r="AO142" s="68">
        <v>22</v>
      </c>
      <c r="AP142" s="68">
        <v>23</v>
      </c>
      <c r="AQ142" s="68">
        <v>24</v>
      </c>
      <c r="AR142" s="68">
        <v>25</v>
      </c>
      <c r="AS142" s="68">
        <v>26</v>
      </c>
      <c r="AT142" s="68">
        <v>27</v>
      </c>
      <c r="AU142" s="68">
        <v>28</v>
      </c>
      <c r="AV142" s="68">
        <v>29</v>
      </c>
      <c r="AW142" s="68">
        <v>30</v>
      </c>
      <c r="AX142" s="68">
        <v>31</v>
      </c>
      <c r="AY142" s="68">
        <v>32</v>
      </c>
      <c r="AZ142" s="68">
        <v>33</v>
      </c>
      <c r="BA142" s="68">
        <v>34</v>
      </c>
      <c r="BB142" s="68"/>
      <c r="BC142" s="69"/>
      <c r="BD142" s="70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 t="s">
        <v>97</v>
      </c>
      <c r="BO142" s="71" t="s">
        <v>100</v>
      </c>
      <c r="BP142" s="71"/>
    </row>
    <row r="143" spans="1:296" x14ac:dyDescent="0.25">
      <c r="A143" s="5" t="s">
        <v>53</v>
      </c>
      <c r="B143" s="8">
        <f t="shared" ref="B143:K144" si="110">AJ110</f>
        <v>0</v>
      </c>
      <c r="C143" s="8">
        <f t="shared" si="110"/>
        <v>0</v>
      </c>
      <c r="D143" s="8">
        <f t="shared" si="110"/>
        <v>0</v>
      </c>
      <c r="E143" s="8">
        <f t="shared" si="110"/>
        <v>0</v>
      </c>
      <c r="F143" s="8">
        <f t="shared" si="110"/>
        <v>2</v>
      </c>
      <c r="G143" s="8">
        <f t="shared" si="110"/>
        <v>2</v>
      </c>
      <c r="H143" s="8">
        <f t="shared" si="110"/>
        <v>0</v>
      </c>
      <c r="I143" s="8">
        <f t="shared" si="110"/>
        <v>1</v>
      </c>
      <c r="J143" s="8">
        <f t="shared" si="110"/>
        <v>1</v>
      </c>
      <c r="K143" s="8">
        <f t="shared" si="110"/>
        <v>0</v>
      </c>
      <c r="L143" s="8">
        <f t="shared" ref="L143:S144" si="111">AT110</f>
        <v>1</v>
      </c>
      <c r="M143" s="8">
        <f t="shared" si="111"/>
        <v>0</v>
      </c>
      <c r="N143" s="8">
        <f t="shared" si="111"/>
        <v>0</v>
      </c>
      <c r="O143" s="8">
        <f t="shared" si="111"/>
        <v>1</v>
      </c>
      <c r="P143" s="8">
        <f t="shared" si="111"/>
        <v>2</v>
      </c>
      <c r="Q143" s="8">
        <f t="shared" si="111"/>
        <v>0</v>
      </c>
      <c r="R143" s="8">
        <f t="shared" si="111"/>
        <v>1</v>
      </c>
      <c r="S143" s="8">
        <f t="shared" si="111"/>
        <v>1</v>
      </c>
      <c r="T143" s="8">
        <f t="shared" ref="T143:AC144" si="112">B115</f>
        <v>1</v>
      </c>
      <c r="U143" s="8">
        <f t="shared" si="112"/>
        <v>1</v>
      </c>
      <c r="V143" s="8">
        <f t="shared" si="112"/>
        <v>1</v>
      </c>
      <c r="W143" s="8">
        <f t="shared" si="112"/>
        <v>1</v>
      </c>
      <c r="X143" s="8">
        <f t="shared" si="112"/>
        <v>1</v>
      </c>
      <c r="Y143" s="8">
        <f t="shared" si="112"/>
        <v>1</v>
      </c>
      <c r="Z143" s="8">
        <f t="shared" si="112"/>
        <v>1</v>
      </c>
      <c r="AA143" s="8">
        <f t="shared" si="112"/>
        <v>1</v>
      </c>
      <c r="AB143" s="8">
        <f t="shared" si="112"/>
        <v>0</v>
      </c>
      <c r="AC143" s="8">
        <f t="shared" si="112"/>
        <v>0</v>
      </c>
      <c r="AD143" s="8">
        <f t="shared" ref="AD143:AM144" si="113">L115</f>
        <v>1</v>
      </c>
      <c r="AE143" s="8">
        <f t="shared" si="113"/>
        <v>0</v>
      </c>
      <c r="AF143" s="8">
        <f t="shared" si="113"/>
        <v>0</v>
      </c>
      <c r="AG143" s="8">
        <f t="shared" si="113"/>
        <v>4</v>
      </c>
      <c r="AH143" s="8">
        <f t="shared" si="113"/>
        <v>0</v>
      </c>
      <c r="AI143" s="8">
        <f t="shared" si="113"/>
        <v>0</v>
      </c>
      <c r="AJ143" s="8">
        <f t="shared" si="113"/>
        <v>0</v>
      </c>
      <c r="AK143" s="8">
        <f t="shared" si="113"/>
        <v>2</v>
      </c>
      <c r="AL143" s="8">
        <f t="shared" si="113"/>
        <v>1</v>
      </c>
      <c r="AM143" s="8">
        <f t="shared" si="113"/>
        <v>1</v>
      </c>
      <c r="AN143" s="8">
        <f t="shared" ref="AN143:AW144" si="114">V115</f>
        <v>0</v>
      </c>
      <c r="AO143" s="8">
        <f t="shared" si="114"/>
        <v>0</v>
      </c>
      <c r="AP143" s="8">
        <f t="shared" si="114"/>
        <v>0</v>
      </c>
      <c r="AQ143" s="8">
        <f t="shared" si="114"/>
        <v>0</v>
      </c>
      <c r="AR143" s="8">
        <f t="shared" si="114"/>
        <v>0</v>
      </c>
      <c r="AS143" s="8">
        <f t="shared" si="114"/>
        <v>0</v>
      </c>
      <c r="AT143" s="8">
        <f t="shared" si="114"/>
        <v>1</v>
      </c>
      <c r="AU143" s="8">
        <f t="shared" si="114"/>
        <v>7</v>
      </c>
      <c r="AV143" s="8">
        <f t="shared" si="114"/>
        <v>11</v>
      </c>
      <c r="AW143" s="8">
        <f t="shared" si="114"/>
        <v>0</v>
      </c>
      <c r="AX143" s="8">
        <f t="shared" ref="AX143:BA144" si="115">AF115</f>
        <v>1</v>
      </c>
      <c r="AY143" s="8">
        <f t="shared" si="115"/>
        <v>0</v>
      </c>
      <c r="AZ143" s="8">
        <f t="shared" si="115"/>
        <v>0</v>
      </c>
      <c r="BA143" s="8">
        <f t="shared" si="115"/>
        <v>0</v>
      </c>
      <c r="BC143" s="30"/>
      <c r="BN143" s="3">
        <f>SUM(B139:BB139)</f>
        <v>38</v>
      </c>
      <c r="BO143" s="3">
        <f>SUM(B143:BA143)</f>
        <v>49</v>
      </c>
    </row>
    <row r="144" spans="1:296" x14ac:dyDescent="0.25">
      <c r="A144" s="5" t="s">
        <v>54</v>
      </c>
      <c r="B144" s="8">
        <f t="shared" si="110"/>
        <v>0</v>
      </c>
      <c r="C144" s="8">
        <f t="shared" si="110"/>
        <v>0</v>
      </c>
      <c r="D144" s="8">
        <f t="shared" si="110"/>
        <v>0</v>
      </c>
      <c r="E144" s="8">
        <f t="shared" si="110"/>
        <v>0</v>
      </c>
      <c r="F144" s="8">
        <f t="shared" si="110"/>
        <v>0</v>
      </c>
      <c r="G144" s="8">
        <f t="shared" si="110"/>
        <v>0</v>
      </c>
      <c r="H144" s="8">
        <f t="shared" si="110"/>
        <v>0</v>
      </c>
      <c r="I144" s="8">
        <f t="shared" si="110"/>
        <v>0</v>
      </c>
      <c r="J144" s="8">
        <f t="shared" si="110"/>
        <v>0</v>
      </c>
      <c r="K144" s="8">
        <f t="shared" si="110"/>
        <v>0</v>
      </c>
      <c r="L144" s="8">
        <f t="shared" si="111"/>
        <v>0</v>
      </c>
      <c r="M144" s="8">
        <f t="shared" si="111"/>
        <v>0</v>
      </c>
      <c r="N144" s="8">
        <f t="shared" si="111"/>
        <v>0</v>
      </c>
      <c r="O144" s="8">
        <f t="shared" si="111"/>
        <v>0</v>
      </c>
      <c r="P144" s="8">
        <f t="shared" si="111"/>
        <v>0</v>
      </c>
      <c r="Q144" s="8">
        <f t="shared" si="111"/>
        <v>0</v>
      </c>
      <c r="R144" s="8">
        <f t="shared" si="111"/>
        <v>0</v>
      </c>
      <c r="S144" s="8">
        <f t="shared" si="111"/>
        <v>0</v>
      </c>
      <c r="T144" s="8">
        <f t="shared" si="112"/>
        <v>0</v>
      </c>
      <c r="U144" s="8">
        <f t="shared" si="112"/>
        <v>0</v>
      </c>
      <c r="V144" s="8">
        <f t="shared" si="112"/>
        <v>0</v>
      </c>
      <c r="W144" s="8">
        <f t="shared" si="112"/>
        <v>0</v>
      </c>
      <c r="X144" s="8">
        <f t="shared" si="112"/>
        <v>0</v>
      </c>
      <c r="Y144" s="8">
        <f t="shared" si="112"/>
        <v>0</v>
      </c>
      <c r="Z144" s="8">
        <f t="shared" si="112"/>
        <v>0</v>
      </c>
      <c r="AA144" s="8">
        <f t="shared" si="112"/>
        <v>0</v>
      </c>
      <c r="AB144" s="8">
        <f t="shared" si="112"/>
        <v>0</v>
      </c>
      <c r="AC144" s="8">
        <f t="shared" si="112"/>
        <v>0</v>
      </c>
      <c r="AD144" s="8">
        <f t="shared" si="113"/>
        <v>0</v>
      </c>
      <c r="AE144" s="8">
        <f t="shared" si="113"/>
        <v>0</v>
      </c>
      <c r="AF144" s="8">
        <f t="shared" si="113"/>
        <v>0</v>
      </c>
      <c r="AG144" s="8">
        <f t="shared" si="113"/>
        <v>0</v>
      </c>
      <c r="AH144" s="8">
        <f t="shared" si="113"/>
        <v>0</v>
      </c>
      <c r="AI144" s="8">
        <f t="shared" si="113"/>
        <v>0</v>
      </c>
      <c r="AJ144" s="8">
        <f t="shared" si="113"/>
        <v>0</v>
      </c>
      <c r="AK144" s="8">
        <f t="shared" si="113"/>
        <v>0</v>
      </c>
      <c r="AL144" s="8">
        <f t="shared" si="113"/>
        <v>0</v>
      </c>
      <c r="AM144" s="8">
        <f t="shared" si="113"/>
        <v>0</v>
      </c>
      <c r="AN144" s="8">
        <f t="shared" si="114"/>
        <v>0</v>
      </c>
      <c r="AO144" s="8">
        <f t="shared" si="114"/>
        <v>0</v>
      </c>
      <c r="AP144" s="8">
        <f t="shared" si="114"/>
        <v>0</v>
      </c>
      <c r="AQ144" s="8">
        <f t="shared" si="114"/>
        <v>0</v>
      </c>
      <c r="AR144" s="8">
        <f t="shared" si="114"/>
        <v>0</v>
      </c>
      <c r="AS144" s="8">
        <f t="shared" si="114"/>
        <v>0</v>
      </c>
      <c r="AT144" s="8">
        <f t="shared" si="114"/>
        <v>0</v>
      </c>
      <c r="AU144" s="8">
        <f t="shared" si="114"/>
        <v>0</v>
      </c>
      <c r="AV144" s="8">
        <f t="shared" si="114"/>
        <v>0</v>
      </c>
      <c r="AW144" s="8">
        <f t="shared" si="114"/>
        <v>0</v>
      </c>
      <c r="AX144" s="8">
        <f t="shared" si="115"/>
        <v>0</v>
      </c>
      <c r="AY144" s="8">
        <f t="shared" si="115"/>
        <v>0</v>
      </c>
      <c r="AZ144" s="8">
        <f t="shared" si="115"/>
        <v>0</v>
      </c>
      <c r="BA144" s="8">
        <f t="shared" si="115"/>
        <v>0</v>
      </c>
      <c r="BC144" s="30"/>
      <c r="BN144" s="3">
        <f>SUM(B140:BB140)</f>
        <v>0</v>
      </c>
      <c r="BO144" s="3">
        <f>SUM(B144:BA144)</f>
        <v>0</v>
      </c>
    </row>
    <row r="145" spans="1:68" x14ac:dyDescent="0.25">
      <c r="A145" s="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C145" s="30"/>
    </row>
    <row r="146" spans="1:68" ht="26.4" x14ac:dyDescent="0.25">
      <c r="A146" s="66" t="s">
        <v>134</v>
      </c>
      <c r="B146" s="67">
        <v>35</v>
      </c>
      <c r="C146" s="67" t="s">
        <v>38</v>
      </c>
      <c r="D146" s="67" t="s">
        <v>39</v>
      </c>
      <c r="E146" s="67">
        <v>38</v>
      </c>
      <c r="F146" s="67">
        <v>39</v>
      </c>
      <c r="G146" s="67" t="s">
        <v>40</v>
      </c>
      <c r="H146" s="67" t="s">
        <v>41</v>
      </c>
      <c r="I146" s="67" t="s">
        <v>42</v>
      </c>
      <c r="J146" s="67" t="s">
        <v>43</v>
      </c>
      <c r="K146" s="67" t="s">
        <v>44</v>
      </c>
      <c r="L146" s="67">
        <v>45</v>
      </c>
      <c r="M146" s="67" t="s">
        <v>45</v>
      </c>
      <c r="N146" s="67" t="s">
        <v>46</v>
      </c>
      <c r="O146" s="67" t="s">
        <v>47</v>
      </c>
      <c r="P146" s="67" t="s">
        <v>48</v>
      </c>
      <c r="Q146" s="67" t="s">
        <v>49</v>
      </c>
      <c r="R146" s="67" t="s">
        <v>50</v>
      </c>
      <c r="S146" s="67" t="s">
        <v>51</v>
      </c>
      <c r="T146" s="68">
        <v>1</v>
      </c>
      <c r="U146" s="68">
        <v>2</v>
      </c>
      <c r="V146" s="68">
        <v>3</v>
      </c>
      <c r="W146" s="68">
        <v>4</v>
      </c>
      <c r="X146" s="68">
        <v>5</v>
      </c>
      <c r="Y146" s="68">
        <v>6</v>
      </c>
      <c r="Z146" s="68">
        <v>7</v>
      </c>
      <c r="AA146" s="68">
        <v>8</v>
      </c>
      <c r="AB146" s="68">
        <v>9</v>
      </c>
      <c r="AC146" s="68">
        <v>10</v>
      </c>
      <c r="AD146" s="69">
        <v>11</v>
      </c>
      <c r="AE146" s="68">
        <v>12</v>
      </c>
      <c r="AF146" s="68">
        <v>13</v>
      </c>
      <c r="AG146" s="68">
        <v>14</v>
      </c>
      <c r="AH146" s="68">
        <v>15</v>
      </c>
      <c r="AI146" s="68">
        <v>16</v>
      </c>
      <c r="AJ146" s="68">
        <v>17</v>
      </c>
      <c r="AK146" s="68">
        <v>18</v>
      </c>
      <c r="AL146" s="68">
        <v>19</v>
      </c>
      <c r="AM146" s="68">
        <v>20</v>
      </c>
      <c r="AN146" s="68">
        <v>21</v>
      </c>
      <c r="AO146" s="68">
        <v>22</v>
      </c>
      <c r="AP146" s="68">
        <v>23</v>
      </c>
      <c r="AQ146" s="68">
        <v>24</v>
      </c>
      <c r="AR146" s="68">
        <v>25</v>
      </c>
      <c r="AS146" s="68">
        <v>26</v>
      </c>
      <c r="AT146" s="68">
        <v>27</v>
      </c>
      <c r="AU146" s="68">
        <v>28</v>
      </c>
      <c r="AV146" s="68">
        <v>29</v>
      </c>
      <c r="AW146" s="68">
        <v>30</v>
      </c>
      <c r="AX146" s="68">
        <v>31</v>
      </c>
      <c r="AY146" s="68">
        <v>32</v>
      </c>
      <c r="AZ146" s="68">
        <v>33</v>
      </c>
      <c r="BA146" s="68">
        <v>34</v>
      </c>
      <c r="BB146" s="68"/>
      <c r="BC146" s="69"/>
      <c r="BD146" s="70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 t="s">
        <v>116</v>
      </c>
      <c r="BO146" s="71" t="s">
        <v>135</v>
      </c>
      <c r="BP146" s="71"/>
    </row>
    <row r="147" spans="1:68" x14ac:dyDescent="0.25">
      <c r="A147" s="5" t="s">
        <v>53</v>
      </c>
      <c r="B147" s="8">
        <f t="shared" ref="B147:K148" si="116">AJ115</f>
        <v>0</v>
      </c>
      <c r="C147" s="8">
        <f t="shared" si="116"/>
        <v>0</v>
      </c>
      <c r="D147" s="8">
        <f t="shared" si="116"/>
        <v>0</v>
      </c>
      <c r="E147" s="8">
        <f t="shared" si="116"/>
        <v>1</v>
      </c>
      <c r="F147" s="8">
        <f t="shared" si="116"/>
        <v>1</v>
      </c>
      <c r="G147" s="8">
        <f t="shared" si="116"/>
        <v>0</v>
      </c>
      <c r="H147" s="8">
        <f t="shared" si="116"/>
        <v>0</v>
      </c>
      <c r="I147" s="8">
        <f t="shared" si="116"/>
        <v>0</v>
      </c>
      <c r="J147" s="8">
        <f t="shared" si="116"/>
        <v>2</v>
      </c>
      <c r="K147" s="8">
        <f t="shared" si="116"/>
        <v>1</v>
      </c>
      <c r="L147" s="8">
        <f t="shared" ref="L147:S148" si="117">AT115</f>
        <v>4</v>
      </c>
      <c r="M147" s="8">
        <f t="shared" si="117"/>
        <v>0</v>
      </c>
      <c r="N147" s="8">
        <f t="shared" si="117"/>
        <v>1</v>
      </c>
      <c r="O147" s="8">
        <f t="shared" si="117"/>
        <v>0</v>
      </c>
      <c r="P147" s="8">
        <f t="shared" si="117"/>
        <v>3</v>
      </c>
      <c r="Q147" s="8">
        <f t="shared" si="117"/>
        <v>3</v>
      </c>
      <c r="R147" s="8">
        <f t="shared" si="117"/>
        <v>2</v>
      </c>
      <c r="S147" s="8">
        <f t="shared" si="117"/>
        <v>2</v>
      </c>
      <c r="T147" s="8">
        <f t="shared" ref="T147:AC148" si="118">B119</f>
        <v>3</v>
      </c>
      <c r="U147" s="8">
        <f t="shared" si="118"/>
        <v>3</v>
      </c>
      <c r="V147" s="8">
        <f t="shared" si="118"/>
        <v>3</v>
      </c>
      <c r="W147" s="8">
        <f t="shared" si="118"/>
        <v>2</v>
      </c>
      <c r="X147" s="8">
        <f t="shared" si="118"/>
        <v>4</v>
      </c>
      <c r="Y147" s="8">
        <f t="shared" si="118"/>
        <v>12</v>
      </c>
      <c r="Z147" s="8">
        <f t="shared" si="118"/>
        <v>9</v>
      </c>
      <c r="AA147" s="8">
        <f t="shared" si="118"/>
        <v>7</v>
      </c>
      <c r="AB147" s="8">
        <f t="shared" si="118"/>
        <v>16</v>
      </c>
      <c r="AC147" s="8">
        <f t="shared" si="118"/>
        <v>6</v>
      </c>
      <c r="AD147" s="8">
        <f t="shared" ref="AD147:AM148" si="119">L119</f>
        <v>1</v>
      </c>
      <c r="AE147" s="8">
        <f t="shared" si="119"/>
        <v>16</v>
      </c>
      <c r="AF147" s="8">
        <f t="shared" si="119"/>
        <v>31</v>
      </c>
      <c r="AG147" s="8">
        <f t="shared" si="119"/>
        <v>5</v>
      </c>
      <c r="AH147" s="8">
        <f t="shared" si="119"/>
        <v>19</v>
      </c>
      <c r="AI147" s="8">
        <f t="shared" si="119"/>
        <v>4</v>
      </c>
      <c r="AJ147" s="8">
        <f t="shared" si="119"/>
        <v>12</v>
      </c>
      <c r="AK147" s="8">
        <f t="shared" si="119"/>
        <v>3</v>
      </c>
      <c r="AL147" s="8">
        <f t="shared" si="119"/>
        <v>3</v>
      </c>
      <c r="AM147" s="8">
        <f t="shared" si="119"/>
        <v>2</v>
      </c>
      <c r="AN147" s="8">
        <f t="shared" ref="AN147:AW148" si="120">V119</f>
        <v>1</v>
      </c>
      <c r="AO147" s="8">
        <f t="shared" si="120"/>
        <v>3</v>
      </c>
      <c r="AP147" s="8">
        <f t="shared" si="120"/>
        <v>6</v>
      </c>
      <c r="AQ147" s="8">
        <f t="shared" si="120"/>
        <v>2</v>
      </c>
      <c r="AR147" s="8">
        <f t="shared" si="120"/>
        <v>2</v>
      </c>
      <c r="AS147" s="8">
        <f t="shared" si="120"/>
        <v>0</v>
      </c>
      <c r="AT147" s="8">
        <f t="shared" si="120"/>
        <v>1</v>
      </c>
      <c r="AU147" s="8">
        <f t="shared" si="120"/>
        <v>0</v>
      </c>
      <c r="AV147" s="8">
        <f t="shared" si="120"/>
        <v>0</v>
      </c>
      <c r="AW147" s="8">
        <f t="shared" si="120"/>
        <v>0</v>
      </c>
      <c r="AX147" s="8">
        <f t="shared" ref="AX147:BA148" si="121">AF119</f>
        <v>0</v>
      </c>
      <c r="AY147" s="8">
        <f t="shared" si="121"/>
        <v>1</v>
      </c>
      <c r="AZ147" s="8">
        <f t="shared" si="121"/>
        <v>0</v>
      </c>
      <c r="BA147" s="8">
        <f t="shared" si="121"/>
        <v>1</v>
      </c>
      <c r="BC147" s="30"/>
      <c r="BN147" s="3">
        <f>SUM(B143)</f>
        <v>0</v>
      </c>
      <c r="BO147" s="3">
        <f>SUM(B147:BA147)</f>
        <v>198</v>
      </c>
    </row>
    <row r="148" spans="1:68" x14ac:dyDescent="0.25">
      <c r="A148" s="5" t="s">
        <v>54</v>
      </c>
      <c r="B148" s="8">
        <f t="shared" si="116"/>
        <v>0</v>
      </c>
      <c r="C148" s="8">
        <f t="shared" si="116"/>
        <v>0</v>
      </c>
      <c r="D148" s="8">
        <f t="shared" si="116"/>
        <v>0</v>
      </c>
      <c r="E148" s="8">
        <f t="shared" si="116"/>
        <v>0</v>
      </c>
      <c r="F148" s="8">
        <f t="shared" si="116"/>
        <v>0</v>
      </c>
      <c r="G148" s="8">
        <f t="shared" si="116"/>
        <v>0</v>
      </c>
      <c r="H148" s="8">
        <f t="shared" si="116"/>
        <v>0</v>
      </c>
      <c r="I148" s="8">
        <f t="shared" si="116"/>
        <v>0</v>
      </c>
      <c r="J148" s="8">
        <f t="shared" si="116"/>
        <v>0</v>
      </c>
      <c r="K148" s="8">
        <f t="shared" si="116"/>
        <v>0</v>
      </c>
      <c r="L148" s="8">
        <f t="shared" si="117"/>
        <v>0</v>
      </c>
      <c r="M148" s="8">
        <f t="shared" si="117"/>
        <v>0</v>
      </c>
      <c r="N148" s="8">
        <f t="shared" si="117"/>
        <v>0</v>
      </c>
      <c r="O148" s="8">
        <f t="shared" si="117"/>
        <v>0</v>
      </c>
      <c r="P148" s="8">
        <f t="shared" si="117"/>
        <v>0</v>
      </c>
      <c r="Q148" s="8">
        <f t="shared" si="117"/>
        <v>0</v>
      </c>
      <c r="R148" s="8">
        <f t="shared" si="117"/>
        <v>0</v>
      </c>
      <c r="S148" s="8">
        <f t="shared" si="117"/>
        <v>0</v>
      </c>
      <c r="T148" s="8">
        <f t="shared" si="118"/>
        <v>0</v>
      </c>
      <c r="U148" s="8">
        <f t="shared" si="118"/>
        <v>0</v>
      </c>
      <c r="V148" s="8">
        <f t="shared" si="118"/>
        <v>0</v>
      </c>
      <c r="W148" s="8">
        <f t="shared" si="118"/>
        <v>0</v>
      </c>
      <c r="X148" s="8">
        <f t="shared" si="118"/>
        <v>0</v>
      </c>
      <c r="Y148" s="8">
        <f t="shared" si="118"/>
        <v>0</v>
      </c>
      <c r="Z148" s="8">
        <f t="shared" si="118"/>
        <v>0</v>
      </c>
      <c r="AA148" s="8">
        <f t="shared" si="118"/>
        <v>0</v>
      </c>
      <c r="AB148" s="8">
        <f t="shared" si="118"/>
        <v>0</v>
      </c>
      <c r="AC148" s="8">
        <f t="shared" si="118"/>
        <v>0</v>
      </c>
      <c r="AD148" s="8">
        <f t="shared" si="119"/>
        <v>0</v>
      </c>
      <c r="AE148" s="8">
        <f t="shared" si="119"/>
        <v>0</v>
      </c>
      <c r="AF148" s="8">
        <f t="shared" si="119"/>
        <v>0</v>
      </c>
      <c r="AG148" s="8">
        <f t="shared" si="119"/>
        <v>0</v>
      </c>
      <c r="AH148" s="8">
        <f t="shared" si="119"/>
        <v>0</v>
      </c>
      <c r="AI148" s="8">
        <f t="shared" si="119"/>
        <v>0</v>
      </c>
      <c r="AJ148" s="8">
        <f t="shared" si="119"/>
        <v>0</v>
      </c>
      <c r="AK148" s="8">
        <f t="shared" si="119"/>
        <v>0</v>
      </c>
      <c r="AL148" s="8">
        <f t="shared" si="119"/>
        <v>0</v>
      </c>
      <c r="AM148" s="8">
        <f t="shared" si="119"/>
        <v>0</v>
      </c>
      <c r="AN148" s="8">
        <f t="shared" si="120"/>
        <v>0</v>
      </c>
      <c r="AO148" s="8">
        <f t="shared" si="120"/>
        <v>0</v>
      </c>
      <c r="AP148" s="8">
        <f t="shared" si="120"/>
        <v>0</v>
      </c>
      <c r="AQ148" s="8">
        <f t="shared" si="120"/>
        <v>0</v>
      </c>
      <c r="AR148" s="8">
        <f t="shared" si="120"/>
        <v>0</v>
      </c>
      <c r="AS148" s="8">
        <f t="shared" si="120"/>
        <v>0</v>
      </c>
      <c r="AT148" s="8">
        <f t="shared" si="120"/>
        <v>0</v>
      </c>
      <c r="AU148" s="8">
        <f t="shared" si="120"/>
        <v>0</v>
      </c>
      <c r="AV148" s="8">
        <f t="shared" si="120"/>
        <v>0</v>
      </c>
      <c r="AW148" s="8">
        <f t="shared" si="120"/>
        <v>0</v>
      </c>
      <c r="AX148" s="8">
        <f t="shared" si="121"/>
        <v>0</v>
      </c>
      <c r="AY148" s="8">
        <f t="shared" si="121"/>
        <v>0</v>
      </c>
      <c r="AZ148" s="8">
        <f t="shared" si="121"/>
        <v>0</v>
      </c>
      <c r="BA148" s="8">
        <f t="shared" si="121"/>
        <v>0</v>
      </c>
      <c r="BC148" s="30"/>
      <c r="BN148" s="3">
        <f>SUM(B144)</f>
        <v>0</v>
      </c>
      <c r="BO148" s="3">
        <f>SUM(B148:BA148)</f>
        <v>0</v>
      </c>
    </row>
    <row r="149" spans="1:68" x14ac:dyDescent="0.25">
      <c r="A149" s="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C149" s="30"/>
    </row>
    <row r="150" spans="1:68" ht="26.4" x14ac:dyDescent="0.25">
      <c r="A150" s="66" t="s">
        <v>180</v>
      </c>
      <c r="B150" s="67">
        <v>35</v>
      </c>
      <c r="C150" s="67" t="s">
        <v>38</v>
      </c>
      <c r="D150" s="67" t="s">
        <v>39</v>
      </c>
      <c r="E150" s="67">
        <v>38</v>
      </c>
      <c r="F150" s="67">
        <v>39</v>
      </c>
      <c r="G150" s="67" t="s">
        <v>40</v>
      </c>
      <c r="H150" s="67" t="s">
        <v>41</v>
      </c>
      <c r="I150" s="67" t="s">
        <v>42</v>
      </c>
      <c r="J150" s="67" t="s">
        <v>43</v>
      </c>
      <c r="K150" s="67" t="s">
        <v>44</v>
      </c>
      <c r="L150" s="67">
        <v>45</v>
      </c>
      <c r="M150" s="67" t="s">
        <v>45</v>
      </c>
      <c r="N150" s="67" t="s">
        <v>46</v>
      </c>
      <c r="O150" s="67" t="s">
        <v>47</v>
      </c>
      <c r="P150" s="67" t="s">
        <v>48</v>
      </c>
      <c r="Q150" s="67" t="s">
        <v>49</v>
      </c>
      <c r="R150" s="67" t="s">
        <v>50</v>
      </c>
      <c r="S150" s="67" t="s">
        <v>51</v>
      </c>
      <c r="T150" s="68">
        <v>1</v>
      </c>
      <c r="U150" s="68">
        <v>2</v>
      </c>
      <c r="V150" s="68">
        <v>3</v>
      </c>
      <c r="W150" s="68">
        <v>4</v>
      </c>
      <c r="X150" s="68">
        <v>5</v>
      </c>
      <c r="Y150" s="68">
        <v>6</v>
      </c>
      <c r="Z150" s="68">
        <v>7</v>
      </c>
      <c r="AA150" s="68">
        <v>8</v>
      </c>
      <c r="AB150" s="68">
        <v>9</v>
      </c>
      <c r="AC150" s="68">
        <v>10</v>
      </c>
      <c r="AD150" s="69">
        <v>11</v>
      </c>
      <c r="AE150" s="68">
        <v>12</v>
      </c>
      <c r="AF150" s="68">
        <v>13</v>
      </c>
      <c r="AG150" s="68">
        <v>14</v>
      </c>
      <c r="AH150" s="68">
        <v>15</v>
      </c>
      <c r="AI150" s="68">
        <v>16</v>
      </c>
      <c r="AJ150" s="68">
        <v>17</v>
      </c>
      <c r="AK150" s="68">
        <v>18</v>
      </c>
      <c r="AL150" s="68">
        <v>19</v>
      </c>
      <c r="AM150" s="68">
        <v>20</v>
      </c>
      <c r="AN150" s="68">
        <v>21</v>
      </c>
      <c r="AO150" s="68">
        <v>22</v>
      </c>
      <c r="AP150" s="68">
        <v>23</v>
      </c>
      <c r="AQ150" s="68">
        <v>24</v>
      </c>
      <c r="AR150" s="68">
        <v>25</v>
      </c>
      <c r="AS150" s="68">
        <v>26</v>
      </c>
      <c r="AT150" s="68">
        <v>27</v>
      </c>
      <c r="AU150" s="68">
        <v>28</v>
      </c>
      <c r="AV150" s="68">
        <v>29</v>
      </c>
      <c r="AW150" s="68">
        <v>30</v>
      </c>
      <c r="AX150" s="68">
        <v>31</v>
      </c>
      <c r="AY150" s="68">
        <v>32</v>
      </c>
      <c r="AZ150" s="68">
        <v>33</v>
      </c>
      <c r="BA150" s="68">
        <v>34</v>
      </c>
      <c r="BB150" s="68"/>
      <c r="BC150" s="69"/>
      <c r="BD150" s="70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 t="s">
        <v>116</v>
      </c>
      <c r="BO150" s="71" t="s">
        <v>135</v>
      </c>
      <c r="BP150" s="71"/>
    </row>
    <row r="151" spans="1:68" x14ac:dyDescent="0.25">
      <c r="A151" s="5" t="s">
        <v>53</v>
      </c>
      <c r="B151" s="8">
        <f>AJ119</f>
        <v>0</v>
      </c>
      <c r="C151" s="8">
        <f t="shared" ref="C151:D151" si="122">AK119</f>
        <v>0</v>
      </c>
      <c r="D151" s="8">
        <f t="shared" si="122"/>
        <v>0</v>
      </c>
      <c r="E151" s="8">
        <f t="shared" ref="E151:S152" si="123">AM119</f>
        <v>0</v>
      </c>
      <c r="F151" s="8">
        <f t="shared" si="123"/>
        <v>0</v>
      </c>
      <c r="G151" s="8">
        <f t="shared" si="123"/>
        <v>0</v>
      </c>
      <c r="H151" s="8">
        <f t="shared" si="123"/>
        <v>1</v>
      </c>
      <c r="I151" s="8">
        <f t="shared" si="123"/>
        <v>0</v>
      </c>
      <c r="J151" s="8">
        <f t="shared" si="123"/>
        <v>2</v>
      </c>
      <c r="K151" s="8">
        <f t="shared" si="123"/>
        <v>1</v>
      </c>
      <c r="L151" s="8">
        <f t="shared" si="123"/>
        <v>1</v>
      </c>
      <c r="M151" s="8">
        <f t="shared" si="123"/>
        <v>0</v>
      </c>
      <c r="N151" s="8">
        <f t="shared" si="123"/>
        <v>0</v>
      </c>
      <c r="O151" s="8">
        <f t="shared" si="123"/>
        <v>0</v>
      </c>
      <c r="P151" s="8">
        <f t="shared" si="123"/>
        <v>0</v>
      </c>
      <c r="Q151" s="8">
        <f t="shared" si="123"/>
        <v>1</v>
      </c>
      <c r="R151" s="8">
        <f t="shared" si="123"/>
        <v>0</v>
      </c>
      <c r="S151" s="8">
        <f t="shared" si="123"/>
        <v>0</v>
      </c>
      <c r="T151" s="8">
        <f>B123</f>
        <v>2</v>
      </c>
      <c r="U151" s="8">
        <f t="shared" ref="U151:AK151" si="124">C123</f>
        <v>3</v>
      </c>
      <c r="V151" s="8">
        <f t="shared" si="124"/>
        <v>0</v>
      </c>
      <c r="W151" s="8">
        <f t="shared" si="124"/>
        <v>1</v>
      </c>
      <c r="X151" s="8">
        <f t="shared" si="124"/>
        <v>3</v>
      </c>
      <c r="Y151" s="8">
        <f t="shared" si="124"/>
        <v>0</v>
      </c>
      <c r="Z151" s="8">
        <f t="shared" si="124"/>
        <v>0</v>
      </c>
      <c r="AA151" s="8">
        <f t="shared" si="124"/>
        <v>4</v>
      </c>
      <c r="AB151" s="8">
        <f t="shared" si="124"/>
        <v>2</v>
      </c>
      <c r="AC151" s="8">
        <f t="shared" si="124"/>
        <v>0</v>
      </c>
      <c r="AD151" s="8">
        <f t="shared" si="124"/>
        <v>0</v>
      </c>
      <c r="AE151" s="8">
        <f t="shared" si="124"/>
        <v>0</v>
      </c>
      <c r="AF151" s="8">
        <f t="shared" si="124"/>
        <v>0</v>
      </c>
      <c r="AG151" s="8">
        <f t="shared" si="124"/>
        <v>0</v>
      </c>
      <c r="AH151" s="8">
        <f t="shared" si="124"/>
        <v>0</v>
      </c>
      <c r="AI151" s="8">
        <f t="shared" si="124"/>
        <v>0</v>
      </c>
      <c r="AJ151" s="8">
        <f t="shared" si="124"/>
        <v>0</v>
      </c>
      <c r="AK151" s="8">
        <f t="shared" si="124"/>
        <v>0</v>
      </c>
      <c r="AL151" s="8">
        <f t="shared" ref="AL151:BA152" si="125">T123</f>
        <v>0</v>
      </c>
      <c r="AM151" s="8">
        <f t="shared" si="125"/>
        <v>0</v>
      </c>
      <c r="AN151" s="8">
        <f t="shared" si="125"/>
        <v>0</v>
      </c>
      <c r="AO151" s="8">
        <f t="shared" si="125"/>
        <v>0</v>
      </c>
      <c r="AP151" s="8">
        <f t="shared" si="125"/>
        <v>0</v>
      </c>
      <c r="AQ151" s="8">
        <f t="shared" si="125"/>
        <v>0</v>
      </c>
      <c r="AR151" s="8">
        <f t="shared" si="125"/>
        <v>0</v>
      </c>
      <c r="AS151" s="8">
        <f t="shared" si="125"/>
        <v>0</v>
      </c>
      <c r="AT151" s="8">
        <f t="shared" si="125"/>
        <v>0</v>
      </c>
      <c r="AU151" s="8">
        <f t="shared" si="125"/>
        <v>0</v>
      </c>
      <c r="AV151" s="8">
        <f t="shared" si="125"/>
        <v>0</v>
      </c>
      <c r="AW151" s="8">
        <f t="shared" si="125"/>
        <v>0</v>
      </c>
      <c r="AX151" s="8">
        <f t="shared" si="125"/>
        <v>0</v>
      </c>
      <c r="AY151" s="8">
        <f t="shared" si="125"/>
        <v>0</v>
      </c>
      <c r="AZ151" s="8">
        <f t="shared" si="125"/>
        <v>0</v>
      </c>
      <c r="BA151" s="8">
        <f t="shared" si="125"/>
        <v>0</v>
      </c>
      <c r="BC151" s="30"/>
    </row>
    <row r="152" spans="1:68" x14ac:dyDescent="0.25">
      <c r="A152" s="5" t="s">
        <v>54</v>
      </c>
      <c r="B152" s="8">
        <f>AJ120</f>
        <v>0</v>
      </c>
      <c r="C152" s="8">
        <f t="shared" ref="C152:D152" si="126">AK120</f>
        <v>0</v>
      </c>
      <c r="D152" s="8">
        <f t="shared" si="126"/>
        <v>0</v>
      </c>
      <c r="E152" s="8">
        <f t="shared" si="123"/>
        <v>0</v>
      </c>
      <c r="F152" s="8">
        <f t="shared" si="123"/>
        <v>0</v>
      </c>
      <c r="G152" s="8">
        <f t="shared" si="123"/>
        <v>0</v>
      </c>
      <c r="H152" s="8">
        <f t="shared" si="123"/>
        <v>0</v>
      </c>
      <c r="I152" s="8">
        <f t="shared" si="123"/>
        <v>0</v>
      </c>
      <c r="J152" s="8">
        <f t="shared" si="123"/>
        <v>0</v>
      </c>
      <c r="K152" s="8">
        <f t="shared" si="123"/>
        <v>1</v>
      </c>
      <c r="L152" s="8">
        <f t="shared" si="123"/>
        <v>0</v>
      </c>
      <c r="M152" s="8">
        <f t="shared" si="123"/>
        <v>0</v>
      </c>
      <c r="N152" s="8">
        <f t="shared" si="123"/>
        <v>0</v>
      </c>
      <c r="O152" s="8">
        <f t="shared" si="123"/>
        <v>0</v>
      </c>
      <c r="P152" s="8">
        <f t="shared" si="123"/>
        <v>0</v>
      </c>
      <c r="Q152" s="8">
        <f t="shared" si="123"/>
        <v>0</v>
      </c>
      <c r="R152" s="8">
        <f t="shared" si="123"/>
        <v>0</v>
      </c>
      <c r="S152" s="8">
        <f t="shared" si="123"/>
        <v>0</v>
      </c>
      <c r="T152" s="8">
        <f>B124</f>
        <v>0</v>
      </c>
      <c r="U152" s="8">
        <f t="shared" ref="U152:AK152" si="127">C124</f>
        <v>0</v>
      </c>
      <c r="V152" s="8">
        <f t="shared" si="127"/>
        <v>0</v>
      </c>
      <c r="W152" s="8">
        <f t="shared" si="127"/>
        <v>0</v>
      </c>
      <c r="X152" s="8">
        <f t="shared" si="127"/>
        <v>0</v>
      </c>
      <c r="Y152" s="8">
        <f t="shared" si="127"/>
        <v>0</v>
      </c>
      <c r="Z152" s="8">
        <f t="shared" si="127"/>
        <v>0</v>
      </c>
      <c r="AA152" s="8">
        <f t="shared" si="127"/>
        <v>0</v>
      </c>
      <c r="AB152" s="8">
        <f t="shared" si="127"/>
        <v>0</v>
      </c>
      <c r="AC152" s="8">
        <f t="shared" si="127"/>
        <v>0</v>
      </c>
      <c r="AD152" s="8">
        <f t="shared" si="127"/>
        <v>0</v>
      </c>
      <c r="AE152" s="8">
        <f t="shared" si="127"/>
        <v>0</v>
      </c>
      <c r="AF152" s="8">
        <f t="shared" si="127"/>
        <v>0</v>
      </c>
      <c r="AG152" s="8">
        <f t="shared" si="127"/>
        <v>0</v>
      </c>
      <c r="AH152" s="8">
        <f t="shared" si="127"/>
        <v>0</v>
      </c>
      <c r="AI152" s="8">
        <f t="shared" si="127"/>
        <v>0</v>
      </c>
      <c r="AJ152" s="8">
        <f t="shared" si="127"/>
        <v>0</v>
      </c>
      <c r="AK152" s="8">
        <f t="shared" si="127"/>
        <v>0</v>
      </c>
      <c r="AL152" s="8">
        <f t="shared" si="125"/>
        <v>0</v>
      </c>
      <c r="AM152" s="8">
        <f t="shared" si="125"/>
        <v>0</v>
      </c>
      <c r="AN152" s="8">
        <f t="shared" si="125"/>
        <v>0</v>
      </c>
      <c r="AO152" s="8">
        <f t="shared" si="125"/>
        <v>0</v>
      </c>
      <c r="AP152" s="8">
        <f t="shared" si="125"/>
        <v>0</v>
      </c>
      <c r="AQ152" s="8">
        <f t="shared" si="125"/>
        <v>0</v>
      </c>
      <c r="AR152" s="8">
        <f t="shared" si="125"/>
        <v>0</v>
      </c>
      <c r="AS152" s="8">
        <f t="shared" si="125"/>
        <v>0</v>
      </c>
      <c r="AT152" s="8">
        <f t="shared" si="125"/>
        <v>0</v>
      </c>
      <c r="AU152" s="8">
        <f t="shared" si="125"/>
        <v>0</v>
      </c>
      <c r="AV152" s="8">
        <f t="shared" si="125"/>
        <v>0</v>
      </c>
      <c r="AW152" s="8">
        <f t="shared" si="125"/>
        <v>0</v>
      </c>
      <c r="AX152" s="8">
        <f t="shared" si="125"/>
        <v>0</v>
      </c>
      <c r="AY152" s="8">
        <f t="shared" si="125"/>
        <v>0</v>
      </c>
      <c r="AZ152" s="8">
        <f t="shared" si="125"/>
        <v>0</v>
      </c>
      <c r="BA152" s="8">
        <f t="shared" si="125"/>
        <v>0</v>
      </c>
      <c r="BC152" s="30"/>
    </row>
    <row r="153" spans="1:68" x14ac:dyDescent="0.25">
      <c r="A153" s="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C153" s="30"/>
    </row>
    <row r="154" spans="1:68" ht="26.4" x14ac:dyDescent="0.25">
      <c r="A154" s="66" t="s">
        <v>181</v>
      </c>
      <c r="B154" s="67">
        <v>35</v>
      </c>
      <c r="C154" s="67" t="s">
        <v>38</v>
      </c>
      <c r="D154" s="67" t="s">
        <v>39</v>
      </c>
      <c r="E154" s="67">
        <v>38</v>
      </c>
      <c r="F154" s="67">
        <v>39</v>
      </c>
      <c r="G154" s="67" t="s">
        <v>40</v>
      </c>
      <c r="H154" s="67" t="s">
        <v>41</v>
      </c>
      <c r="I154" s="67" t="s">
        <v>42</v>
      </c>
      <c r="J154" s="67" t="s">
        <v>43</v>
      </c>
      <c r="K154" s="67" t="s">
        <v>44</v>
      </c>
      <c r="L154" s="67">
        <v>45</v>
      </c>
      <c r="M154" s="67" t="s">
        <v>45</v>
      </c>
      <c r="N154" s="67" t="s">
        <v>46</v>
      </c>
      <c r="O154" s="67" t="s">
        <v>47</v>
      </c>
      <c r="P154" s="67" t="s">
        <v>48</v>
      </c>
      <c r="Q154" s="67" t="s">
        <v>49</v>
      </c>
      <c r="R154" s="67" t="s">
        <v>50</v>
      </c>
      <c r="S154" s="67" t="s">
        <v>51</v>
      </c>
      <c r="T154" s="68">
        <v>1</v>
      </c>
      <c r="U154" s="68">
        <v>2</v>
      </c>
      <c r="V154" s="68">
        <v>3</v>
      </c>
      <c r="W154" s="68">
        <v>4</v>
      </c>
      <c r="X154" s="68">
        <v>5</v>
      </c>
      <c r="Y154" s="68">
        <v>6</v>
      </c>
      <c r="Z154" s="68">
        <v>7</v>
      </c>
      <c r="AA154" s="68">
        <v>8</v>
      </c>
      <c r="AB154" s="68">
        <v>9</v>
      </c>
      <c r="AC154" s="68">
        <v>10</v>
      </c>
      <c r="AD154" s="69">
        <v>11</v>
      </c>
      <c r="AE154" s="68">
        <v>12</v>
      </c>
      <c r="AF154" s="68">
        <v>13</v>
      </c>
      <c r="AG154" s="68">
        <v>14</v>
      </c>
      <c r="AH154" s="68">
        <v>15</v>
      </c>
      <c r="AI154" s="68">
        <v>16</v>
      </c>
      <c r="AJ154" s="68">
        <v>17</v>
      </c>
      <c r="AK154" s="68">
        <v>18</v>
      </c>
      <c r="AL154" s="68">
        <v>19</v>
      </c>
      <c r="AM154" s="68">
        <v>20</v>
      </c>
      <c r="AN154" s="68">
        <v>21</v>
      </c>
      <c r="AO154" s="68">
        <v>22</v>
      </c>
      <c r="AP154" s="68">
        <v>23</v>
      </c>
      <c r="AQ154" s="68">
        <v>24</v>
      </c>
      <c r="AR154" s="68">
        <v>25</v>
      </c>
      <c r="AS154" s="68">
        <v>26</v>
      </c>
      <c r="AT154" s="68">
        <v>27</v>
      </c>
      <c r="AU154" s="68">
        <v>28</v>
      </c>
      <c r="AV154" s="68">
        <v>29</v>
      </c>
      <c r="AW154" s="68">
        <v>30</v>
      </c>
      <c r="AX154" s="68">
        <v>31</v>
      </c>
      <c r="AY154" s="68">
        <v>32</v>
      </c>
      <c r="AZ154" s="68">
        <v>33</v>
      </c>
      <c r="BA154" s="68">
        <v>34</v>
      </c>
      <c r="BB154" s="68"/>
      <c r="BC154" s="69"/>
      <c r="BD154" s="70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 t="s">
        <v>116</v>
      </c>
      <c r="BO154" s="71" t="s">
        <v>135</v>
      </c>
      <c r="BP154" s="71"/>
    </row>
    <row r="155" spans="1:68" x14ac:dyDescent="0.25">
      <c r="A155" s="5" t="s">
        <v>53</v>
      </c>
      <c r="B155" s="8">
        <f>AJ123</f>
        <v>0</v>
      </c>
      <c r="C155" s="8">
        <f t="shared" ref="C155:J155" si="128">AK123</f>
        <v>0</v>
      </c>
      <c r="D155" s="8">
        <f t="shared" si="128"/>
        <v>0</v>
      </c>
      <c r="E155" s="8">
        <f t="shared" si="128"/>
        <v>0</v>
      </c>
      <c r="F155" s="8">
        <f t="shared" si="128"/>
        <v>0</v>
      </c>
      <c r="G155" s="8">
        <f t="shared" si="128"/>
        <v>0</v>
      </c>
      <c r="H155" s="8">
        <f t="shared" si="128"/>
        <v>0</v>
      </c>
      <c r="I155" s="8">
        <f t="shared" si="128"/>
        <v>0</v>
      </c>
      <c r="J155" s="8">
        <f t="shared" si="128"/>
        <v>0</v>
      </c>
      <c r="K155" s="8">
        <f t="shared" ref="K155:S156" si="129">AS123</f>
        <v>0</v>
      </c>
      <c r="L155" s="8">
        <f t="shared" si="129"/>
        <v>0</v>
      </c>
      <c r="M155" s="8">
        <f t="shared" si="129"/>
        <v>0</v>
      </c>
      <c r="N155" s="8">
        <f t="shared" si="129"/>
        <v>0</v>
      </c>
      <c r="O155" s="8">
        <f t="shared" si="129"/>
        <v>0</v>
      </c>
      <c r="P155" s="8">
        <f t="shared" si="129"/>
        <v>0</v>
      </c>
      <c r="Q155" s="8">
        <f t="shared" si="129"/>
        <v>0</v>
      </c>
      <c r="R155" s="8">
        <f t="shared" si="129"/>
        <v>0</v>
      </c>
      <c r="S155" s="8">
        <f t="shared" si="129"/>
        <v>0</v>
      </c>
      <c r="T155" s="8">
        <f>B127</f>
        <v>2</v>
      </c>
      <c r="U155" s="8">
        <f t="shared" ref="U155:AB155" si="130">C127</f>
        <v>3</v>
      </c>
      <c r="V155" s="8">
        <f t="shared" si="130"/>
        <v>4</v>
      </c>
      <c r="W155" s="8">
        <f t="shared" si="130"/>
        <v>2</v>
      </c>
      <c r="X155" s="8">
        <f t="shared" si="130"/>
        <v>0</v>
      </c>
      <c r="Y155" s="8">
        <f t="shared" si="130"/>
        <v>0</v>
      </c>
      <c r="Z155" s="8">
        <f t="shared" si="130"/>
        <v>5</v>
      </c>
      <c r="AA155" s="8">
        <f t="shared" si="130"/>
        <v>2</v>
      </c>
      <c r="AB155" s="8">
        <f t="shared" si="130"/>
        <v>10</v>
      </c>
      <c r="AC155" s="8">
        <f t="shared" ref="AC155:AC156" si="131">K127</f>
        <v>7</v>
      </c>
      <c r="AD155" s="8">
        <f t="shared" ref="AD155:AD156" si="132">L127</f>
        <v>11</v>
      </c>
      <c r="AE155" s="8">
        <f t="shared" ref="AE155:AE156" si="133">M127</f>
        <v>13</v>
      </c>
      <c r="AF155" s="8">
        <f t="shared" ref="AF155:AH156" si="134">N127</f>
        <v>5</v>
      </c>
      <c r="AG155" s="8">
        <f t="shared" si="134"/>
        <v>4</v>
      </c>
      <c r="AH155" s="8">
        <f t="shared" si="134"/>
        <v>8</v>
      </c>
      <c r="AI155" s="8">
        <f t="shared" ref="AI155:AI156" si="135">Q127</f>
        <v>6</v>
      </c>
      <c r="AJ155" s="8">
        <f t="shared" ref="AJ155:AJ156" si="136">R127</f>
        <v>4</v>
      </c>
      <c r="AK155" s="8">
        <f t="shared" ref="AK155:AK156" si="137">S127</f>
        <v>1</v>
      </c>
      <c r="AL155" s="8">
        <f t="shared" ref="AL155:AL156" si="138">T127</f>
        <v>4</v>
      </c>
      <c r="AM155" s="8">
        <f t="shared" ref="AM155:AM156" si="139">U127</f>
        <v>5</v>
      </c>
      <c r="AN155" s="8">
        <f t="shared" ref="AN155:AN156" si="140">V127</f>
        <v>2</v>
      </c>
      <c r="AO155" s="8">
        <f t="shared" ref="AO155:AO156" si="141">W127</f>
        <v>1</v>
      </c>
      <c r="AP155" s="8">
        <f t="shared" ref="AP155:AP156" si="142">X127</f>
        <v>2</v>
      </c>
      <c r="AQ155" s="8">
        <f t="shared" ref="AQ155:AQ156" si="143">Y127</f>
        <v>1</v>
      </c>
      <c r="AR155" s="8">
        <f t="shared" ref="AR155:AR156" si="144">Z127</f>
        <v>1</v>
      </c>
      <c r="AS155" s="8">
        <f t="shared" ref="AS155:AS156" si="145">AA127</f>
        <v>1</v>
      </c>
      <c r="AT155" s="8">
        <f t="shared" ref="AT155:AT156" si="146">AB127</f>
        <v>0</v>
      </c>
      <c r="AU155" s="8">
        <f t="shared" ref="AU155:AU156" si="147">AC127</f>
        <v>0</v>
      </c>
      <c r="AV155" s="8">
        <f t="shared" ref="AV155:AV156" si="148">AD127</f>
        <v>1</v>
      </c>
      <c r="AW155" s="8">
        <f t="shared" ref="AW155:AW156" si="149">AE127</f>
        <v>0</v>
      </c>
      <c r="AX155" s="8">
        <f t="shared" ref="AX155:AX156" si="150">AF127</f>
        <v>0</v>
      </c>
      <c r="AY155" s="8">
        <f t="shared" ref="AY155:AY156" si="151">AG127</f>
        <v>1</v>
      </c>
      <c r="AZ155" s="8">
        <f t="shared" ref="AZ155:AZ156" si="152">AH127</f>
        <v>0</v>
      </c>
      <c r="BA155" s="8">
        <f t="shared" ref="BA155:BA156" si="153">AI127</f>
        <v>1</v>
      </c>
      <c r="BC155" s="30"/>
    </row>
    <row r="156" spans="1:68" x14ac:dyDescent="0.25">
      <c r="A156" s="5" t="s">
        <v>54</v>
      </c>
      <c r="B156" s="8">
        <f>AJ124</f>
        <v>0</v>
      </c>
      <c r="C156" s="8">
        <f t="shared" ref="C156:J156" si="154">AK124</f>
        <v>0</v>
      </c>
      <c r="D156" s="8">
        <f t="shared" si="154"/>
        <v>0</v>
      </c>
      <c r="E156" s="8">
        <f t="shared" si="154"/>
        <v>0</v>
      </c>
      <c r="F156" s="8">
        <f t="shared" si="154"/>
        <v>0</v>
      </c>
      <c r="G156" s="8">
        <f t="shared" si="154"/>
        <v>0</v>
      </c>
      <c r="H156" s="8">
        <f t="shared" si="154"/>
        <v>0</v>
      </c>
      <c r="I156" s="8">
        <f t="shared" si="154"/>
        <v>0</v>
      </c>
      <c r="J156" s="8">
        <f t="shared" si="154"/>
        <v>0</v>
      </c>
      <c r="K156" s="8">
        <f t="shared" si="129"/>
        <v>0</v>
      </c>
      <c r="L156" s="8">
        <f t="shared" si="129"/>
        <v>0</v>
      </c>
      <c r="M156" s="8">
        <f t="shared" si="129"/>
        <v>0</v>
      </c>
      <c r="N156" s="8">
        <f t="shared" si="129"/>
        <v>0</v>
      </c>
      <c r="O156" s="8">
        <f t="shared" si="129"/>
        <v>0</v>
      </c>
      <c r="P156" s="8">
        <f t="shared" si="129"/>
        <v>0</v>
      </c>
      <c r="Q156" s="8">
        <f t="shared" si="129"/>
        <v>0</v>
      </c>
      <c r="R156" s="8">
        <f t="shared" si="129"/>
        <v>0</v>
      </c>
      <c r="S156" s="8">
        <f t="shared" si="129"/>
        <v>0</v>
      </c>
      <c r="T156" s="8">
        <f>B128</f>
        <v>0</v>
      </c>
      <c r="U156" s="8">
        <f t="shared" ref="U156:AB156" si="155">C128</f>
        <v>0</v>
      </c>
      <c r="V156" s="8">
        <f t="shared" si="155"/>
        <v>0</v>
      </c>
      <c r="W156" s="8">
        <f t="shared" si="155"/>
        <v>0</v>
      </c>
      <c r="X156" s="8">
        <f t="shared" si="155"/>
        <v>0</v>
      </c>
      <c r="Y156" s="8">
        <f t="shared" si="155"/>
        <v>0</v>
      </c>
      <c r="Z156" s="8">
        <f t="shared" si="155"/>
        <v>0</v>
      </c>
      <c r="AA156" s="8">
        <f t="shared" si="155"/>
        <v>2</v>
      </c>
      <c r="AB156" s="8">
        <f t="shared" si="155"/>
        <v>2</v>
      </c>
      <c r="AC156" s="8">
        <f t="shared" si="131"/>
        <v>0</v>
      </c>
      <c r="AD156" s="8">
        <f t="shared" si="132"/>
        <v>2</v>
      </c>
      <c r="AE156" s="8">
        <f t="shared" si="133"/>
        <v>1</v>
      </c>
      <c r="AF156" s="8">
        <f t="shared" si="134"/>
        <v>0</v>
      </c>
      <c r="AG156" s="8">
        <f t="shared" si="134"/>
        <v>0</v>
      </c>
      <c r="AH156" s="8">
        <f t="shared" si="134"/>
        <v>0</v>
      </c>
      <c r="AI156" s="8">
        <f t="shared" si="135"/>
        <v>0</v>
      </c>
      <c r="AJ156" s="8">
        <f t="shared" si="136"/>
        <v>0</v>
      </c>
      <c r="AK156" s="8">
        <f t="shared" si="137"/>
        <v>0</v>
      </c>
      <c r="AL156" s="8">
        <f t="shared" si="138"/>
        <v>0</v>
      </c>
      <c r="AM156" s="8">
        <f t="shared" si="139"/>
        <v>0</v>
      </c>
      <c r="AN156" s="8">
        <f t="shared" si="140"/>
        <v>0</v>
      </c>
      <c r="AO156" s="8">
        <f t="shared" si="141"/>
        <v>1</v>
      </c>
      <c r="AP156" s="8">
        <f t="shared" si="142"/>
        <v>0</v>
      </c>
      <c r="AQ156" s="8">
        <f t="shared" si="143"/>
        <v>0</v>
      </c>
      <c r="AR156" s="8">
        <f t="shared" si="144"/>
        <v>1</v>
      </c>
      <c r="AS156" s="8">
        <f t="shared" si="145"/>
        <v>0</v>
      </c>
      <c r="AT156" s="8">
        <f t="shared" si="146"/>
        <v>0</v>
      </c>
      <c r="AU156" s="8">
        <f t="shared" si="147"/>
        <v>1</v>
      </c>
      <c r="AV156" s="8">
        <f t="shared" si="148"/>
        <v>0</v>
      </c>
      <c r="AW156" s="8">
        <f t="shared" si="149"/>
        <v>0</v>
      </c>
      <c r="AX156" s="8">
        <f t="shared" si="150"/>
        <v>0</v>
      </c>
      <c r="AY156" s="8">
        <f t="shared" si="151"/>
        <v>0</v>
      </c>
      <c r="AZ156" s="8">
        <f t="shared" si="152"/>
        <v>0</v>
      </c>
      <c r="BA156" s="8">
        <f t="shared" si="153"/>
        <v>0</v>
      </c>
      <c r="BC156" s="30"/>
    </row>
    <row r="157" spans="1:68" x14ac:dyDescent="0.25">
      <c r="A157" s="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C157" s="30"/>
    </row>
    <row r="158" spans="1:68" x14ac:dyDescent="0.25">
      <c r="A158" s="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C158" s="30"/>
    </row>
    <row r="159" spans="1:68" ht="26.4" x14ac:dyDescent="0.25">
      <c r="A159" s="66" t="s">
        <v>191</v>
      </c>
      <c r="B159" s="67">
        <v>35</v>
      </c>
      <c r="C159" s="67" t="s">
        <v>38</v>
      </c>
      <c r="D159" s="67" t="s">
        <v>39</v>
      </c>
      <c r="E159" s="67">
        <v>38</v>
      </c>
      <c r="F159" s="67">
        <v>39</v>
      </c>
      <c r="G159" s="67" t="s">
        <v>40</v>
      </c>
      <c r="H159" s="67" t="s">
        <v>41</v>
      </c>
      <c r="I159" s="67" t="s">
        <v>42</v>
      </c>
      <c r="J159" s="67" t="s">
        <v>43</v>
      </c>
      <c r="K159" s="67" t="s">
        <v>44</v>
      </c>
      <c r="L159" s="67">
        <v>45</v>
      </c>
      <c r="M159" s="67" t="s">
        <v>45</v>
      </c>
      <c r="N159" s="67" t="s">
        <v>46</v>
      </c>
      <c r="O159" s="67" t="s">
        <v>47</v>
      </c>
      <c r="P159" s="67" t="s">
        <v>48</v>
      </c>
      <c r="Q159" s="67" t="s">
        <v>49</v>
      </c>
      <c r="R159" s="67" t="s">
        <v>50</v>
      </c>
      <c r="S159" s="67" t="s">
        <v>51</v>
      </c>
      <c r="T159" s="68">
        <v>53</v>
      </c>
      <c r="U159" s="68">
        <v>1</v>
      </c>
      <c r="V159" s="68">
        <v>2</v>
      </c>
      <c r="W159" s="68">
        <v>3</v>
      </c>
      <c r="X159" s="68">
        <v>4</v>
      </c>
      <c r="Y159" s="68">
        <v>5</v>
      </c>
      <c r="Z159" s="68">
        <v>6</v>
      </c>
      <c r="AA159" s="68">
        <v>7</v>
      </c>
      <c r="AB159" s="68">
        <v>8</v>
      </c>
      <c r="AC159" s="68">
        <v>9</v>
      </c>
      <c r="AD159" s="68">
        <v>10</v>
      </c>
      <c r="AE159" s="68">
        <v>11</v>
      </c>
      <c r="AF159" s="68">
        <v>12</v>
      </c>
      <c r="AG159" s="68">
        <v>13</v>
      </c>
      <c r="AH159" s="68">
        <v>14</v>
      </c>
      <c r="AI159" s="68">
        <v>15</v>
      </c>
      <c r="AJ159" s="68">
        <v>16</v>
      </c>
      <c r="AK159" s="68">
        <v>17</v>
      </c>
      <c r="AL159" s="68">
        <v>18</v>
      </c>
      <c r="AM159" s="68">
        <v>19</v>
      </c>
      <c r="AN159" s="68">
        <v>20</v>
      </c>
      <c r="AO159" s="68">
        <v>21</v>
      </c>
      <c r="AP159" s="68">
        <v>22</v>
      </c>
      <c r="AQ159" s="68">
        <v>23</v>
      </c>
      <c r="AR159" s="68">
        <v>24</v>
      </c>
      <c r="AS159" s="68">
        <v>25</v>
      </c>
      <c r="AT159" s="68">
        <v>26</v>
      </c>
      <c r="AU159" s="68">
        <v>27</v>
      </c>
      <c r="AV159" s="68">
        <v>28</v>
      </c>
      <c r="AW159" s="68">
        <v>29</v>
      </c>
      <c r="AX159" s="68">
        <v>30</v>
      </c>
      <c r="AY159" s="68">
        <v>31</v>
      </c>
      <c r="AZ159" s="68">
        <v>32</v>
      </c>
      <c r="BA159" s="68">
        <v>33</v>
      </c>
      <c r="BB159" s="68">
        <v>34</v>
      </c>
      <c r="BC159" s="30"/>
    </row>
    <row r="160" spans="1:68" x14ac:dyDescent="0.25">
      <c r="A160" s="5" t="s">
        <v>53</v>
      </c>
      <c r="B160" s="8">
        <f>AJ127</f>
        <v>1</v>
      </c>
      <c r="C160" s="8">
        <f t="shared" ref="C160:O160" si="156">AK127</f>
        <v>0</v>
      </c>
      <c r="D160" s="8">
        <f t="shared" si="156"/>
        <v>0</v>
      </c>
      <c r="E160" s="8">
        <f t="shared" si="156"/>
        <v>0</v>
      </c>
      <c r="F160" s="8">
        <f t="shared" si="156"/>
        <v>0</v>
      </c>
      <c r="G160" s="8">
        <f t="shared" si="156"/>
        <v>1</v>
      </c>
      <c r="H160" s="8">
        <f t="shared" si="156"/>
        <v>0</v>
      </c>
      <c r="I160" s="8">
        <f t="shared" si="156"/>
        <v>1</v>
      </c>
      <c r="J160" s="8">
        <f t="shared" si="156"/>
        <v>0</v>
      </c>
      <c r="K160" s="8">
        <f t="shared" si="156"/>
        <v>0</v>
      </c>
      <c r="L160" s="8">
        <f t="shared" si="156"/>
        <v>0</v>
      </c>
      <c r="M160" s="8">
        <f t="shared" si="156"/>
        <v>2</v>
      </c>
      <c r="N160" s="8">
        <f t="shared" si="156"/>
        <v>1</v>
      </c>
      <c r="O160" s="8">
        <f t="shared" si="156"/>
        <v>1</v>
      </c>
      <c r="P160" s="8">
        <f t="shared" ref="P160:P161" si="157">AX127</f>
        <v>1</v>
      </c>
      <c r="Q160" s="8">
        <f t="shared" ref="Q160:Q161" si="158">AY127</f>
        <v>3</v>
      </c>
      <c r="R160" s="8">
        <f t="shared" ref="R160:R161" si="159">AZ127</f>
        <v>6</v>
      </c>
      <c r="S160" s="8">
        <f t="shared" ref="S160:T161" si="160">BA127</f>
        <v>3</v>
      </c>
      <c r="T160" s="8">
        <f t="shared" si="160"/>
        <v>4</v>
      </c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C160" s="30"/>
    </row>
    <row r="161" spans="1:56" x14ac:dyDescent="0.25">
      <c r="A161" s="5" t="s">
        <v>54</v>
      </c>
      <c r="B161" s="8">
        <f>AJ128</f>
        <v>0</v>
      </c>
      <c r="C161" s="8">
        <f t="shared" ref="C161:O161" si="161">AK128</f>
        <v>0</v>
      </c>
      <c r="D161" s="8">
        <f t="shared" si="161"/>
        <v>0</v>
      </c>
      <c r="E161" s="8">
        <f t="shared" si="161"/>
        <v>0</v>
      </c>
      <c r="F161" s="8">
        <f t="shared" si="161"/>
        <v>0</v>
      </c>
      <c r="G161" s="8">
        <f t="shared" si="161"/>
        <v>0</v>
      </c>
      <c r="H161" s="8">
        <f t="shared" si="161"/>
        <v>0</v>
      </c>
      <c r="I161" s="8">
        <f t="shared" si="161"/>
        <v>0</v>
      </c>
      <c r="J161" s="8">
        <f t="shared" si="161"/>
        <v>0</v>
      </c>
      <c r="K161" s="8">
        <f t="shared" si="161"/>
        <v>0</v>
      </c>
      <c r="L161" s="8">
        <f t="shared" si="161"/>
        <v>0</v>
      </c>
      <c r="M161" s="8">
        <f t="shared" si="161"/>
        <v>0</v>
      </c>
      <c r="N161" s="8">
        <f t="shared" si="161"/>
        <v>0</v>
      </c>
      <c r="O161" s="8">
        <f t="shared" si="161"/>
        <v>0</v>
      </c>
      <c r="P161" s="8">
        <f t="shared" si="157"/>
        <v>0</v>
      </c>
      <c r="Q161" s="8">
        <f t="shared" si="158"/>
        <v>0</v>
      </c>
      <c r="R161" s="8">
        <f t="shared" si="159"/>
        <v>0</v>
      </c>
      <c r="S161" s="8">
        <f t="shared" si="160"/>
        <v>3</v>
      </c>
      <c r="T161" s="8">
        <f t="shared" si="160"/>
        <v>3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C161" s="30"/>
    </row>
    <row r="162" spans="1:56" x14ac:dyDescent="0.25">
      <c r="A162" s="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C162" s="30"/>
    </row>
    <row r="163" spans="1:56" x14ac:dyDescent="0.25">
      <c r="A163" s="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C163" s="30"/>
    </row>
    <row r="164" spans="1:56" x14ac:dyDescent="0.25">
      <c r="A164" s="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C164" s="30"/>
    </row>
    <row r="165" spans="1:56" x14ac:dyDescent="0.25">
      <c r="A165" s="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C165" s="30"/>
    </row>
    <row r="167" spans="1:56" x14ac:dyDescent="0.25">
      <c r="A167" s="9" t="s">
        <v>57</v>
      </c>
    </row>
    <row r="168" spans="1:56" x14ac:dyDescent="0.25">
      <c r="A168" s="8">
        <v>2017</v>
      </c>
      <c r="B168" s="4" t="s">
        <v>7</v>
      </c>
      <c r="C168" s="4" t="s">
        <v>8</v>
      </c>
      <c r="D168" s="4" t="s">
        <v>9</v>
      </c>
      <c r="E168" s="4" t="s">
        <v>10</v>
      </c>
      <c r="F168" s="4" t="s">
        <v>11</v>
      </c>
      <c r="G168" s="4" t="s">
        <v>12</v>
      </c>
      <c r="H168" s="4" t="s">
        <v>13</v>
      </c>
      <c r="I168" s="4" t="s">
        <v>14</v>
      </c>
      <c r="J168" s="4" t="s">
        <v>15</v>
      </c>
      <c r="K168" s="4" t="s">
        <v>16</v>
      </c>
      <c r="L168" s="4" t="s">
        <v>17</v>
      </c>
      <c r="M168" s="4" t="s">
        <v>18</v>
      </c>
      <c r="N168" s="4" t="s">
        <v>19</v>
      </c>
      <c r="O168" s="4" t="s">
        <v>20</v>
      </c>
      <c r="P168" s="4" t="s">
        <v>21</v>
      </c>
      <c r="Q168" s="4" t="s">
        <v>22</v>
      </c>
      <c r="R168" s="4" t="s">
        <v>23</v>
      </c>
      <c r="S168" s="4" t="s">
        <v>24</v>
      </c>
      <c r="T168" s="4" t="s">
        <v>25</v>
      </c>
      <c r="U168" s="4" t="s">
        <v>26</v>
      </c>
      <c r="V168" s="4" t="s">
        <v>27</v>
      </c>
      <c r="W168" s="4" t="s">
        <v>28</v>
      </c>
      <c r="X168" s="4" t="s">
        <v>29</v>
      </c>
      <c r="Y168" s="4" t="s">
        <v>30</v>
      </c>
      <c r="Z168" s="4" t="s">
        <v>31</v>
      </c>
      <c r="AA168" s="4" t="s">
        <v>32</v>
      </c>
      <c r="AB168" s="4">
        <v>27</v>
      </c>
      <c r="AC168" s="4" t="s">
        <v>33</v>
      </c>
      <c r="AD168" s="4" t="s">
        <v>34</v>
      </c>
      <c r="AE168" s="4">
        <v>30</v>
      </c>
      <c r="AF168" s="4">
        <v>31</v>
      </c>
      <c r="AG168" s="4" t="s">
        <v>35</v>
      </c>
      <c r="AH168" s="4" t="s">
        <v>36</v>
      </c>
      <c r="AI168" s="4" t="s">
        <v>37</v>
      </c>
      <c r="AJ168" s="4">
        <v>35</v>
      </c>
      <c r="AK168" s="4" t="s">
        <v>38</v>
      </c>
      <c r="AL168" s="4" t="s">
        <v>39</v>
      </c>
      <c r="AM168" s="4">
        <v>38</v>
      </c>
      <c r="AN168" s="4">
        <v>39</v>
      </c>
      <c r="AO168" s="4" t="s">
        <v>40</v>
      </c>
      <c r="AP168" s="4" t="s">
        <v>41</v>
      </c>
      <c r="AQ168" s="4" t="s">
        <v>42</v>
      </c>
      <c r="AR168" s="4" t="s">
        <v>43</v>
      </c>
      <c r="AS168" s="4" t="s">
        <v>44</v>
      </c>
      <c r="AT168" s="4">
        <v>45</v>
      </c>
      <c r="AU168" s="4" t="s">
        <v>45</v>
      </c>
      <c r="AV168" s="4" t="s">
        <v>46</v>
      </c>
      <c r="AW168" s="4" t="s">
        <v>47</v>
      </c>
      <c r="AX168" s="4" t="s">
        <v>48</v>
      </c>
      <c r="AY168" s="4" t="s">
        <v>49</v>
      </c>
      <c r="AZ168" s="4" t="s">
        <v>50</v>
      </c>
      <c r="BA168" s="4" t="s">
        <v>51</v>
      </c>
      <c r="BB168" s="4"/>
      <c r="BC168" s="4" t="s">
        <v>52</v>
      </c>
    </row>
    <row r="169" spans="1:56" x14ac:dyDescent="0.25">
      <c r="A169" s="5" t="s">
        <v>53</v>
      </c>
      <c r="B169" s="8">
        <v>0</v>
      </c>
      <c r="C169" s="8">
        <v>0</v>
      </c>
      <c r="D169" s="1">
        <v>3</v>
      </c>
      <c r="E169" s="3">
        <v>0</v>
      </c>
      <c r="F169" s="3">
        <v>0</v>
      </c>
      <c r="G169" s="1">
        <v>4</v>
      </c>
      <c r="H169" s="3">
        <v>0</v>
      </c>
      <c r="I169" s="1">
        <v>2</v>
      </c>
      <c r="J169" s="1">
        <v>2</v>
      </c>
      <c r="K169" s="1">
        <v>3</v>
      </c>
      <c r="L169" s="1">
        <v>1</v>
      </c>
      <c r="M169" s="1">
        <v>10</v>
      </c>
      <c r="N169" s="1">
        <v>2</v>
      </c>
      <c r="O169" s="1">
        <v>6</v>
      </c>
      <c r="P169" s="1">
        <v>6</v>
      </c>
      <c r="Q169" s="1">
        <v>7</v>
      </c>
      <c r="R169" s="1">
        <v>6</v>
      </c>
      <c r="S169" s="3">
        <v>0</v>
      </c>
      <c r="T169" s="1">
        <v>5</v>
      </c>
      <c r="U169" s="1">
        <v>4</v>
      </c>
      <c r="V169" s="1">
        <v>1</v>
      </c>
      <c r="W169" s="1">
        <v>1</v>
      </c>
      <c r="X169" s="1">
        <v>1</v>
      </c>
      <c r="Y169" s="1">
        <v>1</v>
      </c>
      <c r="Z169" s="1">
        <v>5</v>
      </c>
      <c r="AA169" s="3">
        <v>0</v>
      </c>
      <c r="AB169" s="3">
        <v>0</v>
      </c>
      <c r="AC169" s="1">
        <v>1</v>
      </c>
      <c r="AD169" s="1">
        <v>1</v>
      </c>
      <c r="AE169" s="3">
        <v>0</v>
      </c>
      <c r="AF169" s="3">
        <v>0</v>
      </c>
      <c r="AG169" s="1">
        <v>2</v>
      </c>
      <c r="AH169" s="1">
        <v>1</v>
      </c>
      <c r="AI169" s="1">
        <v>2</v>
      </c>
      <c r="AJ169" s="1">
        <v>1</v>
      </c>
      <c r="AK169" s="1">
        <v>1</v>
      </c>
      <c r="AL169" s="1">
        <v>2</v>
      </c>
      <c r="AM169" s="3">
        <v>0</v>
      </c>
      <c r="AN169" s="3">
        <v>0</v>
      </c>
      <c r="AO169" s="3">
        <v>1</v>
      </c>
      <c r="AP169" s="1">
        <v>2</v>
      </c>
      <c r="AQ169" s="3">
        <v>0</v>
      </c>
      <c r="AR169" s="3">
        <v>0</v>
      </c>
      <c r="AS169" s="1">
        <v>2</v>
      </c>
      <c r="AT169" s="3">
        <v>0</v>
      </c>
      <c r="AU169" s="3">
        <v>0</v>
      </c>
      <c r="AV169" s="3">
        <v>0</v>
      </c>
      <c r="AW169" s="3">
        <v>0</v>
      </c>
      <c r="AX169" s="3">
        <v>1</v>
      </c>
      <c r="AY169" s="3">
        <v>0</v>
      </c>
      <c r="AZ169" s="1">
        <v>3</v>
      </c>
      <c r="BA169" s="1">
        <v>1</v>
      </c>
      <c r="BB169" s="1"/>
      <c r="BC169" s="30">
        <f>SUM(B169:BA169)</f>
        <v>91</v>
      </c>
    </row>
    <row r="170" spans="1:56" x14ac:dyDescent="0.25">
      <c r="A170" s="5" t="s">
        <v>54</v>
      </c>
      <c r="B170" s="8">
        <v>0</v>
      </c>
      <c r="C170" s="8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2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1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2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C170" s="30">
        <f>SUM(B170:BA170)</f>
        <v>5</v>
      </c>
    </row>
    <row r="171" spans="1:56" x14ac:dyDescent="0.25">
      <c r="BC171" s="30">
        <f>SUM(B171:BA171)</f>
        <v>0</v>
      </c>
    </row>
    <row r="172" spans="1:56" x14ac:dyDescent="0.25">
      <c r="A172" s="8">
        <v>2018</v>
      </c>
      <c r="B172" s="4" t="s">
        <v>7</v>
      </c>
      <c r="C172" s="4" t="s">
        <v>8</v>
      </c>
      <c r="D172" s="4" t="s">
        <v>9</v>
      </c>
      <c r="E172" s="4" t="s">
        <v>10</v>
      </c>
      <c r="F172" s="4" t="s">
        <v>11</v>
      </c>
      <c r="G172" s="4" t="s">
        <v>12</v>
      </c>
      <c r="H172" s="4" t="s">
        <v>13</v>
      </c>
      <c r="I172" s="4" t="s">
        <v>14</v>
      </c>
      <c r="J172" s="4" t="s">
        <v>15</v>
      </c>
      <c r="K172" s="4" t="s">
        <v>16</v>
      </c>
      <c r="L172" s="4" t="s">
        <v>17</v>
      </c>
      <c r="M172" s="4" t="s">
        <v>18</v>
      </c>
      <c r="N172" s="4" t="s">
        <v>19</v>
      </c>
      <c r="O172" s="4" t="s">
        <v>20</v>
      </c>
      <c r="P172" s="4" t="s">
        <v>21</v>
      </c>
      <c r="Q172" s="4" t="s">
        <v>22</v>
      </c>
      <c r="R172" s="4" t="s">
        <v>23</v>
      </c>
      <c r="S172" s="4" t="s">
        <v>24</v>
      </c>
      <c r="T172" s="4" t="s">
        <v>25</v>
      </c>
      <c r="U172" s="4" t="s">
        <v>26</v>
      </c>
      <c r="V172" s="4" t="s">
        <v>27</v>
      </c>
      <c r="W172" s="4" t="s">
        <v>28</v>
      </c>
      <c r="X172" s="4" t="s">
        <v>29</v>
      </c>
      <c r="Y172" s="4" t="s">
        <v>30</v>
      </c>
      <c r="Z172" s="4" t="s">
        <v>31</v>
      </c>
      <c r="AA172" s="4" t="s">
        <v>32</v>
      </c>
      <c r="AB172" s="4">
        <v>27</v>
      </c>
      <c r="AC172" s="4" t="s">
        <v>33</v>
      </c>
      <c r="AD172" s="4" t="s">
        <v>34</v>
      </c>
      <c r="AE172" s="4">
        <v>30</v>
      </c>
      <c r="AF172" s="4">
        <v>31</v>
      </c>
      <c r="AG172" s="4" t="s">
        <v>35</v>
      </c>
      <c r="AH172" s="4" t="s">
        <v>36</v>
      </c>
      <c r="AI172" s="4" t="s">
        <v>37</v>
      </c>
      <c r="AJ172" s="4">
        <v>35</v>
      </c>
      <c r="AK172" s="4" t="s">
        <v>38</v>
      </c>
      <c r="AL172" s="4" t="s">
        <v>39</v>
      </c>
      <c r="AM172" s="4">
        <v>38</v>
      </c>
      <c r="AN172" s="4">
        <v>39</v>
      </c>
      <c r="AO172" s="4" t="s">
        <v>40</v>
      </c>
      <c r="AP172" s="4" t="s">
        <v>41</v>
      </c>
      <c r="AQ172" s="4" t="s">
        <v>42</v>
      </c>
      <c r="AR172" s="4" t="s">
        <v>43</v>
      </c>
      <c r="AS172" s="4" t="s">
        <v>44</v>
      </c>
      <c r="AT172" s="4">
        <v>45</v>
      </c>
      <c r="AU172" s="4" t="s">
        <v>45</v>
      </c>
      <c r="AV172" s="4" t="s">
        <v>46</v>
      </c>
      <c r="AW172" s="4" t="s">
        <v>47</v>
      </c>
      <c r="AX172" s="4" t="s">
        <v>48</v>
      </c>
      <c r="AY172" s="4" t="s">
        <v>49</v>
      </c>
      <c r="AZ172" s="4" t="s">
        <v>50</v>
      </c>
      <c r="BA172" s="4" t="s">
        <v>51</v>
      </c>
      <c r="BB172" s="4"/>
      <c r="BC172" s="4" t="s">
        <v>52</v>
      </c>
    </row>
    <row r="173" spans="1:56" x14ac:dyDescent="0.25">
      <c r="A173" s="5" t="s">
        <v>53</v>
      </c>
      <c r="B173" s="8">
        <v>5</v>
      </c>
      <c r="C173" s="4">
        <v>0</v>
      </c>
      <c r="D173" s="1">
        <v>1</v>
      </c>
      <c r="E173" s="1">
        <v>2</v>
      </c>
      <c r="F173" s="1">
        <v>8</v>
      </c>
      <c r="G173" s="1">
        <v>3</v>
      </c>
      <c r="H173" s="1">
        <v>1</v>
      </c>
      <c r="I173" s="1">
        <v>3</v>
      </c>
      <c r="J173" s="1">
        <v>5</v>
      </c>
      <c r="K173" s="1">
        <v>7</v>
      </c>
      <c r="L173" s="1">
        <v>2</v>
      </c>
      <c r="M173" s="1">
        <v>4</v>
      </c>
      <c r="N173" s="1">
        <v>1</v>
      </c>
      <c r="O173" s="1">
        <v>6</v>
      </c>
      <c r="P173" s="1">
        <v>9</v>
      </c>
      <c r="Q173" s="1">
        <v>7</v>
      </c>
      <c r="R173" s="1">
        <v>12</v>
      </c>
      <c r="S173" s="1">
        <v>9</v>
      </c>
      <c r="T173" s="1">
        <v>3</v>
      </c>
      <c r="U173" s="1">
        <v>6</v>
      </c>
      <c r="V173" s="4">
        <v>3</v>
      </c>
      <c r="W173" s="4">
        <v>1</v>
      </c>
      <c r="X173" s="4">
        <v>0</v>
      </c>
      <c r="Y173" s="4">
        <v>0</v>
      </c>
      <c r="Z173" s="4">
        <v>1</v>
      </c>
      <c r="AA173" s="4">
        <v>1</v>
      </c>
      <c r="AB173" s="4">
        <v>1</v>
      </c>
      <c r="AC173" s="4">
        <v>1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3</v>
      </c>
      <c r="AM173" s="4">
        <v>0</v>
      </c>
      <c r="AN173" s="4">
        <v>0</v>
      </c>
      <c r="AO173" s="4">
        <v>0</v>
      </c>
      <c r="AP173" s="4">
        <v>1</v>
      </c>
      <c r="AQ173" s="4">
        <v>3</v>
      </c>
      <c r="AR173" s="4">
        <v>0</v>
      </c>
      <c r="AS173" s="4">
        <v>0</v>
      </c>
      <c r="AT173" s="4">
        <v>6</v>
      </c>
      <c r="AU173" s="4">
        <v>0</v>
      </c>
      <c r="AV173" s="4">
        <v>0</v>
      </c>
      <c r="AW173" s="4">
        <v>1</v>
      </c>
      <c r="AX173" s="4">
        <v>0</v>
      </c>
      <c r="AY173" s="4">
        <v>2</v>
      </c>
      <c r="AZ173" s="4">
        <v>1</v>
      </c>
      <c r="BA173" s="4">
        <v>2</v>
      </c>
      <c r="BB173" s="4"/>
      <c r="BC173" s="30">
        <f>SUM(B173:BA173)</f>
        <v>121</v>
      </c>
      <c r="BD173" s="8">
        <f>SUM(B173:BA173)</f>
        <v>121</v>
      </c>
    </row>
    <row r="174" spans="1:56" x14ac:dyDescent="0.25">
      <c r="A174" s="5" t="s">
        <v>54</v>
      </c>
      <c r="B174" s="8">
        <v>0</v>
      </c>
      <c r="C174" s="8">
        <v>0</v>
      </c>
      <c r="D174" s="3">
        <v>0</v>
      </c>
      <c r="E174" s="3">
        <v>0</v>
      </c>
      <c r="F174" s="3">
        <v>1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2</v>
      </c>
      <c r="N174" s="3">
        <v>0</v>
      </c>
      <c r="O174" s="3">
        <v>0</v>
      </c>
      <c r="P174" s="3">
        <v>0</v>
      </c>
      <c r="Q174" s="3">
        <v>1</v>
      </c>
      <c r="R174" s="3">
        <v>3</v>
      </c>
      <c r="S174" s="3">
        <v>1</v>
      </c>
      <c r="T174" s="3">
        <v>1</v>
      </c>
      <c r="U174" s="3">
        <v>2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C174" s="30">
        <f>SUM(B174:BA174)</f>
        <v>11</v>
      </c>
      <c r="BD174" s="8">
        <f>SUM(B174:BA174)</f>
        <v>11</v>
      </c>
    </row>
    <row r="175" spans="1:56" x14ac:dyDescent="0.25">
      <c r="BC175" s="30"/>
    </row>
    <row r="176" spans="1:56" x14ac:dyDescent="0.25">
      <c r="BC176" s="30"/>
    </row>
    <row r="177" spans="1:296" x14ac:dyDescent="0.25">
      <c r="A177" s="8">
        <v>2019</v>
      </c>
      <c r="B177" s="4" t="s">
        <v>7</v>
      </c>
      <c r="C177" s="4" t="s">
        <v>8</v>
      </c>
      <c r="D177" s="4" t="s">
        <v>9</v>
      </c>
      <c r="E177" s="4" t="s">
        <v>10</v>
      </c>
      <c r="F177" s="4" t="s">
        <v>11</v>
      </c>
      <c r="G177" s="4" t="s">
        <v>12</v>
      </c>
      <c r="H177" s="4" t="s">
        <v>13</v>
      </c>
      <c r="I177" s="4" t="s">
        <v>14</v>
      </c>
      <c r="J177" s="4" t="s">
        <v>15</v>
      </c>
      <c r="K177" s="4" t="s">
        <v>16</v>
      </c>
      <c r="L177" s="4" t="s">
        <v>17</v>
      </c>
      <c r="M177" s="4" t="s">
        <v>18</v>
      </c>
      <c r="N177" s="4" t="s">
        <v>19</v>
      </c>
      <c r="O177" s="4" t="s">
        <v>20</v>
      </c>
      <c r="P177" s="4" t="s">
        <v>21</v>
      </c>
      <c r="Q177" s="4" t="s">
        <v>22</v>
      </c>
      <c r="R177" s="4" t="s">
        <v>23</v>
      </c>
      <c r="S177" s="4" t="s">
        <v>24</v>
      </c>
      <c r="T177" s="4" t="s">
        <v>25</v>
      </c>
      <c r="U177" s="4" t="s">
        <v>26</v>
      </c>
      <c r="V177" s="4" t="s">
        <v>27</v>
      </c>
      <c r="W177" s="4" t="s">
        <v>28</v>
      </c>
      <c r="X177" s="4" t="s">
        <v>29</v>
      </c>
      <c r="Y177" s="4" t="s">
        <v>30</v>
      </c>
      <c r="Z177" s="4" t="s">
        <v>31</v>
      </c>
      <c r="AA177" s="4" t="s">
        <v>32</v>
      </c>
      <c r="AB177" s="4">
        <v>27</v>
      </c>
      <c r="AC177" s="4" t="s">
        <v>33</v>
      </c>
      <c r="AD177" s="4" t="s">
        <v>34</v>
      </c>
      <c r="AE177" s="4">
        <v>30</v>
      </c>
      <c r="AF177" s="4">
        <v>31</v>
      </c>
      <c r="AG177" s="4" t="s">
        <v>35</v>
      </c>
      <c r="AH177" s="4" t="s">
        <v>36</v>
      </c>
      <c r="AI177" s="4" t="s">
        <v>37</v>
      </c>
      <c r="AJ177" s="4">
        <v>35</v>
      </c>
      <c r="AK177" s="4" t="s">
        <v>38</v>
      </c>
      <c r="AL177" s="4" t="s">
        <v>39</v>
      </c>
      <c r="AM177" s="4">
        <v>38</v>
      </c>
      <c r="AN177" s="4">
        <v>39</v>
      </c>
      <c r="AO177" s="4" t="s">
        <v>40</v>
      </c>
      <c r="AP177" s="4" t="s">
        <v>41</v>
      </c>
      <c r="AQ177" s="4" t="s">
        <v>42</v>
      </c>
      <c r="AR177" s="4" t="s">
        <v>43</v>
      </c>
      <c r="AS177" s="4" t="s">
        <v>44</v>
      </c>
      <c r="AT177" s="4">
        <v>45</v>
      </c>
      <c r="AU177" s="4" t="s">
        <v>45</v>
      </c>
      <c r="AV177" s="4" t="s">
        <v>46</v>
      </c>
      <c r="AW177" s="4" t="s">
        <v>47</v>
      </c>
      <c r="AX177" s="4" t="s">
        <v>48</v>
      </c>
      <c r="AY177" s="4" t="s">
        <v>49</v>
      </c>
      <c r="AZ177" s="4" t="s">
        <v>50</v>
      </c>
      <c r="BA177" s="4" t="s">
        <v>51</v>
      </c>
      <c r="BB177" s="4"/>
      <c r="BC177" s="4" t="s">
        <v>52</v>
      </c>
    </row>
    <row r="178" spans="1:296" x14ac:dyDescent="0.25">
      <c r="A178" s="5" t="s">
        <v>53</v>
      </c>
      <c r="B178" s="8">
        <v>2</v>
      </c>
      <c r="C178" s="8">
        <v>0</v>
      </c>
      <c r="D178" s="3">
        <v>1</v>
      </c>
      <c r="E178" s="3">
        <v>0</v>
      </c>
      <c r="F178" s="3">
        <v>0</v>
      </c>
      <c r="G178" s="3">
        <v>1</v>
      </c>
      <c r="H178" s="3">
        <v>0</v>
      </c>
      <c r="I178" s="3">
        <v>0</v>
      </c>
      <c r="J178" s="3">
        <v>3</v>
      </c>
      <c r="K178" s="3">
        <v>3</v>
      </c>
      <c r="L178" s="3">
        <v>0</v>
      </c>
      <c r="M178" s="3">
        <v>2</v>
      </c>
      <c r="N178" s="3">
        <v>0</v>
      </c>
      <c r="O178" s="3">
        <v>1</v>
      </c>
      <c r="P178" s="3">
        <v>1</v>
      </c>
      <c r="Q178" s="3">
        <v>0</v>
      </c>
      <c r="R178" s="3">
        <v>1</v>
      </c>
      <c r="S178" s="3">
        <v>0</v>
      </c>
      <c r="T178" s="3">
        <v>0</v>
      </c>
      <c r="U178" s="3">
        <v>0</v>
      </c>
      <c r="V178" s="3">
        <v>2</v>
      </c>
      <c r="W178" s="3">
        <v>4</v>
      </c>
      <c r="X178" s="3">
        <v>1</v>
      </c>
      <c r="Y178" s="3">
        <v>0</v>
      </c>
      <c r="Z178" s="3">
        <v>0</v>
      </c>
      <c r="AA178" s="3">
        <v>0</v>
      </c>
      <c r="AB178" s="3">
        <v>1</v>
      </c>
      <c r="AC178" s="3">
        <v>1</v>
      </c>
      <c r="AD178" s="3">
        <v>0</v>
      </c>
      <c r="AE178" s="3">
        <v>2</v>
      </c>
      <c r="AF178" s="3">
        <v>0</v>
      </c>
      <c r="AG178" s="3">
        <v>2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1</v>
      </c>
      <c r="AR178" s="3">
        <v>0</v>
      </c>
      <c r="AS178" s="3">
        <v>3</v>
      </c>
      <c r="AT178" s="3">
        <v>0</v>
      </c>
      <c r="AU178" s="3">
        <v>1</v>
      </c>
      <c r="AV178" s="3">
        <v>0</v>
      </c>
      <c r="AW178" s="3">
        <v>0</v>
      </c>
      <c r="AX178" s="3">
        <v>1</v>
      </c>
      <c r="AY178" s="3">
        <v>0</v>
      </c>
      <c r="AZ178" s="3">
        <v>1</v>
      </c>
      <c r="BA178" s="3">
        <v>6</v>
      </c>
      <c r="BC178" s="30">
        <f>SUM(B178:BA178)</f>
        <v>41</v>
      </c>
      <c r="BD178" s="8">
        <f>BC178</f>
        <v>41</v>
      </c>
    </row>
    <row r="179" spans="1:296" x14ac:dyDescent="0.25">
      <c r="A179" s="5" t="s">
        <v>54</v>
      </c>
      <c r="B179" s="8">
        <v>0</v>
      </c>
      <c r="C179" s="8">
        <v>0</v>
      </c>
      <c r="D179" s="3">
        <v>0</v>
      </c>
      <c r="E179" s="3">
        <v>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C179" s="30">
        <f>SUM(B179:BA179)</f>
        <v>1</v>
      </c>
      <c r="BD179" s="8">
        <f>BC179</f>
        <v>1</v>
      </c>
    </row>
    <row r="180" spans="1:296" x14ac:dyDescent="0.25">
      <c r="A180" s="5"/>
      <c r="BC180" s="30"/>
      <c r="BD180" s="30"/>
    </row>
    <row r="181" spans="1:296" ht="26.4" x14ac:dyDescent="0.25">
      <c r="A181" s="8">
        <v>2020</v>
      </c>
      <c r="B181" s="4" t="s">
        <v>7</v>
      </c>
      <c r="C181" s="4" t="s">
        <v>8</v>
      </c>
      <c r="D181" s="4" t="s">
        <v>9</v>
      </c>
      <c r="E181" s="4" t="s">
        <v>10</v>
      </c>
      <c r="F181" s="4" t="s">
        <v>11</v>
      </c>
      <c r="G181" s="4" t="s">
        <v>12</v>
      </c>
      <c r="H181" s="4" t="s">
        <v>13</v>
      </c>
      <c r="I181" s="4" t="s">
        <v>14</v>
      </c>
      <c r="J181" s="4" t="s">
        <v>15</v>
      </c>
      <c r="K181" s="4" t="s">
        <v>16</v>
      </c>
      <c r="L181" s="4" t="s">
        <v>17</v>
      </c>
      <c r="M181" s="4" t="s">
        <v>18</v>
      </c>
      <c r="N181" s="4" t="s">
        <v>19</v>
      </c>
      <c r="O181" s="4" t="s">
        <v>20</v>
      </c>
      <c r="P181" s="4" t="s">
        <v>21</v>
      </c>
      <c r="Q181" s="4" t="s">
        <v>22</v>
      </c>
      <c r="R181" s="4" t="s">
        <v>23</v>
      </c>
      <c r="S181" s="4" t="s">
        <v>24</v>
      </c>
      <c r="T181" s="4" t="s">
        <v>25</v>
      </c>
      <c r="U181" s="4" t="s">
        <v>26</v>
      </c>
      <c r="V181" s="4" t="s">
        <v>27</v>
      </c>
      <c r="W181" s="4" t="s">
        <v>28</v>
      </c>
      <c r="X181" s="4" t="s">
        <v>29</v>
      </c>
      <c r="Y181" s="4" t="s">
        <v>30</v>
      </c>
      <c r="Z181" s="4" t="s">
        <v>31</v>
      </c>
      <c r="AA181" s="4" t="s">
        <v>32</v>
      </c>
      <c r="AB181" s="4">
        <v>27</v>
      </c>
      <c r="AC181" s="4" t="s">
        <v>33</v>
      </c>
      <c r="AD181" s="4" t="s">
        <v>34</v>
      </c>
      <c r="AE181" s="4">
        <v>30</v>
      </c>
      <c r="AF181" s="4">
        <v>31</v>
      </c>
      <c r="AG181" s="4" t="s">
        <v>35</v>
      </c>
      <c r="AH181" s="4" t="s">
        <v>36</v>
      </c>
      <c r="AI181" s="4" t="s">
        <v>37</v>
      </c>
      <c r="AJ181" s="4">
        <v>35</v>
      </c>
      <c r="AK181" s="4" t="s">
        <v>38</v>
      </c>
      <c r="AL181" s="4" t="s">
        <v>39</v>
      </c>
      <c r="AM181" s="4">
        <v>38</v>
      </c>
      <c r="AN181" s="4">
        <v>39</v>
      </c>
      <c r="AO181" s="4" t="s">
        <v>40</v>
      </c>
      <c r="AP181" s="4" t="s">
        <v>41</v>
      </c>
      <c r="AQ181" s="4" t="s">
        <v>42</v>
      </c>
      <c r="AR181" s="4" t="s">
        <v>43</v>
      </c>
      <c r="AS181" s="4" t="s">
        <v>44</v>
      </c>
      <c r="AT181" s="4">
        <v>45</v>
      </c>
      <c r="AU181" s="4" t="s">
        <v>45</v>
      </c>
      <c r="AV181" s="4" t="s">
        <v>46</v>
      </c>
      <c r="AW181" s="4" t="s">
        <v>47</v>
      </c>
      <c r="AX181" s="4" t="s">
        <v>48</v>
      </c>
      <c r="AY181" s="4" t="s">
        <v>49</v>
      </c>
      <c r="AZ181" s="4" t="s">
        <v>50</v>
      </c>
      <c r="BA181" s="4" t="s">
        <v>51</v>
      </c>
      <c r="BB181" s="4">
        <v>53</v>
      </c>
      <c r="BC181" s="37" t="s">
        <v>72</v>
      </c>
      <c r="BD181" s="39" t="s">
        <v>73</v>
      </c>
    </row>
    <row r="182" spans="1:296" x14ac:dyDescent="0.25">
      <c r="A182" s="5" t="s">
        <v>53</v>
      </c>
      <c r="B182" s="8">
        <v>1</v>
      </c>
      <c r="C182" s="8">
        <v>6</v>
      </c>
      <c r="D182" s="3">
        <v>5</v>
      </c>
      <c r="E182" s="3">
        <v>8</v>
      </c>
      <c r="F182" s="3">
        <v>14</v>
      </c>
      <c r="G182" s="3">
        <v>16</v>
      </c>
      <c r="H182" s="3">
        <v>2</v>
      </c>
      <c r="I182" s="3">
        <v>9</v>
      </c>
      <c r="J182" s="3">
        <v>7</v>
      </c>
      <c r="K182" s="3">
        <v>11</v>
      </c>
      <c r="L182" s="3">
        <v>17</v>
      </c>
      <c r="M182" s="3">
        <v>34</v>
      </c>
      <c r="N182" s="3">
        <v>16</v>
      </c>
      <c r="O182" s="3">
        <v>19</v>
      </c>
      <c r="P182" s="3">
        <v>20</v>
      </c>
      <c r="Q182" s="3">
        <v>14</v>
      </c>
      <c r="R182" s="3">
        <v>9</v>
      </c>
      <c r="S182" s="3">
        <v>2</v>
      </c>
      <c r="T182" s="3">
        <v>1</v>
      </c>
      <c r="U182" s="3">
        <v>5</v>
      </c>
      <c r="V182" s="3">
        <v>3</v>
      </c>
      <c r="W182" s="3">
        <v>1</v>
      </c>
      <c r="X182" s="3">
        <v>1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1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1</v>
      </c>
      <c r="AU182" s="3">
        <v>1</v>
      </c>
      <c r="AV182" s="3">
        <v>0</v>
      </c>
      <c r="AW182" s="3">
        <v>0</v>
      </c>
      <c r="AX182" s="3">
        <v>0</v>
      </c>
      <c r="AY182" s="3">
        <v>0</v>
      </c>
      <c r="AZ182" s="3">
        <v>1</v>
      </c>
      <c r="BA182" s="3">
        <v>5</v>
      </c>
      <c r="BB182" s="3">
        <v>0</v>
      </c>
      <c r="BC182" s="30">
        <f>SUM(B178:BA178)</f>
        <v>41</v>
      </c>
      <c r="BD182" s="8">
        <f>SUM(B182:BA182)</f>
        <v>230</v>
      </c>
    </row>
    <row r="183" spans="1:296" x14ac:dyDescent="0.25">
      <c r="A183" s="5" t="s">
        <v>54</v>
      </c>
      <c r="B183" s="8">
        <v>0</v>
      </c>
      <c r="C183" s="8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0">
        <f>SUM(B179:BA179)</f>
        <v>1</v>
      </c>
      <c r="BD183" s="8">
        <f>SUM(B183:BA183)</f>
        <v>0</v>
      </c>
    </row>
    <row r="184" spans="1:296" x14ac:dyDescent="0.25">
      <c r="A184" s="5"/>
      <c r="BC184" s="30"/>
    </row>
    <row r="185" spans="1:296" x14ac:dyDescent="0.25">
      <c r="A185" s="5"/>
      <c r="BC185" s="30"/>
    </row>
    <row r="186" spans="1:296" s="1" customFormat="1" ht="26.4" x14ac:dyDescent="0.3">
      <c r="A186" s="92">
        <v>2021</v>
      </c>
      <c r="B186" s="33" t="s">
        <v>7</v>
      </c>
      <c r="C186" s="33" t="s">
        <v>8</v>
      </c>
      <c r="D186" s="33" t="s">
        <v>9</v>
      </c>
      <c r="E186" s="33" t="s">
        <v>10</v>
      </c>
      <c r="F186" s="33" t="s">
        <v>11</v>
      </c>
      <c r="G186" s="33" t="s">
        <v>12</v>
      </c>
      <c r="H186" s="33" t="s">
        <v>13</v>
      </c>
      <c r="I186" s="33" t="s">
        <v>14</v>
      </c>
      <c r="J186" s="33" t="s">
        <v>15</v>
      </c>
      <c r="K186" s="33" t="s">
        <v>16</v>
      </c>
      <c r="L186" s="33" t="s">
        <v>17</v>
      </c>
      <c r="M186" s="33" t="s">
        <v>18</v>
      </c>
      <c r="N186" s="33" t="s">
        <v>19</v>
      </c>
      <c r="O186" s="33" t="s">
        <v>20</v>
      </c>
      <c r="P186" s="33" t="s">
        <v>21</v>
      </c>
      <c r="Q186" s="33" t="s">
        <v>22</v>
      </c>
      <c r="R186" s="33" t="s">
        <v>23</v>
      </c>
      <c r="S186" s="33" t="s">
        <v>24</v>
      </c>
      <c r="T186" s="33" t="s">
        <v>25</v>
      </c>
      <c r="U186" s="33" t="s">
        <v>26</v>
      </c>
      <c r="V186" s="33" t="s">
        <v>27</v>
      </c>
      <c r="W186" s="33" t="s">
        <v>28</v>
      </c>
      <c r="X186" s="33" t="s">
        <v>29</v>
      </c>
      <c r="Y186" s="33" t="s">
        <v>30</v>
      </c>
      <c r="Z186" s="33" t="s">
        <v>31</v>
      </c>
      <c r="AA186" s="33" t="s">
        <v>32</v>
      </c>
      <c r="AB186" s="33">
        <v>27</v>
      </c>
      <c r="AC186" s="33" t="s">
        <v>33</v>
      </c>
      <c r="AD186" s="33" t="s">
        <v>34</v>
      </c>
      <c r="AE186" s="33">
        <v>30</v>
      </c>
      <c r="AF186" s="33">
        <v>31</v>
      </c>
      <c r="AG186" s="33" t="s">
        <v>35</v>
      </c>
      <c r="AH186" s="33" t="s">
        <v>36</v>
      </c>
      <c r="AI186" s="33" t="s">
        <v>37</v>
      </c>
      <c r="AJ186" s="33">
        <v>35</v>
      </c>
      <c r="AK186" s="33" t="s">
        <v>38</v>
      </c>
      <c r="AL186" s="33" t="s">
        <v>39</v>
      </c>
      <c r="AM186" s="33">
        <v>38</v>
      </c>
      <c r="AN186" s="33">
        <v>39</v>
      </c>
      <c r="AO186" s="33" t="s">
        <v>40</v>
      </c>
      <c r="AP186" s="33" t="s">
        <v>41</v>
      </c>
      <c r="AQ186" s="33" t="s">
        <v>42</v>
      </c>
      <c r="AR186" s="33" t="s">
        <v>43</v>
      </c>
      <c r="AS186" s="33" t="s">
        <v>44</v>
      </c>
      <c r="AT186" s="33">
        <v>45</v>
      </c>
      <c r="AU186" s="33" t="s">
        <v>45</v>
      </c>
      <c r="AV186" s="33" t="s">
        <v>46</v>
      </c>
      <c r="AW186" s="33" t="s">
        <v>47</v>
      </c>
      <c r="AX186" s="33" t="s">
        <v>48</v>
      </c>
      <c r="AY186" s="33" t="s">
        <v>49</v>
      </c>
      <c r="AZ186" s="33" t="s">
        <v>50</v>
      </c>
      <c r="BA186" s="33" t="s">
        <v>51</v>
      </c>
      <c r="BB186" s="33">
        <v>53</v>
      </c>
      <c r="BC186" s="37" t="s">
        <v>73</v>
      </c>
      <c r="BD186" s="39" t="s">
        <v>110</v>
      </c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JV186" s="30"/>
      <c r="KJ186" s="30"/>
    </row>
    <row r="187" spans="1:296" x14ac:dyDescent="0.25">
      <c r="A187" s="5" t="s">
        <v>53</v>
      </c>
      <c r="B187" s="8">
        <v>0</v>
      </c>
      <c r="C187" s="8">
        <v>3</v>
      </c>
      <c r="D187" s="3">
        <v>1</v>
      </c>
      <c r="E187" s="3">
        <v>0</v>
      </c>
      <c r="F187" s="3">
        <v>0</v>
      </c>
      <c r="G187" s="3">
        <v>2</v>
      </c>
      <c r="H187" s="3">
        <v>1</v>
      </c>
      <c r="I187" s="3">
        <v>0</v>
      </c>
      <c r="J187" s="3">
        <v>2</v>
      </c>
      <c r="K187" s="3">
        <v>2</v>
      </c>
      <c r="L187" s="3">
        <v>1</v>
      </c>
      <c r="M187" s="3">
        <v>2</v>
      </c>
      <c r="N187" s="3">
        <v>1</v>
      </c>
      <c r="O187" s="3">
        <v>0</v>
      </c>
      <c r="P187" s="3">
        <v>2</v>
      </c>
      <c r="Q187" s="3">
        <v>1</v>
      </c>
      <c r="R187" s="3">
        <v>0</v>
      </c>
      <c r="S187" s="3">
        <v>0</v>
      </c>
      <c r="T187" s="3">
        <v>0</v>
      </c>
      <c r="U187" s="3">
        <v>1</v>
      </c>
      <c r="V187" s="3">
        <v>1</v>
      </c>
      <c r="W187" s="3">
        <v>0</v>
      </c>
      <c r="X187" s="3">
        <v>0</v>
      </c>
      <c r="Y187" s="3">
        <v>1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1</v>
      </c>
      <c r="AO187" s="3">
        <v>1</v>
      </c>
      <c r="AP187" s="3">
        <v>0</v>
      </c>
      <c r="AQ187" s="3">
        <v>0</v>
      </c>
      <c r="AR187" s="3">
        <v>1</v>
      </c>
      <c r="AS187" s="3">
        <v>0</v>
      </c>
      <c r="AT187" s="3">
        <v>2</v>
      </c>
      <c r="AU187" s="3">
        <v>0</v>
      </c>
      <c r="AV187" s="3">
        <v>0</v>
      </c>
      <c r="AW187" s="3">
        <v>1</v>
      </c>
      <c r="AX187" s="3">
        <v>2</v>
      </c>
      <c r="AY187" s="3">
        <v>0</v>
      </c>
      <c r="AZ187" s="3">
        <v>1</v>
      </c>
      <c r="BA187" s="3">
        <v>0</v>
      </c>
      <c r="BC187" s="30">
        <f>SUM(B182:BB182)</f>
        <v>230</v>
      </c>
      <c r="BD187" s="8">
        <f>SUM(B187:BA187)</f>
        <v>30</v>
      </c>
    </row>
    <row r="188" spans="1:296" x14ac:dyDescent="0.25">
      <c r="A188" s="5" t="s">
        <v>54</v>
      </c>
      <c r="B188" s="8">
        <v>0</v>
      </c>
      <c r="C188" s="8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C188" s="30">
        <f>SUM(B183:BB183)</f>
        <v>0</v>
      </c>
      <c r="BD188" s="8">
        <f>SUM(B188:BA188)</f>
        <v>0</v>
      </c>
    </row>
    <row r="189" spans="1:296" x14ac:dyDescent="0.25">
      <c r="A189" s="5"/>
      <c r="BC189" s="30"/>
    </row>
    <row r="190" spans="1:296" ht="26.4" x14ac:dyDescent="0.25">
      <c r="A190" s="92">
        <v>2022</v>
      </c>
      <c r="B190" s="33" t="s">
        <v>7</v>
      </c>
      <c r="C190" s="33" t="s">
        <v>8</v>
      </c>
      <c r="D190" s="33" t="s">
        <v>9</v>
      </c>
      <c r="E190" s="33" t="s">
        <v>10</v>
      </c>
      <c r="F190" s="33" t="s">
        <v>11</v>
      </c>
      <c r="G190" s="33" t="s">
        <v>12</v>
      </c>
      <c r="H190" s="33" t="s">
        <v>13</v>
      </c>
      <c r="I190" s="33" t="s">
        <v>14</v>
      </c>
      <c r="J190" s="33" t="s">
        <v>15</v>
      </c>
      <c r="K190" s="33" t="s">
        <v>16</v>
      </c>
      <c r="L190" s="33" t="s">
        <v>17</v>
      </c>
      <c r="M190" s="33" t="s">
        <v>18</v>
      </c>
      <c r="N190" s="33" t="s">
        <v>19</v>
      </c>
      <c r="O190" s="33" t="s">
        <v>20</v>
      </c>
      <c r="P190" s="33" t="s">
        <v>21</v>
      </c>
      <c r="Q190" s="33" t="s">
        <v>22</v>
      </c>
      <c r="R190" s="33" t="s">
        <v>23</v>
      </c>
      <c r="S190" s="33" t="s">
        <v>24</v>
      </c>
      <c r="T190" s="33" t="s">
        <v>25</v>
      </c>
      <c r="U190" s="33" t="s">
        <v>26</v>
      </c>
      <c r="V190" s="33" t="s">
        <v>27</v>
      </c>
      <c r="W190" s="33" t="s">
        <v>28</v>
      </c>
      <c r="X190" s="33" t="s">
        <v>29</v>
      </c>
      <c r="Y190" s="33" t="s">
        <v>30</v>
      </c>
      <c r="Z190" s="33" t="s">
        <v>31</v>
      </c>
      <c r="AA190" s="33" t="s">
        <v>32</v>
      </c>
      <c r="AB190" s="33" t="s">
        <v>121</v>
      </c>
      <c r="AC190" s="33" t="s">
        <v>33</v>
      </c>
      <c r="AD190" s="33" t="s">
        <v>34</v>
      </c>
      <c r="AE190" s="33" t="s">
        <v>122</v>
      </c>
      <c r="AF190" s="33" t="s">
        <v>123</v>
      </c>
      <c r="AG190" s="33" t="s">
        <v>35</v>
      </c>
      <c r="AH190" s="33" t="s">
        <v>36</v>
      </c>
      <c r="AI190" s="33" t="s">
        <v>37</v>
      </c>
      <c r="AJ190" s="33" t="s">
        <v>124</v>
      </c>
      <c r="AK190" s="33" t="s">
        <v>38</v>
      </c>
      <c r="AL190" s="33" t="s">
        <v>39</v>
      </c>
      <c r="AM190" s="33" t="s">
        <v>125</v>
      </c>
      <c r="AN190" s="33" t="s">
        <v>126</v>
      </c>
      <c r="AO190" s="33" t="s">
        <v>40</v>
      </c>
      <c r="AP190" s="33" t="s">
        <v>41</v>
      </c>
      <c r="AQ190" s="33" t="s">
        <v>42</v>
      </c>
      <c r="AR190" s="33" t="s">
        <v>43</v>
      </c>
      <c r="AS190" s="33" t="s">
        <v>44</v>
      </c>
      <c r="AT190" s="33" t="s">
        <v>127</v>
      </c>
      <c r="AU190" s="33" t="s">
        <v>45</v>
      </c>
      <c r="AV190" s="33" t="s">
        <v>46</v>
      </c>
      <c r="AW190" s="33" t="s">
        <v>47</v>
      </c>
      <c r="AX190" s="33" t="s">
        <v>48</v>
      </c>
      <c r="AY190" s="33" t="s">
        <v>49</v>
      </c>
      <c r="AZ190" s="33" t="s">
        <v>50</v>
      </c>
      <c r="BA190" s="33" t="s">
        <v>51</v>
      </c>
      <c r="BC190" s="37" t="s">
        <v>110</v>
      </c>
      <c r="BD190" s="39" t="s">
        <v>129</v>
      </c>
    </row>
    <row r="191" spans="1:296" x14ac:dyDescent="0.25">
      <c r="A191" s="5" t="s">
        <v>53</v>
      </c>
      <c r="B191" s="8">
        <v>1</v>
      </c>
      <c r="C191" s="8">
        <v>1</v>
      </c>
      <c r="D191" s="3">
        <v>1</v>
      </c>
      <c r="E191" s="3">
        <v>1</v>
      </c>
      <c r="F191" s="3">
        <v>1</v>
      </c>
      <c r="G191" s="3">
        <v>1</v>
      </c>
      <c r="H191" s="3">
        <v>1</v>
      </c>
      <c r="I191" s="3">
        <v>0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1</v>
      </c>
      <c r="T191" s="3">
        <v>1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0</v>
      </c>
      <c r="AB191" s="3">
        <v>1</v>
      </c>
      <c r="AC191" s="3">
        <v>7</v>
      </c>
      <c r="AD191" s="3">
        <v>11</v>
      </c>
      <c r="AE191" s="3">
        <v>0</v>
      </c>
      <c r="AF191" s="3">
        <v>1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1</v>
      </c>
      <c r="AO191" s="3">
        <v>0</v>
      </c>
      <c r="AP191" s="3">
        <v>0</v>
      </c>
      <c r="AQ191" s="3">
        <v>0</v>
      </c>
      <c r="AR191" s="3">
        <v>1</v>
      </c>
      <c r="AS191" s="3">
        <v>1</v>
      </c>
      <c r="AT191" s="3">
        <v>3</v>
      </c>
      <c r="AU191" s="3">
        <v>0</v>
      </c>
      <c r="AV191" s="3">
        <v>1</v>
      </c>
      <c r="AW191" s="3">
        <v>0</v>
      </c>
      <c r="AX191" s="3">
        <v>3</v>
      </c>
      <c r="AY191" s="3">
        <v>3</v>
      </c>
      <c r="AZ191" s="3">
        <v>2</v>
      </c>
      <c r="BA191" s="3">
        <v>2</v>
      </c>
      <c r="BC191" s="30">
        <f>SUM(B187:BA187)</f>
        <v>30</v>
      </c>
      <c r="BD191" s="8">
        <f>SUM(B191:BA191)</f>
        <v>49</v>
      </c>
    </row>
    <row r="192" spans="1:296" x14ac:dyDescent="0.25">
      <c r="A192" s="5" t="s">
        <v>54</v>
      </c>
      <c r="B192" s="8">
        <v>0</v>
      </c>
      <c r="C192" s="8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C192" s="30">
        <f>SUM(B188:BA188)</f>
        <v>0</v>
      </c>
      <c r="BD192" s="8">
        <f>SUM(B192:BA192)</f>
        <v>0</v>
      </c>
    </row>
    <row r="193" spans="1:56" x14ac:dyDescent="0.25">
      <c r="A193" s="5"/>
      <c r="BC193" s="30"/>
    </row>
    <row r="194" spans="1:56" ht="26.4" x14ac:dyDescent="0.25">
      <c r="A194" s="92">
        <v>2023</v>
      </c>
      <c r="B194" s="33" t="s">
        <v>7</v>
      </c>
      <c r="C194" s="33" t="s">
        <v>8</v>
      </c>
      <c r="D194" s="33" t="s">
        <v>9</v>
      </c>
      <c r="E194" s="33" t="s">
        <v>10</v>
      </c>
      <c r="F194" s="33" t="s">
        <v>11</v>
      </c>
      <c r="G194" s="33" t="s">
        <v>12</v>
      </c>
      <c r="H194" s="33" t="s">
        <v>13</v>
      </c>
      <c r="I194" s="33" t="s">
        <v>14</v>
      </c>
      <c r="J194" s="33" t="s">
        <v>15</v>
      </c>
      <c r="K194" s="33" t="s">
        <v>16</v>
      </c>
      <c r="L194" s="33" t="s">
        <v>17</v>
      </c>
      <c r="M194" s="33" t="s">
        <v>18</v>
      </c>
      <c r="N194" s="33" t="s">
        <v>19</v>
      </c>
      <c r="O194" s="33" t="s">
        <v>20</v>
      </c>
      <c r="P194" s="33" t="s">
        <v>21</v>
      </c>
      <c r="Q194" s="33" t="s">
        <v>22</v>
      </c>
      <c r="R194" s="33" t="s">
        <v>23</v>
      </c>
      <c r="S194" s="33" t="s">
        <v>24</v>
      </c>
      <c r="T194" s="33" t="s">
        <v>25</v>
      </c>
      <c r="U194" s="33" t="s">
        <v>26</v>
      </c>
      <c r="V194" s="33" t="s">
        <v>27</v>
      </c>
      <c r="W194" s="33" t="s">
        <v>28</v>
      </c>
      <c r="X194" s="33" t="s">
        <v>29</v>
      </c>
      <c r="Y194" s="33" t="s">
        <v>30</v>
      </c>
      <c r="Z194" s="33" t="s">
        <v>31</v>
      </c>
      <c r="AA194" s="33" t="s">
        <v>32</v>
      </c>
      <c r="AB194" s="33" t="s">
        <v>121</v>
      </c>
      <c r="AC194" s="33" t="s">
        <v>33</v>
      </c>
      <c r="AD194" s="33" t="s">
        <v>34</v>
      </c>
      <c r="AE194" s="33" t="s">
        <v>122</v>
      </c>
      <c r="AF194" s="33" t="s">
        <v>123</v>
      </c>
      <c r="AG194" s="33" t="s">
        <v>35</v>
      </c>
      <c r="AH194" s="33" t="s">
        <v>36</v>
      </c>
      <c r="AI194" s="33" t="s">
        <v>37</v>
      </c>
      <c r="AJ194" s="33" t="s">
        <v>124</v>
      </c>
      <c r="AK194" s="33" t="s">
        <v>38</v>
      </c>
      <c r="AL194" s="33" t="s">
        <v>39</v>
      </c>
      <c r="AM194" s="33" t="s">
        <v>125</v>
      </c>
      <c r="AN194" s="33" t="s">
        <v>126</v>
      </c>
      <c r="AO194" s="33" t="s">
        <v>40</v>
      </c>
      <c r="AP194" s="33" t="s">
        <v>41</v>
      </c>
      <c r="AQ194" s="33" t="s">
        <v>42</v>
      </c>
      <c r="AR194" s="33" t="s">
        <v>43</v>
      </c>
      <c r="AS194" s="33" t="s">
        <v>44</v>
      </c>
      <c r="AT194" s="33" t="s">
        <v>127</v>
      </c>
      <c r="AU194" s="33" t="s">
        <v>45</v>
      </c>
      <c r="AV194" s="33" t="s">
        <v>46</v>
      </c>
      <c r="AW194" s="33" t="s">
        <v>47</v>
      </c>
      <c r="AX194" s="33" t="s">
        <v>48</v>
      </c>
      <c r="AY194" s="33" t="s">
        <v>49</v>
      </c>
      <c r="AZ194" s="33" t="s">
        <v>50</v>
      </c>
      <c r="BA194" s="33" t="s">
        <v>51</v>
      </c>
      <c r="BC194" s="37" t="s">
        <v>129</v>
      </c>
      <c r="BD194" s="39" t="s">
        <v>139</v>
      </c>
    </row>
    <row r="195" spans="1:56" x14ac:dyDescent="0.25">
      <c r="A195" s="5" t="s">
        <v>53</v>
      </c>
      <c r="B195" s="8">
        <v>2</v>
      </c>
      <c r="C195" s="8">
        <v>3</v>
      </c>
      <c r="D195" s="8">
        <v>2</v>
      </c>
      <c r="E195" s="3">
        <v>2</v>
      </c>
      <c r="F195" s="3">
        <v>2</v>
      </c>
      <c r="G195" s="3">
        <v>3</v>
      </c>
      <c r="H195" s="3">
        <v>5</v>
      </c>
      <c r="I195" s="3">
        <v>2</v>
      </c>
      <c r="J195" s="3">
        <v>8</v>
      </c>
      <c r="K195" s="3">
        <v>1</v>
      </c>
      <c r="L195" s="3">
        <v>1</v>
      </c>
      <c r="M195" s="3">
        <v>13</v>
      </c>
      <c r="N195" s="3">
        <v>31</v>
      </c>
      <c r="O195" s="3">
        <v>5</v>
      </c>
      <c r="P195" s="3">
        <v>19</v>
      </c>
      <c r="Q195" s="3">
        <v>4</v>
      </c>
      <c r="R195" s="3">
        <v>12</v>
      </c>
      <c r="S195" s="3">
        <v>3</v>
      </c>
      <c r="T195" s="3">
        <v>3</v>
      </c>
      <c r="U195" s="3">
        <v>2</v>
      </c>
      <c r="V195" s="3">
        <v>1</v>
      </c>
      <c r="W195" s="3">
        <v>3</v>
      </c>
      <c r="X195" s="3">
        <v>5</v>
      </c>
      <c r="Y195" s="3">
        <v>2</v>
      </c>
      <c r="Z195" s="3">
        <v>2</v>
      </c>
      <c r="AA195" s="3">
        <v>0</v>
      </c>
      <c r="AB195" s="3">
        <v>1</v>
      </c>
      <c r="AC195" s="3">
        <v>0</v>
      </c>
      <c r="AD195" s="3">
        <v>0</v>
      </c>
      <c r="AE195" s="3">
        <v>0</v>
      </c>
      <c r="AF195" s="3">
        <v>0</v>
      </c>
      <c r="AG195" s="3">
        <v>1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1</v>
      </c>
      <c r="AQ195" s="3">
        <v>0</v>
      </c>
      <c r="AR195" s="3">
        <v>1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1</v>
      </c>
      <c r="AZ195" s="3">
        <v>0</v>
      </c>
      <c r="BA195" s="3">
        <v>0</v>
      </c>
      <c r="BC195" s="30">
        <f>SUM(C191:BA191)</f>
        <v>48</v>
      </c>
      <c r="BD195" s="8">
        <f>SUM(B195:BA195)</f>
        <v>141</v>
      </c>
    </row>
    <row r="196" spans="1:56" x14ac:dyDescent="0.25">
      <c r="A196" s="5" t="s">
        <v>54</v>
      </c>
      <c r="B196" s="8">
        <v>0</v>
      </c>
      <c r="C196" s="8">
        <v>0</v>
      </c>
      <c r="D196" s="8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C196" s="30">
        <f>SUM(C192:BA192)</f>
        <v>0</v>
      </c>
      <c r="BD196" s="8">
        <f>SUM(B196:BA196)</f>
        <v>0</v>
      </c>
    </row>
    <row r="197" spans="1:56" x14ac:dyDescent="0.25">
      <c r="A197" s="5"/>
      <c r="D197" s="8"/>
      <c r="BC197" s="30"/>
    </row>
    <row r="198" spans="1:56" ht="26.4" x14ac:dyDescent="0.25">
      <c r="A198" s="92">
        <v>2024</v>
      </c>
      <c r="B198" s="33" t="s">
        <v>7</v>
      </c>
      <c r="C198" s="33" t="s">
        <v>8</v>
      </c>
      <c r="D198" s="33" t="s">
        <v>9</v>
      </c>
      <c r="E198" s="33" t="s">
        <v>10</v>
      </c>
      <c r="F198" s="33" t="s">
        <v>11</v>
      </c>
      <c r="G198" s="33" t="s">
        <v>12</v>
      </c>
      <c r="H198" s="33" t="s">
        <v>13</v>
      </c>
      <c r="I198" s="33" t="s">
        <v>14</v>
      </c>
      <c r="J198" s="33" t="s">
        <v>15</v>
      </c>
      <c r="K198" s="33" t="s">
        <v>16</v>
      </c>
      <c r="L198" s="33" t="s">
        <v>17</v>
      </c>
      <c r="M198" s="33" t="s">
        <v>18</v>
      </c>
      <c r="N198" s="33" t="s">
        <v>19</v>
      </c>
      <c r="O198" s="33" t="s">
        <v>20</v>
      </c>
      <c r="P198" s="33" t="s">
        <v>21</v>
      </c>
      <c r="Q198" s="33" t="s">
        <v>22</v>
      </c>
      <c r="R198" s="33" t="s">
        <v>23</v>
      </c>
      <c r="S198" s="33" t="s">
        <v>24</v>
      </c>
      <c r="T198" s="33" t="s">
        <v>25</v>
      </c>
      <c r="U198" s="33" t="s">
        <v>26</v>
      </c>
      <c r="V198" s="33" t="s">
        <v>27</v>
      </c>
      <c r="W198" s="33" t="s">
        <v>28</v>
      </c>
      <c r="X198" s="33" t="s">
        <v>29</v>
      </c>
      <c r="Y198" s="33" t="s">
        <v>30</v>
      </c>
      <c r="Z198" s="33" t="s">
        <v>31</v>
      </c>
      <c r="AA198" s="33" t="s">
        <v>32</v>
      </c>
      <c r="AB198" s="33" t="s">
        <v>121</v>
      </c>
      <c r="AC198" s="33" t="s">
        <v>33</v>
      </c>
      <c r="AD198" s="33" t="s">
        <v>34</v>
      </c>
      <c r="AE198" s="33" t="s">
        <v>122</v>
      </c>
      <c r="AF198" s="33" t="s">
        <v>123</v>
      </c>
      <c r="AG198" s="33" t="s">
        <v>35</v>
      </c>
      <c r="AH198" s="33" t="s">
        <v>36</v>
      </c>
      <c r="AI198" s="33" t="s">
        <v>37</v>
      </c>
      <c r="AJ198" s="33" t="s">
        <v>124</v>
      </c>
      <c r="AK198" s="33" t="s">
        <v>38</v>
      </c>
      <c r="AL198" s="33" t="s">
        <v>39</v>
      </c>
      <c r="AM198" s="33" t="s">
        <v>125</v>
      </c>
      <c r="AN198" s="33" t="s">
        <v>126</v>
      </c>
      <c r="AO198" s="33" t="s">
        <v>40</v>
      </c>
      <c r="AP198" s="33" t="s">
        <v>41</v>
      </c>
      <c r="AQ198" s="33" t="s">
        <v>42</v>
      </c>
      <c r="AR198" s="33" t="s">
        <v>43</v>
      </c>
      <c r="AS198" s="33" t="s">
        <v>44</v>
      </c>
      <c r="AT198" s="33" t="s">
        <v>127</v>
      </c>
      <c r="AU198" s="33" t="s">
        <v>45</v>
      </c>
      <c r="AV198" s="33" t="s">
        <v>46</v>
      </c>
      <c r="AW198" s="33" t="s">
        <v>47</v>
      </c>
      <c r="AX198" s="33" t="s">
        <v>48</v>
      </c>
      <c r="AY198" s="33" t="s">
        <v>49</v>
      </c>
      <c r="AZ198" s="33" t="s">
        <v>50</v>
      </c>
      <c r="BA198" s="33" t="s">
        <v>51</v>
      </c>
      <c r="BC198" s="37" t="s">
        <v>139</v>
      </c>
      <c r="BD198" s="39" t="s">
        <v>171</v>
      </c>
    </row>
    <row r="199" spans="1:56" x14ac:dyDescent="0.25">
      <c r="A199" s="5" t="s">
        <v>53</v>
      </c>
      <c r="B199" s="8">
        <v>0</v>
      </c>
      <c r="C199" s="8">
        <v>0</v>
      </c>
      <c r="D199" s="8">
        <v>0</v>
      </c>
      <c r="E199" s="8">
        <v>0</v>
      </c>
      <c r="F199" s="8">
        <v>2</v>
      </c>
      <c r="G199" s="8">
        <v>0</v>
      </c>
      <c r="H199" s="8">
        <v>0</v>
      </c>
      <c r="I199" s="8">
        <v>1</v>
      </c>
      <c r="J199" s="8">
        <v>0</v>
      </c>
      <c r="K199" s="8">
        <v>2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C199" s="30">
        <f>SUM(B195:AC195)</f>
        <v>137</v>
      </c>
      <c r="BD199" s="8">
        <f>SUM(B199:BA199)</f>
        <v>5</v>
      </c>
    </row>
    <row r="200" spans="1:56" x14ac:dyDescent="0.25">
      <c r="A200" s="5" t="s">
        <v>54</v>
      </c>
      <c r="B200" s="8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C200" s="30">
        <f>SUM(B196:AC196)</f>
        <v>0</v>
      </c>
      <c r="BD200" s="8">
        <f>SUM(B200:BA200)</f>
        <v>0</v>
      </c>
    </row>
    <row r="201" spans="1:56" x14ac:dyDescent="0.25">
      <c r="A201" s="5"/>
      <c r="D201" s="8"/>
      <c r="BC201" s="30"/>
    </row>
    <row r="202" spans="1:56" ht="26.4" x14ac:dyDescent="0.25">
      <c r="A202" s="92">
        <v>2025</v>
      </c>
      <c r="B202" s="33" t="s">
        <v>7</v>
      </c>
      <c r="C202" s="33" t="s">
        <v>8</v>
      </c>
      <c r="D202" s="33" t="s">
        <v>9</v>
      </c>
      <c r="E202" s="33" t="s">
        <v>10</v>
      </c>
      <c r="F202" s="33" t="s">
        <v>11</v>
      </c>
      <c r="G202" s="33" t="s">
        <v>12</v>
      </c>
      <c r="H202" s="33" t="s">
        <v>13</v>
      </c>
      <c r="I202" s="33" t="s">
        <v>14</v>
      </c>
      <c r="J202" s="33" t="s">
        <v>15</v>
      </c>
      <c r="K202" s="33" t="s">
        <v>16</v>
      </c>
      <c r="L202" s="33" t="s">
        <v>17</v>
      </c>
      <c r="M202" s="33" t="s">
        <v>18</v>
      </c>
      <c r="N202" s="33" t="s">
        <v>19</v>
      </c>
      <c r="O202" s="33" t="s">
        <v>20</v>
      </c>
      <c r="P202" s="33" t="s">
        <v>21</v>
      </c>
      <c r="Q202" s="33" t="s">
        <v>22</v>
      </c>
      <c r="R202" s="33" t="s">
        <v>23</v>
      </c>
      <c r="S202" s="33" t="s">
        <v>24</v>
      </c>
      <c r="T202" s="33" t="s">
        <v>25</v>
      </c>
      <c r="U202" s="33" t="s">
        <v>26</v>
      </c>
      <c r="V202" s="33" t="s">
        <v>27</v>
      </c>
      <c r="W202" s="33" t="s">
        <v>28</v>
      </c>
      <c r="X202" s="33" t="s">
        <v>29</v>
      </c>
      <c r="Y202" s="33" t="s">
        <v>30</v>
      </c>
      <c r="Z202" s="33" t="s">
        <v>31</v>
      </c>
      <c r="AA202" s="33" t="s">
        <v>32</v>
      </c>
      <c r="AB202" s="33" t="s">
        <v>121</v>
      </c>
      <c r="AC202" s="33" t="s">
        <v>33</v>
      </c>
      <c r="AD202" s="33" t="s">
        <v>34</v>
      </c>
      <c r="AE202" s="33" t="s">
        <v>122</v>
      </c>
      <c r="AF202" s="33" t="s">
        <v>123</v>
      </c>
      <c r="AG202" s="33" t="s">
        <v>35</v>
      </c>
      <c r="AH202" s="33" t="s">
        <v>36</v>
      </c>
      <c r="AI202" s="33" t="s">
        <v>37</v>
      </c>
      <c r="AJ202" s="33" t="s">
        <v>124</v>
      </c>
      <c r="AK202" s="33" t="s">
        <v>38</v>
      </c>
      <c r="AL202" s="33" t="s">
        <v>39</v>
      </c>
      <c r="AM202" s="33" t="s">
        <v>125</v>
      </c>
      <c r="AN202" s="33" t="s">
        <v>126</v>
      </c>
      <c r="AO202" s="33" t="s">
        <v>40</v>
      </c>
      <c r="AP202" s="33" t="s">
        <v>41</v>
      </c>
      <c r="AQ202" s="33" t="s">
        <v>42</v>
      </c>
      <c r="AR202" s="33" t="s">
        <v>43</v>
      </c>
      <c r="AS202" s="33" t="s">
        <v>44</v>
      </c>
      <c r="AT202" s="33" t="s">
        <v>127</v>
      </c>
      <c r="AU202" s="33" t="s">
        <v>45</v>
      </c>
      <c r="AV202" s="33" t="s">
        <v>46</v>
      </c>
      <c r="AW202" s="33" t="s">
        <v>47</v>
      </c>
      <c r="AX202" s="33" t="s">
        <v>48</v>
      </c>
      <c r="AY202" s="33" t="s">
        <v>49</v>
      </c>
      <c r="AZ202" s="33" t="s">
        <v>50</v>
      </c>
      <c r="BA202" s="33" t="s">
        <v>51</v>
      </c>
      <c r="BB202" s="30">
        <v>53</v>
      </c>
      <c r="BC202" s="37" t="s">
        <v>139</v>
      </c>
      <c r="BD202" s="39" t="s">
        <v>171</v>
      </c>
    </row>
    <row r="203" spans="1:56" x14ac:dyDescent="0.25">
      <c r="A203" s="5" t="s">
        <v>53</v>
      </c>
      <c r="B203" s="8">
        <v>1</v>
      </c>
      <c r="C203" s="8">
        <v>1</v>
      </c>
      <c r="D203" s="8">
        <v>0</v>
      </c>
      <c r="E203" s="8">
        <v>2</v>
      </c>
      <c r="F203" s="8">
        <v>0</v>
      </c>
      <c r="G203" s="8">
        <v>0</v>
      </c>
      <c r="H203" s="8">
        <v>0</v>
      </c>
      <c r="I203" s="8">
        <v>2</v>
      </c>
      <c r="J203" s="8">
        <v>8</v>
      </c>
      <c r="K203" s="8">
        <v>3</v>
      </c>
      <c r="L203" s="8">
        <v>9</v>
      </c>
      <c r="M203" s="8">
        <v>9</v>
      </c>
      <c r="N203" s="8">
        <v>4</v>
      </c>
      <c r="O203" s="8">
        <v>5</v>
      </c>
      <c r="P203" s="8">
        <v>5</v>
      </c>
      <c r="Q203" s="8">
        <v>1</v>
      </c>
      <c r="R203" s="8">
        <v>4</v>
      </c>
      <c r="S203" s="8">
        <v>1</v>
      </c>
      <c r="T203" s="8">
        <v>2</v>
      </c>
      <c r="U203" s="8">
        <v>3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1</v>
      </c>
      <c r="AE203" s="8">
        <v>0</v>
      </c>
      <c r="AF203" s="8">
        <v>0</v>
      </c>
      <c r="AG203" s="8">
        <v>1</v>
      </c>
      <c r="AH203" s="8">
        <v>0</v>
      </c>
      <c r="AI203" s="8">
        <v>0</v>
      </c>
      <c r="AJ203" s="8">
        <v>1</v>
      </c>
      <c r="AK203" s="8">
        <v>0</v>
      </c>
      <c r="AL203" s="8">
        <v>0</v>
      </c>
      <c r="AM203" s="8">
        <v>0</v>
      </c>
      <c r="AN203" s="8">
        <v>0</v>
      </c>
      <c r="AO203" s="8">
        <v>1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2</v>
      </c>
      <c r="AV203" s="8">
        <v>1</v>
      </c>
      <c r="AW203" s="8">
        <v>1</v>
      </c>
      <c r="AX203" s="8">
        <v>1</v>
      </c>
      <c r="AY203" s="8">
        <v>2</v>
      </c>
      <c r="AZ203" s="8">
        <v>2</v>
      </c>
      <c r="BA203" s="8">
        <v>1</v>
      </c>
      <c r="BB203" s="3">
        <v>0</v>
      </c>
      <c r="BC203" s="30">
        <f>SUM(B199:AC199)</f>
        <v>5</v>
      </c>
      <c r="BD203" s="8">
        <f>SUM(B203:BA203)</f>
        <v>74</v>
      </c>
    </row>
    <row r="204" spans="1:56" x14ac:dyDescent="0.25">
      <c r="A204" s="5" t="s">
        <v>54</v>
      </c>
      <c r="B204" s="8">
        <v>0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3">
        <v>0</v>
      </c>
      <c r="BC204" s="30">
        <f>SUM(B200:AC200)</f>
        <v>0</v>
      </c>
      <c r="BD204" s="8">
        <f>SUM(B204:BA204)</f>
        <v>0</v>
      </c>
    </row>
    <row r="205" spans="1:56" x14ac:dyDescent="0.25">
      <c r="A205" s="5"/>
      <c r="D205" s="8"/>
      <c r="BC205" s="30"/>
    </row>
    <row r="206" spans="1:56" x14ac:dyDescent="0.25">
      <c r="A206" s="5"/>
      <c r="D206" s="8"/>
      <c r="BC206" s="30"/>
    </row>
    <row r="207" spans="1:56" x14ac:dyDescent="0.25">
      <c r="A207" s="5"/>
      <c r="BC207" s="30"/>
      <c r="BD207" s="30"/>
    </row>
    <row r="208" spans="1:56" ht="15.6" x14ac:dyDescent="0.25">
      <c r="A208" s="42" t="s">
        <v>95</v>
      </c>
      <c r="T208" s="4"/>
      <c r="U208" s="4"/>
      <c r="V208" s="4"/>
      <c r="W208" s="4"/>
      <c r="X208" s="4"/>
      <c r="Y208" s="4"/>
      <c r="Z208" s="4"/>
      <c r="AA208" s="4"/>
      <c r="AB208" s="4"/>
      <c r="BC208" s="30"/>
    </row>
    <row r="209" spans="1:296" s="1" customFormat="1" ht="26.4" x14ac:dyDescent="0.3">
      <c r="A209" s="66" t="s">
        <v>70</v>
      </c>
      <c r="B209" s="67">
        <v>35</v>
      </c>
      <c r="C209" s="67" t="s">
        <v>38</v>
      </c>
      <c r="D209" s="67" t="s">
        <v>39</v>
      </c>
      <c r="E209" s="67">
        <v>38</v>
      </c>
      <c r="F209" s="67">
        <v>39</v>
      </c>
      <c r="G209" s="67" t="s">
        <v>40</v>
      </c>
      <c r="H209" s="67" t="s">
        <v>41</v>
      </c>
      <c r="I209" s="67" t="s">
        <v>42</v>
      </c>
      <c r="J209" s="67" t="s">
        <v>43</v>
      </c>
      <c r="K209" s="67" t="s">
        <v>44</v>
      </c>
      <c r="L209" s="67">
        <v>45</v>
      </c>
      <c r="M209" s="67" t="s">
        <v>45</v>
      </c>
      <c r="N209" s="67" t="s">
        <v>46</v>
      </c>
      <c r="O209" s="67" t="s">
        <v>47</v>
      </c>
      <c r="P209" s="67" t="s">
        <v>48</v>
      </c>
      <c r="Q209" s="67" t="s">
        <v>49</v>
      </c>
      <c r="R209" s="67" t="s">
        <v>50</v>
      </c>
      <c r="S209" s="67" t="s">
        <v>51</v>
      </c>
      <c r="T209" s="68">
        <v>1</v>
      </c>
      <c r="U209" s="68">
        <v>2</v>
      </c>
      <c r="V209" s="68">
        <v>3</v>
      </c>
      <c r="W209" s="68">
        <v>4</v>
      </c>
      <c r="X209" s="68">
        <v>5</v>
      </c>
      <c r="Y209" s="68">
        <v>6</v>
      </c>
      <c r="Z209" s="68">
        <v>7</v>
      </c>
      <c r="AA209" s="68">
        <v>8</v>
      </c>
      <c r="AB209" s="68">
        <v>9</v>
      </c>
      <c r="AC209" s="68">
        <v>10</v>
      </c>
      <c r="AD209" s="69">
        <v>11</v>
      </c>
      <c r="AE209" s="68">
        <v>12</v>
      </c>
      <c r="AF209" s="68">
        <v>13</v>
      </c>
      <c r="AG209" s="68">
        <v>14</v>
      </c>
      <c r="AH209" s="68">
        <v>15</v>
      </c>
      <c r="AI209" s="68">
        <v>16</v>
      </c>
      <c r="AJ209" s="68">
        <v>17</v>
      </c>
      <c r="AK209" s="68">
        <v>18</v>
      </c>
      <c r="AL209" s="68">
        <v>19</v>
      </c>
      <c r="AM209" s="68">
        <v>20</v>
      </c>
      <c r="AN209" s="68">
        <v>21</v>
      </c>
      <c r="AO209" s="68">
        <v>22</v>
      </c>
      <c r="AP209" s="68">
        <v>23</v>
      </c>
      <c r="AQ209" s="68">
        <v>24</v>
      </c>
      <c r="AR209" s="68">
        <v>25</v>
      </c>
      <c r="AS209" s="68">
        <v>26</v>
      </c>
      <c r="AT209" s="68">
        <v>27</v>
      </c>
      <c r="AU209" s="68">
        <v>28</v>
      </c>
      <c r="AV209" s="68">
        <v>29</v>
      </c>
      <c r="AW209" s="68">
        <v>30</v>
      </c>
      <c r="AX209" s="68">
        <v>31</v>
      </c>
      <c r="AY209" s="68">
        <v>32</v>
      </c>
      <c r="AZ209" s="68">
        <v>33</v>
      </c>
      <c r="BA209" s="68">
        <v>34</v>
      </c>
      <c r="BB209" s="68"/>
      <c r="BC209" s="69"/>
      <c r="BD209" s="69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 t="s">
        <v>98</v>
      </c>
      <c r="BO209" s="69" t="s">
        <v>97</v>
      </c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JV209" s="30"/>
      <c r="KJ209" s="30"/>
    </row>
    <row r="210" spans="1:296" x14ac:dyDescent="0.25">
      <c r="A210" s="5" t="s">
        <v>53</v>
      </c>
      <c r="B210" s="8">
        <f t="shared" ref="B210:K211" si="162">AJ178</f>
        <v>0</v>
      </c>
      <c r="C210" s="8">
        <f t="shared" si="162"/>
        <v>0</v>
      </c>
      <c r="D210" s="8">
        <f t="shared" si="162"/>
        <v>0</v>
      </c>
      <c r="E210" s="8">
        <f t="shared" si="162"/>
        <v>0</v>
      </c>
      <c r="F210" s="8">
        <f t="shared" si="162"/>
        <v>0</v>
      </c>
      <c r="G210" s="8">
        <f t="shared" si="162"/>
        <v>0</v>
      </c>
      <c r="H210" s="8">
        <f t="shared" si="162"/>
        <v>0</v>
      </c>
      <c r="I210" s="8">
        <f t="shared" si="162"/>
        <v>1</v>
      </c>
      <c r="J210" s="8">
        <f t="shared" si="162"/>
        <v>0</v>
      </c>
      <c r="K210" s="8">
        <f t="shared" si="162"/>
        <v>3</v>
      </c>
      <c r="L210" s="8">
        <f t="shared" ref="L210:S211" si="163">AT178</f>
        <v>0</v>
      </c>
      <c r="M210" s="8">
        <f t="shared" si="163"/>
        <v>1</v>
      </c>
      <c r="N210" s="8">
        <f t="shared" si="163"/>
        <v>0</v>
      </c>
      <c r="O210" s="8">
        <f t="shared" si="163"/>
        <v>0</v>
      </c>
      <c r="P210" s="8">
        <f t="shared" si="163"/>
        <v>1</v>
      </c>
      <c r="Q210" s="8">
        <f t="shared" si="163"/>
        <v>0</v>
      </c>
      <c r="R210" s="8">
        <f t="shared" si="163"/>
        <v>1</v>
      </c>
      <c r="S210" s="8">
        <f t="shared" si="163"/>
        <v>6</v>
      </c>
      <c r="T210" s="4">
        <f t="shared" ref="T210:AC211" si="164">B182</f>
        <v>1</v>
      </c>
      <c r="U210" s="4">
        <f t="shared" si="164"/>
        <v>6</v>
      </c>
      <c r="V210" s="4">
        <f t="shared" si="164"/>
        <v>5</v>
      </c>
      <c r="W210" s="4">
        <f t="shared" si="164"/>
        <v>8</v>
      </c>
      <c r="X210" s="4">
        <f t="shared" si="164"/>
        <v>14</v>
      </c>
      <c r="Y210" s="4">
        <f t="shared" si="164"/>
        <v>16</v>
      </c>
      <c r="Z210" s="4">
        <f t="shared" si="164"/>
        <v>2</v>
      </c>
      <c r="AA210" s="4">
        <f t="shared" si="164"/>
        <v>9</v>
      </c>
      <c r="AB210" s="4">
        <f t="shared" si="164"/>
        <v>7</v>
      </c>
      <c r="AC210" s="4">
        <f t="shared" si="164"/>
        <v>11</v>
      </c>
      <c r="AD210" s="4">
        <f t="shared" ref="AD210:AM211" si="165">L182</f>
        <v>17</v>
      </c>
      <c r="AE210" s="4">
        <f t="shared" si="165"/>
        <v>34</v>
      </c>
      <c r="AF210" s="4">
        <f t="shared" si="165"/>
        <v>16</v>
      </c>
      <c r="AG210" s="4">
        <f t="shared" si="165"/>
        <v>19</v>
      </c>
      <c r="AH210" s="4">
        <f t="shared" si="165"/>
        <v>20</v>
      </c>
      <c r="AI210" s="4">
        <f t="shared" si="165"/>
        <v>14</v>
      </c>
      <c r="AJ210" s="4">
        <f t="shared" si="165"/>
        <v>9</v>
      </c>
      <c r="AK210" s="4">
        <f t="shared" si="165"/>
        <v>2</v>
      </c>
      <c r="AL210" s="4">
        <f t="shared" si="165"/>
        <v>1</v>
      </c>
      <c r="AM210" s="4">
        <f t="shared" si="165"/>
        <v>5</v>
      </c>
      <c r="AN210" s="4">
        <f t="shared" ref="AN210:AW211" si="166">V182</f>
        <v>3</v>
      </c>
      <c r="AO210" s="4">
        <f t="shared" si="166"/>
        <v>1</v>
      </c>
      <c r="AP210" s="4">
        <f t="shared" si="166"/>
        <v>1</v>
      </c>
      <c r="AQ210" s="4">
        <f t="shared" si="166"/>
        <v>0</v>
      </c>
      <c r="AR210" s="4">
        <f t="shared" si="166"/>
        <v>0</v>
      </c>
      <c r="AS210" s="4">
        <f t="shared" si="166"/>
        <v>0</v>
      </c>
      <c r="AT210" s="4">
        <f t="shared" si="166"/>
        <v>0</v>
      </c>
      <c r="AU210" s="4">
        <f t="shared" si="166"/>
        <v>0</v>
      </c>
      <c r="AV210" s="4">
        <f t="shared" si="166"/>
        <v>0</v>
      </c>
      <c r="AW210" s="4">
        <f t="shared" si="166"/>
        <v>0</v>
      </c>
      <c r="AX210" s="4">
        <f t="shared" ref="AX210:BA211" si="167">AF182</f>
        <v>0</v>
      </c>
      <c r="AY210" s="4">
        <f t="shared" si="167"/>
        <v>0</v>
      </c>
      <c r="AZ210" s="4">
        <f t="shared" si="167"/>
        <v>0</v>
      </c>
      <c r="BA210" s="4">
        <f t="shared" si="167"/>
        <v>0</v>
      </c>
      <c r="BC210" s="4"/>
      <c r="BD210" s="4"/>
      <c r="BE210" s="4"/>
      <c r="BF210" s="4"/>
      <c r="BG210" s="4"/>
      <c r="BH210" s="4"/>
      <c r="BI210" s="4"/>
      <c r="BN210" s="3">
        <f>BN181</f>
        <v>0</v>
      </c>
      <c r="BO210" s="30">
        <f>SUM(B210:BA210)</f>
        <v>234</v>
      </c>
    </row>
    <row r="211" spans="1:296" x14ac:dyDescent="0.25">
      <c r="A211" s="5" t="s">
        <v>54</v>
      </c>
      <c r="B211" s="8">
        <f t="shared" si="162"/>
        <v>0</v>
      </c>
      <c r="C211" s="8">
        <f t="shared" si="162"/>
        <v>0</v>
      </c>
      <c r="D211" s="8">
        <f t="shared" si="162"/>
        <v>0</v>
      </c>
      <c r="E211" s="8">
        <f t="shared" si="162"/>
        <v>0</v>
      </c>
      <c r="F211" s="8">
        <f t="shared" si="162"/>
        <v>0</v>
      </c>
      <c r="G211" s="8">
        <f t="shared" si="162"/>
        <v>0</v>
      </c>
      <c r="H211" s="8">
        <f t="shared" si="162"/>
        <v>0</v>
      </c>
      <c r="I211" s="8">
        <f t="shared" si="162"/>
        <v>0</v>
      </c>
      <c r="J211" s="8">
        <f t="shared" si="162"/>
        <v>0</v>
      </c>
      <c r="K211" s="8">
        <f t="shared" si="162"/>
        <v>0</v>
      </c>
      <c r="L211" s="8">
        <f t="shared" si="163"/>
        <v>0</v>
      </c>
      <c r="M211" s="8">
        <f t="shared" si="163"/>
        <v>0</v>
      </c>
      <c r="N211" s="8">
        <f t="shared" si="163"/>
        <v>0</v>
      </c>
      <c r="O211" s="8">
        <f t="shared" si="163"/>
        <v>0</v>
      </c>
      <c r="P211" s="8">
        <f t="shared" si="163"/>
        <v>0</v>
      </c>
      <c r="Q211" s="8">
        <f t="shared" si="163"/>
        <v>0</v>
      </c>
      <c r="R211" s="8">
        <f t="shared" si="163"/>
        <v>0</v>
      </c>
      <c r="S211" s="8">
        <f t="shared" si="163"/>
        <v>0</v>
      </c>
      <c r="T211" s="4">
        <f t="shared" si="164"/>
        <v>0</v>
      </c>
      <c r="U211" s="4">
        <f t="shared" si="164"/>
        <v>0</v>
      </c>
      <c r="V211" s="4">
        <f t="shared" si="164"/>
        <v>0</v>
      </c>
      <c r="W211" s="4">
        <f t="shared" si="164"/>
        <v>0</v>
      </c>
      <c r="X211" s="4">
        <f t="shared" si="164"/>
        <v>0</v>
      </c>
      <c r="Y211" s="4">
        <f t="shared" si="164"/>
        <v>0</v>
      </c>
      <c r="Z211" s="4">
        <f t="shared" si="164"/>
        <v>0</v>
      </c>
      <c r="AA211" s="4">
        <f t="shared" si="164"/>
        <v>0</v>
      </c>
      <c r="AB211" s="4">
        <f t="shared" si="164"/>
        <v>0</v>
      </c>
      <c r="AC211" s="4">
        <f t="shared" si="164"/>
        <v>0</v>
      </c>
      <c r="AD211" s="4">
        <f t="shared" si="165"/>
        <v>0</v>
      </c>
      <c r="AE211" s="4">
        <f t="shared" si="165"/>
        <v>0</v>
      </c>
      <c r="AF211" s="4">
        <f t="shared" si="165"/>
        <v>0</v>
      </c>
      <c r="AG211" s="4">
        <f t="shared" si="165"/>
        <v>0</v>
      </c>
      <c r="AH211" s="4">
        <f t="shared" si="165"/>
        <v>0</v>
      </c>
      <c r="AI211" s="4">
        <f t="shared" si="165"/>
        <v>0</v>
      </c>
      <c r="AJ211" s="4">
        <f t="shared" si="165"/>
        <v>0</v>
      </c>
      <c r="AK211" s="4">
        <f t="shared" si="165"/>
        <v>0</v>
      </c>
      <c r="AL211" s="4">
        <f t="shared" si="165"/>
        <v>0</v>
      </c>
      <c r="AM211" s="4">
        <f t="shared" si="165"/>
        <v>0</v>
      </c>
      <c r="AN211" s="4">
        <f t="shared" si="166"/>
        <v>0</v>
      </c>
      <c r="AO211" s="4">
        <f t="shared" si="166"/>
        <v>0</v>
      </c>
      <c r="AP211" s="4">
        <f t="shared" si="166"/>
        <v>0</v>
      </c>
      <c r="AQ211" s="4">
        <f t="shared" si="166"/>
        <v>0</v>
      </c>
      <c r="AR211" s="4">
        <f t="shared" si="166"/>
        <v>0</v>
      </c>
      <c r="AS211" s="4">
        <f t="shared" si="166"/>
        <v>0</v>
      </c>
      <c r="AT211" s="4">
        <f t="shared" si="166"/>
        <v>0</v>
      </c>
      <c r="AU211" s="4">
        <f t="shared" si="166"/>
        <v>0</v>
      </c>
      <c r="AV211" s="4">
        <f t="shared" si="166"/>
        <v>0</v>
      </c>
      <c r="AW211" s="4">
        <f t="shared" si="166"/>
        <v>0</v>
      </c>
      <c r="AX211" s="4">
        <f t="shared" si="167"/>
        <v>0</v>
      </c>
      <c r="AY211" s="4">
        <f t="shared" si="167"/>
        <v>0</v>
      </c>
      <c r="AZ211" s="4">
        <f t="shared" si="167"/>
        <v>0</v>
      </c>
      <c r="BA211" s="4">
        <f t="shared" si="167"/>
        <v>0</v>
      </c>
      <c r="BC211" s="4"/>
      <c r="BD211" s="4"/>
      <c r="BE211" s="4"/>
      <c r="BF211" s="4"/>
      <c r="BG211" s="4"/>
      <c r="BH211" s="4"/>
      <c r="BI211" s="4"/>
      <c r="BN211" s="3">
        <f>BN182</f>
        <v>0</v>
      </c>
      <c r="BO211" s="30">
        <f>SUM(B211:BA211)</f>
        <v>0</v>
      </c>
    </row>
    <row r="212" spans="1:296" x14ac:dyDescent="0.25">
      <c r="A212" s="5"/>
      <c r="T212" s="4"/>
      <c r="U212" s="4"/>
      <c r="V212" s="4"/>
      <c r="W212" s="4"/>
      <c r="X212" s="4"/>
      <c r="Y212" s="4"/>
      <c r="Z212" s="4"/>
      <c r="AA212" s="4"/>
      <c r="AB212" s="4"/>
      <c r="BC212" s="30"/>
    </row>
    <row r="213" spans="1:296" ht="26.4" x14ac:dyDescent="0.25">
      <c r="A213" s="66" t="s">
        <v>99</v>
      </c>
      <c r="B213" s="67">
        <v>35</v>
      </c>
      <c r="C213" s="67" t="s">
        <v>38</v>
      </c>
      <c r="D213" s="67" t="s">
        <v>39</v>
      </c>
      <c r="E213" s="67">
        <v>38</v>
      </c>
      <c r="F213" s="67">
        <v>39</v>
      </c>
      <c r="G213" s="67" t="s">
        <v>40</v>
      </c>
      <c r="H213" s="67" t="s">
        <v>41</v>
      </c>
      <c r="I213" s="67" t="s">
        <v>42</v>
      </c>
      <c r="J213" s="67" t="s">
        <v>43</v>
      </c>
      <c r="K213" s="67" t="s">
        <v>44</v>
      </c>
      <c r="L213" s="67">
        <v>45</v>
      </c>
      <c r="M213" s="67" t="s">
        <v>45</v>
      </c>
      <c r="N213" s="67" t="s">
        <v>46</v>
      </c>
      <c r="O213" s="67" t="s">
        <v>47</v>
      </c>
      <c r="P213" s="67" t="s">
        <v>48</v>
      </c>
      <c r="Q213" s="67" t="s">
        <v>49</v>
      </c>
      <c r="R213" s="67" t="s">
        <v>50</v>
      </c>
      <c r="S213" s="67" t="s">
        <v>51</v>
      </c>
      <c r="T213" s="67" t="s">
        <v>102</v>
      </c>
      <c r="U213" s="68">
        <v>1</v>
      </c>
      <c r="V213" s="68">
        <v>2</v>
      </c>
      <c r="W213" s="68">
        <v>3</v>
      </c>
      <c r="X213" s="68">
        <v>4</v>
      </c>
      <c r="Y213" s="68">
        <v>5</v>
      </c>
      <c r="Z213" s="68">
        <v>6</v>
      </c>
      <c r="AA213" s="68">
        <v>7</v>
      </c>
      <c r="AB213" s="68">
        <v>8</v>
      </c>
      <c r="AC213" s="68">
        <v>9</v>
      </c>
      <c r="AD213" s="68">
        <v>10</v>
      </c>
      <c r="AE213" s="69">
        <v>11</v>
      </c>
      <c r="AF213" s="68">
        <v>12</v>
      </c>
      <c r="AG213" s="68">
        <v>13</v>
      </c>
      <c r="AH213" s="68">
        <v>14</v>
      </c>
      <c r="AI213" s="68">
        <v>15</v>
      </c>
      <c r="AJ213" s="68">
        <v>16</v>
      </c>
      <c r="AK213" s="68">
        <v>17</v>
      </c>
      <c r="AL213" s="68">
        <v>18</v>
      </c>
      <c r="AM213" s="68">
        <v>19</v>
      </c>
      <c r="AN213" s="68">
        <v>20</v>
      </c>
      <c r="AO213" s="68">
        <v>21</v>
      </c>
      <c r="AP213" s="68">
        <v>22</v>
      </c>
      <c r="AQ213" s="68">
        <v>23</v>
      </c>
      <c r="AR213" s="68">
        <v>24</v>
      </c>
      <c r="AS213" s="68">
        <v>25</v>
      </c>
      <c r="AT213" s="68">
        <v>26</v>
      </c>
      <c r="AU213" s="68">
        <v>27</v>
      </c>
      <c r="AV213" s="68">
        <v>28</v>
      </c>
      <c r="AW213" s="68">
        <v>29</v>
      </c>
      <c r="AX213" s="68">
        <v>30</v>
      </c>
      <c r="AY213" s="68">
        <v>31</v>
      </c>
      <c r="AZ213" s="68">
        <v>32</v>
      </c>
      <c r="BA213" s="68">
        <v>33</v>
      </c>
      <c r="BB213" s="68">
        <v>34</v>
      </c>
      <c r="BC213" s="69"/>
      <c r="BD213" s="70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 t="s">
        <v>97</v>
      </c>
      <c r="BO213" s="71" t="s">
        <v>100</v>
      </c>
      <c r="BP213" s="71"/>
    </row>
    <row r="214" spans="1:296" x14ac:dyDescent="0.25">
      <c r="A214" s="5" t="s">
        <v>53</v>
      </c>
      <c r="B214" s="8">
        <f t="shared" ref="B214:K215" si="168">AJ182</f>
        <v>0</v>
      </c>
      <c r="C214" s="8">
        <f t="shared" si="168"/>
        <v>0</v>
      </c>
      <c r="D214" s="8">
        <f t="shared" si="168"/>
        <v>0</v>
      </c>
      <c r="E214" s="8">
        <f t="shared" si="168"/>
        <v>0</v>
      </c>
      <c r="F214" s="8">
        <f t="shared" si="168"/>
        <v>1</v>
      </c>
      <c r="G214" s="8">
        <f t="shared" si="168"/>
        <v>0</v>
      </c>
      <c r="H214" s="8">
        <f t="shared" si="168"/>
        <v>0</v>
      </c>
      <c r="I214" s="8">
        <f t="shared" si="168"/>
        <v>0</v>
      </c>
      <c r="J214" s="8">
        <f t="shared" si="168"/>
        <v>0</v>
      </c>
      <c r="K214" s="8">
        <f t="shared" si="168"/>
        <v>0</v>
      </c>
      <c r="L214" s="8">
        <f t="shared" ref="L214:T215" si="169">AT182</f>
        <v>1</v>
      </c>
      <c r="M214" s="8">
        <f t="shared" si="169"/>
        <v>1</v>
      </c>
      <c r="N214" s="8">
        <f t="shared" si="169"/>
        <v>0</v>
      </c>
      <c r="O214" s="8">
        <f t="shared" si="169"/>
        <v>0</v>
      </c>
      <c r="P214" s="8">
        <f t="shared" si="169"/>
        <v>0</v>
      </c>
      <c r="Q214" s="8">
        <f t="shared" si="169"/>
        <v>0</v>
      </c>
      <c r="R214" s="8">
        <f t="shared" si="169"/>
        <v>1</v>
      </c>
      <c r="S214" s="8">
        <f t="shared" si="169"/>
        <v>5</v>
      </c>
      <c r="T214" s="8">
        <f t="shared" si="169"/>
        <v>0</v>
      </c>
      <c r="U214" s="8">
        <f t="shared" ref="U214:AD215" si="170">B187</f>
        <v>0</v>
      </c>
      <c r="V214" s="8">
        <f t="shared" si="170"/>
        <v>3</v>
      </c>
      <c r="W214" s="8">
        <f t="shared" si="170"/>
        <v>1</v>
      </c>
      <c r="X214" s="8">
        <f t="shared" si="170"/>
        <v>0</v>
      </c>
      <c r="Y214" s="8">
        <f t="shared" si="170"/>
        <v>0</v>
      </c>
      <c r="Z214" s="8">
        <f t="shared" si="170"/>
        <v>2</v>
      </c>
      <c r="AA214" s="8">
        <f t="shared" si="170"/>
        <v>1</v>
      </c>
      <c r="AB214" s="8">
        <f t="shared" si="170"/>
        <v>0</v>
      </c>
      <c r="AC214" s="8">
        <f t="shared" si="170"/>
        <v>2</v>
      </c>
      <c r="AD214" s="8">
        <f t="shared" si="170"/>
        <v>2</v>
      </c>
      <c r="AE214" s="8">
        <f t="shared" ref="AE214:AN215" si="171">L187</f>
        <v>1</v>
      </c>
      <c r="AF214" s="8">
        <f t="shared" si="171"/>
        <v>2</v>
      </c>
      <c r="AG214" s="8">
        <f t="shared" si="171"/>
        <v>1</v>
      </c>
      <c r="AH214" s="8">
        <f t="shared" si="171"/>
        <v>0</v>
      </c>
      <c r="AI214" s="8">
        <f t="shared" si="171"/>
        <v>2</v>
      </c>
      <c r="AJ214" s="8">
        <f t="shared" si="171"/>
        <v>1</v>
      </c>
      <c r="AK214" s="8">
        <f t="shared" si="171"/>
        <v>0</v>
      </c>
      <c r="AL214" s="8">
        <f t="shared" si="171"/>
        <v>0</v>
      </c>
      <c r="AM214" s="8">
        <f t="shared" si="171"/>
        <v>0</v>
      </c>
      <c r="AN214" s="8">
        <f t="shared" si="171"/>
        <v>1</v>
      </c>
      <c r="AO214" s="8">
        <f t="shared" ref="AO214:AX215" si="172">V187</f>
        <v>1</v>
      </c>
      <c r="AP214" s="8">
        <f t="shared" si="172"/>
        <v>0</v>
      </c>
      <c r="AQ214" s="8">
        <f t="shared" si="172"/>
        <v>0</v>
      </c>
      <c r="AR214" s="8">
        <f t="shared" si="172"/>
        <v>1</v>
      </c>
      <c r="AS214" s="8">
        <f t="shared" si="172"/>
        <v>0</v>
      </c>
      <c r="AT214" s="8">
        <f t="shared" si="172"/>
        <v>0</v>
      </c>
      <c r="AU214" s="8">
        <f t="shared" si="172"/>
        <v>0</v>
      </c>
      <c r="AV214" s="8">
        <f t="shared" si="172"/>
        <v>0</v>
      </c>
      <c r="AW214" s="8">
        <f t="shared" si="172"/>
        <v>0</v>
      </c>
      <c r="AX214" s="8">
        <f t="shared" si="172"/>
        <v>0</v>
      </c>
      <c r="AY214" s="8">
        <f t="shared" ref="AY214:BB215" si="173">AF187</f>
        <v>0</v>
      </c>
      <c r="AZ214" s="8">
        <f t="shared" si="173"/>
        <v>0</v>
      </c>
      <c r="BA214" s="8">
        <f t="shared" si="173"/>
        <v>0</v>
      </c>
      <c r="BB214" s="8">
        <f t="shared" si="173"/>
        <v>0</v>
      </c>
      <c r="BC214" s="30"/>
      <c r="BN214" s="3">
        <f>SUM(B210:BA210)</f>
        <v>234</v>
      </c>
      <c r="BO214" s="3">
        <f>SUM(B214:BB214)</f>
        <v>30</v>
      </c>
    </row>
    <row r="215" spans="1:296" x14ac:dyDescent="0.25">
      <c r="A215" s="5" t="s">
        <v>54</v>
      </c>
      <c r="B215" s="8">
        <f t="shared" si="168"/>
        <v>0</v>
      </c>
      <c r="C215" s="8">
        <f t="shared" si="168"/>
        <v>0</v>
      </c>
      <c r="D215" s="8">
        <f t="shared" si="168"/>
        <v>0</v>
      </c>
      <c r="E215" s="8">
        <f t="shared" si="168"/>
        <v>0</v>
      </c>
      <c r="F215" s="8">
        <f t="shared" si="168"/>
        <v>0</v>
      </c>
      <c r="G215" s="8">
        <f t="shared" si="168"/>
        <v>0</v>
      </c>
      <c r="H215" s="8">
        <f t="shared" si="168"/>
        <v>0</v>
      </c>
      <c r="I215" s="8">
        <f t="shared" si="168"/>
        <v>0</v>
      </c>
      <c r="J215" s="8">
        <f t="shared" si="168"/>
        <v>0</v>
      </c>
      <c r="K215" s="8">
        <f t="shared" si="168"/>
        <v>0</v>
      </c>
      <c r="L215" s="8">
        <f t="shared" si="169"/>
        <v>0</v>
      </c>
      <c r="M215" s="8">
        <f t="shared" si="169"/>
        <v>0</v>
      </c>
      <c r="N215" s="8">
        <f t="shared" si="169"/>
        <v>0</v>
      </c>
      <c r="O215" s="8">
        <f t="shared" si="169"/>
        <v>0</v>
      </c>
      <c r="P215" s="8">
        <f t="shared" si="169"/>
        <v>0</v>
      </c>
      <c r="Q215" s="8">
        <f t="shared" si="169"/>
        <v>0</v>
      </c>
      <c r="R215" s="8">
        <f t="shared" si="169"/>
        <v>0</v>
      </c>
      <c r="S215" s="8">
        <f t="shared" si="169"/>
        <v>0</v>
      </c>
      <c r="T215" s="8">
        <f t="shared" si="169"/>
        <v>0</v>
      </c>
      <c r="U215" s="8">
        <f t="shared" si="170"/>
        <v>0</v>
      </c>
      <c r="V215" s="8">
        <f t="shared" si="170"/>
        <v>0</v>
      </c>
      <c r="W215" s="8">
        <f t="shared" si="170"/>
        <v>0</v>
      </c>
      <c r="X215" s="8">
        <f t="shared" si="170"/>
        <v>0</v>
      </c>
      <c r="Y215" s="8">
        <f t="shared" si="170"/>
        <v>0</v>
      </c>
      <c r="Z215" s="8">
        <f t="shared" si="170"/>
        <v>0</v>
      </c>
      <c r="AA215" s="8">
        <f t="shared" si="170"/>
        <v>0</v>
      </c>
      <c r="AB215" s="8">
        <f t="shared" si="170"/>
        <v>0</v>
      </c>
      <c r="AC215" s="8">
        <f t="shared" si="170"/>
        <v>0</v>
      </c>
      <c r="AD215" s="8">
        <f t="shared" si="170"/>
        <v>0</v>
      </c>
      <c r="AE215" s="8">
        <f t="shared" si="171"/>
        <v>0</v>
      </c>
      <c r="AF215" s="8">
        <f t="shared" si="171"/>
        <v>0</v>
      </c>
      <c r="AG215" s="8">
        <f t="shared" si="171"/>
        <v>0</v>
      </c>
      <c r="AH215" s="8">
        <f t="shared" si="171"/>
        <v>0</v>
      </c>
      <c r="AI215" s="8">
        <f t="shared" si="171"/>
        <v>0</v>
      </c>
      <c r="AJ215" s="8">
        <f t="shared" si="171"/>
        <v>0</v>
      </c>
      <c r="AK215" s="8">
        <f t="shared" si="171"/>
        <v>0</v>
      </c>
      <c r="AL215" s="8">
        <f t="shared" si="171"/>
        <v>0</v>
      </c>
      <c r="AM215" s="8">
        <f t="shared" si="171"/>
        <v>0</v>
      </c>
      <c r="AN215" s="8">
        <f t="shared" si="171"/>
        <v>0</v>
      </c>
      <c r="AO215" s="8">
        <f t="shared" si="172"/>
        <v>0</v>
      </c>
      <c r="AP215" s="8">
        <f t="shared" si="172"/>
        <v>0</v>
      </c>
      <c r="AQ215" s="8">
        <f t="shared" si="172"/>
        <v>0</v>
      </c>
      <c r="AR215" s="8">
        <f t="shared" si="172"/>
        <v>0</v>
      </c>
      <c r="AS215" s="8">
        <f t="shared" si="172"/>
        <v>0</v>
      </c>
      <c r="AT215" s="8">
        <f t="shared" si="172"/>
        <v>0</v>
      </c>
      <c r="AU215" s="8">
        <f t="shared" si="172"/>
        <v>0</v>
      </c>
      <c r="AV215" s="8">
        <f t="shared" si="172"/>
        <v>0</v>
      </c>
      <c r="AW215" s="8">
        <f t="shared" si="172"/>
        <v>0</v>
      </c>
      <c r="AX215" s="8">
        <f t="shared" si="172"/>
        <v>0</v>
      </c>
      <c r="AY215" s="8">
        <f t="shared" si="173"/>
        <v>0</v>
      </c>
      <c r="AZ215" s="8">
        <f t="shared" si="173"/>
        <v>0</v>
      </c>
      <c r="BA215" s="8">
        <f t="shared" si="173"/>
        <v>0</v>
      </c>
      <c r="BB215" s="8">
        <f t="shared" si="173"/>
        <v>0</v>
      </c>
      <c r="BC215" s="30"/>
      <c r="BN215" s="3">
        <f>SUM(B211:BA211)</f>
        <v>0</v>
      </c>
      <c r="BO215" s="3">
        <f>SUM(B215:BB215)</f>
        <v>0</v>
      </c>
    </row>
    <row r="216" spans="1:296" x14ac:dyDescent="0.25">
      <c r="A216" s="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C216" s="30"/>
    </row>
    <row r="217" spans="1:296" ht="26.4" x14ac:dyDescent="0.25">
      <c r="A217" s="66" t="s">
        <v>117</v>
      </c>
      <c r="B217" s="67">
        <v>35</v>
      </c>
      <c r="C217" s="67" t="s">
        <v>38</v>
      </c>
      <c r="D217" s="67" t="s">
        <v>39</v>
      </c>
      <c r="E217" s="67">
        <v>38</v>
      </c>
      <c r="F217" s="67">
        <v>39</v>
      </c>
      <c r="G217" s="67" t="s">
        <v>40</v>
      </c>
      <c r="H217" s="67" t="s">
        <v>41</v>
      </c>
      <c r="I217" s="67" t="s">
        <v>42</v>
      </c>
      <c r="J217" s="67" t="s">
        <v>43</v>
      </c>
      <c r="K217" s="67" t="s">
        <v>44</v>
      </c>
      <c r="L217" s="67">
        <v>45</v>
      </c>
      <c r="M217" s="67" t="s">
        <v>45</v>
      </c>
      <c r="N217" s="67" t="s">
        <v>46</v>
      </c>
      <c r="O217" s="67" t="s">
        <v>47</v>
      </c>
      <c r="P217" s="67" t="s">
        <v>48</v>
      </c>
      <c r="Q217" s="67" t="s">
        <v>49</v>
      </c>
      <c r="R217" s="67" t="s">
        <v>50</v>
      </c>
      <c r="S217" s="67" t="s">
        <v>51</v>
      </c>
      <c r="T217" s="68">
        <v>1</v>
      </c>
      <c r="U217" s="68">
        <v>2</v>
      </c>
      <c r="V217" s="68">
        <v>3</v>
      </c>
      <c r="W217" s="68">
        <v>4</v>
      </c>
      <c r="X217" s="68">
        <v>5</v>
      </c>
      <c r="Y217" s="68">
        <v>6</v>
      </c>
      <c r="Z217" s="68">
        <v>7</v>
      </c>
      <c r="AA217" s="68">
        <v>8</v>
      </c>
      <c r="AB217" s="68">
        <v>9</v>
      </c>
      <c r="AC217" s="68">
        <v>10</v>
      </c>
      <c r="AD217" s="69">
        <v>11</v>
      </c>
      <c r="AE217" s="68">
        <v>12</v>
      </c>
      <c r="AF217" s="68">
        <v>13</v>
      </c>
      <c r="AG217" s="68">
        <v>14</v>
      </c>
      <c r="AH217" s="68">
        <v>15</v>
      </c>
      <c r="AI217" s="68">
        <v>16</v>
      </c>
      <c r="AJ217" s="68">
        <v>17</v>
      </c>
      <c r="AK217" s="68">
        <v>18</v>
      </c>
      <c r="AL217" s="68">
        <v>19</v>
      </c>
      <c r="AM217" s="68">
        <v>20</v>
      </c>
      <c r="AN217" s="68">
        <v>21</v>
      </c>
      <c r="AO217" s="68">
        <v>22</v>
      </c>
      <c r="AP217" s="68">
        <v>23</v>
      </c>
      <c r="AQ217" s="68">
        <v>24</v>
      </c>
      <c r="AR217" s="68">
        <v>25</v>
      </c>
      <c r="AS217" s="68">
        <v>26</v>
      </c>
      <c r="AT217" s="68">
        <v>27</v>
      </c>
      <c r="AU217" s="68">
        <v>28</v>
      </c>
      <c r="AV217" s="68">
        <v>29</v>
      </c>
      <c r="AW217" s="68">
        <v>30</v>
      </c>
      <c r="AX217" s="68">
        <v>31</v>
      </c>
      <c r="AY217" s="68">
        <v>32</v>
      </c>
      <c r="AZ217" s="68">
        <v>33</v>
      </c>
      <c r="BA217" s="68">
        <v>34</v>
      </c>
      <c r="BB217" s="71"/>
      <c r="BC217" s="69"/>
      <c r="BD217" s="70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 t="s">
        <v>97</v>
      </c>
      <c r="BO217" s="71" t="s">
        <v>100</v>
      </c>
      <c r="BP217" s="71"/>
    </row>
    <row r="218" spans="1:296" x14ac:dyDescent="0.25">
      <c r="A218" s="5" t="s">
        <v>53</v>
      </c>
      <c r="B218" s="8">
        <f t="shared" ref="B218:K219" si="174">AJ187</f>
        <v>0</v>
      </c>
      <c r="C218" s="8">
        <f t="shared" si="174"/>
        <v>0</v>
      </c>
      <c r="D218" s="8">
        <f t="shared" si="174"/>
        <v>0</v>
      </c>
      <c r="E218" s="8">
        <f t="shared" si="174"/>
        <v>0</v>
      </c>
      <c r="F218" s="8">
        <f t="shared" si="174"/>
        <v>1</v>
      </c>
      <c r="G218" s="8">
        <f t="shared" si="174"/>
        <v>1</v>
      </c>
      <c r="H218" s="8">
        <f t="shared" si="174"/>
        <v>0</v>
      </c>
      <c r="I218" s="8">
        <f t="shared" si="174"/>
        <v>0</v>
      </c>
      <c r="J218" s="8">
        <f t="shared" si="174"/>
        <v>1</v>
      </c>
      <c r="K218" s="8">
        <f t="shared" si="174"/>
        <v>0</v>
      </c>
      <c r="L218" s="8">
        <f t="shared" ref="L218:S219" si="175">AT187</f>
        <v>2</v>
      </c>
      <c r="M218" s="8">
        <f t="shared" si="175"/>
        <v>0</v>
      </c>
      <c r="N218" s="8">
        <f t="shared" si="175"/>
        <v>0</v>
      </c>
      <c r="O218" s="8">
        <f t="shared" si="175"/>
        <v>1</v>
      </c>
      <c r="P218" s="8">
        <f t="shared" si="175"/>
        <v>2</v>
      </c>
      <c r="Q218" s="8">
        <f t="shared" si="175"/>
        <v>0</v>
      </c>
      <c r="R218" s="8">
        <f t="shared" si="175"/>
        <v>1</v>
      </c>
      <c r="S218" s="8">
        <f t="shared" si="175"/>
        <v>0</v>
      </c>
      <c r="T218" s="8">
        <f t="shared" ref="T218:AC219" si="176">B191</f>
        <v>1</v>
      </c>
      <c r="U218" s="8">
        <f t="shared" si="176"/>
        <v>1</v>
      </c>
      <c r="V218" s="8">
        <f t="shared" si="176"/>
        <v>1</v>
      </c>
      <c r="W218" s="8">
        <f t="shared" si="176"/>
        <v>1</v>
      </c>
      <c r="X218" s="8">
        <f t="shared" si="176"/>
        <v>1</v>
      </c>
      <c r="Y218" s="8">
        <f t="shared" si="176"/>
        <v>1</v>
      </c>
      <c r="Z218" s="8">
        <f t="shared" si="176"/>
        <v>1</v>
      </c>
      <c r="AA218" s="8">
        <f t="shared" si="176"/>
        <v>0</v>
      </c>
      <c r="AB218" s="8">
        <f t="shared" si="176"/>
        <v>0</v>
      </c>
      <c r="AC218" s="8">
        <f t="shared" si="176"/>
        <v>1</v>
      </c>
      <c r="AD218" s="8">
        <f t="shared" ref="AD218:AM219" si="177">L191</f>
        <v>0</v>
      </c>
      <c r="AE218" s="8">
        <f t="shared" si="177"/>
        <v>0</v>
      </c>
      <c r="AF218" s="8">
        <f t="shared" si="177"/>
        <v>0</v>
      </c>
      <c r="AG218" s="8">
        <f t="shared" si="177"/>
        <v>0</v>
      </c>
      <c r="AH218" s="8">
        <f t="shared" si="177"/>
        <v>0</v>
      </c>
      <c r="AI218" s="8">
        <f t="shared" si="177"/>
        <v>0</v>
      </c>
      <c r="AJ218" s="8">
        <f t="shared" si="177"/>
        <v>0</v>
      </c>
      <c r="AK218" s="8">
        <f t="shared" si="177"/>
        <v>1</v>
      </c>
      <c r="AL218" s="8">
        <f t="shared" si="177"/>
        <v>1</v>
      </c>
      <c r="AM218" s="8">
        <f t="shared" si="177"/>
        <v>0</v>
      </c>
      <c r="AN218" s="8">
        <f t="shared" ref="AN218:AW219" si="178">V191</f>
        <v>0</v>
      </c>
      <c r="AO218" s="8">
        <f t="shared" si="178"/>
        <v>0</v>
      </c>
      <c r="AP218" s="8">
        <f t="shared" si="178"/>
        <v>0</v>
      </c>
      <c r="AQ218" s="8">
        <f t="shared" si="178"/>
        <v>2</v>
      </c>
      <c r="AR218" s="8">
        <f t="shared" si="178"/>
        <v>0</v>
      </c>
      <c r="AS218" s="8">
        <f t="shared" si="178"/>
        <v>0</v>
      </c>
      <c r="AT218" s="8">
        <f t="shared" si="178"/>
        <v>1</v>
      </c>
      <c r="AU218" s="8">
        <f t="shared" si="178"/>
        <v>7</v>
      </c>
      <c r="AV218" s="8">
        <f t="shared" si="178"/>
        <v>11</v>
      </c>
      <c r="AW218" s="8">
        <f t="shared" si="178"/>
        <v>0</v>
      </c>
      <c r="AX218" s="8">
        <f t="shared" ref="AX218:BA219" si="179">AF191</f>
        <v>1</v>
      </c>
      <c r="AY218" s="8">
        <f t="shared" si="179"/>
        <v>0</v>
      </c>
      <c r="AZ218" s="8">
        <f t="shared" si="179"/>
        <v>0</v>
      </c>
      <c r="BA218" s="8">
        <f t="shared" si="179"/>
        <v>0</v>
      </c>
      <c r="BC218" s="30"/>
      <c r="BN218" s="3">
        <f>SUM(B214:BA214)</f>
        <v>30</v>
      </c>
      <c r="BO218" s="3">
        <f>SUM(B218:BA218)</f>
        <v>41</v>
      </c>
    </row>
    <row r="219" spans="1:296" x14ac:dyDescent="0.25">
      <c r="A219" s="5" t="s">
        <v>54</v>
      </c>
      <c r="B219" s="8">
        <f t="shared" si="174"/>
        <v>0</v>
      </c>
      <c r="C219" s="8">
        <f t="shared" si="174"/>
        <v>0</v>
      </c>
      <c r="D219" s="8">
        <f t="shared" si="174"/>
        <v>0</v>
      </c>
      <c r="E219" s="8">
        <f t="shared" si="174"/>
        <v>0</v>
      </c>
      <c r="F219" s="8">
        <f t="shared" si="174"/>
        <v>0</v>
      </c>
      <c r="G219" s="8">
        <f t="shared" si="174"/>
        <v>0</v>
      </c>
      <c r="H219" s="8">
        <f t="shared" si="174"/>
        <v>0</v>
      </c>
      <c r="I219" s="8">
        <f t="shared" si="174"/>
        <v>0</v>
      </c>
      <c r="J219" s="8">
        <f t="shared" si="174"/>
        <v>0</v>
      </c>
      <c r="K219" s="8">
        <f t="shared" si="174"/>
        <v>0</v>
      </c>
      <c r="L219" s="8">
        <f t="shared" si="175"/>
        <v>0</v>
      </c>
      <c r="M219" s="8">
        <f t="shared" si="175"/>
        <v>0</v>
      </c>
      <c r="N219" s="8">
        <f t="shared" si="175"/>
        <v>0</v>
      </c>
      <c r="O219" s="8">
        <f t="shared" si="175"/>
        <v>0</v>
      </c>
      <c r="P219" s="8">
        <f t="shared" si="175"/>
        <v>0</v>
      </c>
      <c r="Q219" s="8">
        <f t="shared" si="175"/>
        <v>0</v>
      </c>
      <c r="R219" s="8">
        <f t="shared" si="175"/>
        <v>0</v>
      </c>
      <c r="S219" s="8">
        <f t="shared" si="175"/>
        <v>0</v>
      </c>
      <c r="T219" s="8">
        <f t="shared" si="176"/>
        <v>0</v>
      </c>
      <c r="U219" s="8">
        <f t="shared" si="176"/>
        <v>0</v>
      </c>
      <c r="V219" s="8">
        <f t="shared" si="176"/>
        <v>0</v>
      </c>
      <c r="W219" s="8">
        <f t="shared" si="176"/>
        <v>0</v>
      </c>
      <c r="X219" s="8">
        <f t="shared" si="176"/>
        <v>0</v>
      </c>
      <c r="Y219" s="8">
        <f t="shared" si="176"/>
        <v>0</v>
      </c>
      <c r="Z219" s="8">
        <f t="shared" si="176"/>
        <v>0</v>
      </c>
      <c r="AA219" s="8">
        <f t="shared" si="176"/>
        <v>0</v>
      </c>
      <c r="AB219" s="8">
        <f t="shared" si="176"/>
        <v>0</v>
      </c>
      <c r="AC219" s="8">
        <f t="shared" si="176"/>
        <v>0</v>
      </c>
      <c r="AD219" s="8">
        <f t="shared" si="177"/>
        <v>0</v>
      </c>
      <c r="AE219" s="8">
        <f t="shared" si="177"/>
        <v>0</v>
      </c>
      <c r="AF219" s="8">
        <f t="shared" si="177"/>
        <v>0</v>
      </c>
      <c r="AG219" s="8">
        <f t="shared" si="177"/>
        <v>0</v>
      </c>
      <c r="AH219" s="8">
        <f t="shared" si="177"/>
        <v>0</v>
      </c>
      <c r="AI219" s="8">
        <f t="shared" si="177"/>
        <v>0</v>
      </c>
      <c r="AJ219" s="8">
        <f t="shared" si="177"/>
        <v>0</v>
      </c>
      <c r="AK219" s="8">
        <f t="shared" si="177"/>
        <v>0</v>
      </c>
      <c r="AL219" s="8">
        <f t="shared" si="177"/>
        <v>0</v>
      </c>
      <c r="AM219" s="8">
        <f t="shared" si="177"/>
        <v>0</v>
      </c>
      <c r="AN219" s="8">
        <f t="shared" si="178"/>
        <v>0</v>
      </c>
      <c r="AO219" s="8">
        <f t="shared" si="178"/>
        <v>0</v>
      </c>
      <c r="AP219" s="8">
        <f t="shared" si="178"/>
        <v>0</v>
      </c>
      <c r="AQ219" s="8">
        <f t="shared" si="178"/>
        <v>0</v>
      </c>
      <c r="AR219" s="8">
        <f t="shared" si="178"/>
        <v>0</v>
      </c>
      <c r="AS219" s="8">
        <f t="shared" si="178"/>
        <v>0</v>
      </c>
      <c r="AT219" s="8">
        <f t="shared" si="178"/>
        <v>0</v>
      </c>
      <c r="AU219" s="8">
        <f t="shared" si="178"/>
        <v>0</v>
      </c>
      <c r="AV219" s="8">
        <f t="shared" si="178"/>
        <v>0</v>
      </c>
      <c r="AW219" s="8">
        <f t="shared" si="178"/>
        <v>0</v>
      </c>
      <c r="AX219" s="8">
        <f t="shared" si="179"/>
        <v>0</v>
      </c>
      <c r="AY219" s="8">
        <f t="shared" si="179"/>
        <v>0</v>
      </c>
      <c r="AZ219" s="8">
        <f t="shared" si="179"/>
        <v>0</v>
      </c>
      <c r="BA219" s="8">
        <f t="shared" si="179"/>
        <v>0</v>
      </c>
      <c r="BC219" s="30"/>
      <c r="BN219" s="3">
        <f>SUM(B215:BA215)</f>
        <v>0</v>
      </c>
      <c r="BO219" s="3">
        <f>SUM(B219:BA219)</f>
        <v>0</v>
      </c>
    </row>
    <row r="220" spans="1:296" x14ac:dyDescent="0.25">
      <c r="A220" s="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C220" s="30"/>
    </row>
    <row r="221" spans="1:296" x14ac:dyDescent="0.25">
      <c r="A221" s="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C221" s="30"/>
    </row>
    <row r="222" spans="1:296" ht="26.4" x14ac:dyDescent="0.25">
      <c r="A222" s="66" t="s">
        <v>134</v>
      </c>
      <c r="B222" s="67">
        <v>35</v>
      </c>
      <c r="C222" s="67" t="s">
        <v>38</v>
      </c>
      <c r="D222" s="67" t="s">
        <v>39</v>
      </c>
      <c r="E222" s="67">
        <v>38</v>
      </c>
      <c r="F222" s="67">
        <v>39</v>
      </c>
      <c r="G222" s="67" t="s">
        <v>40</v>
      </c>
      <c r="H222" s="67" t="s">
        <v>41</v>
      </c>
      <c r="I222" s="67" t="s">
        <v>42</v>
      </c>
      <c r="J222" s="67" t="s">
        <v>43</v>
      </c>
      <c r="K222" s="67" t="s">
        <v>44</v>
      </c>
      <c r="L222" s="67">
        <v>45</v>
      </c>
      <c r="M222" s="67" t="s">
        <v>45</v>
      </c>
      <c r="N222" s="67" t="s">
        <v>46</v>
      </c>
      <c r="O222" s="67" t="s">
        <v>47</v>
      </c>
      <c r="P222" s="67" t="s">
        <v>48</v>
      </c>
      <c r="Q222" s="67" t="s">
        <v>49</v>
      </c>
      <c r="R222" s="67" t="s">
        <v>50</v>
      </c>
      <c r="S222" s="67" t="s">
        <v>51</v>
      </c>
      <c r="T222" s="68">
        <v>1</v>
      </c>
      <c r="U222" s="68">
        <v>2</v>
      </c>
      <c r="V222" s="68">
        <v>3</v>
      </c>
      <c r="W222" s="68">
        <v>4</v>
      </c>
      <c r="X222" s="68">
        <v>5</v>
      </c>
      <c r="Y222" s="68">
        <v>6</v>
      </c>
      <c r="Z222" s="68">
        <v>7</v>
      </c>
      <c r="AA222" s="68">
        <v>8</v>
      </c>
      <c r="AB222" s="68">
        <v>9</v>
      </c>
      <c r="AC222" s="68">
        <v>10</v>
      </c>
      <c r="AD222" s="69">
        <v>11</v>
      </c>
      <c r="AE222" s="68">
        <v>12</v>
      </c>
      <c r="AF222" s="68">
        <v>13</v>
      </c>
      <c r="AG222" s="68">
        <v>14</v>
      </c>
      <c r="AH222" s="68">
        <v>15</v>
      </c>
      <c r="AI222" s="68">
        <v>16</v>
      </c>
      <c r="AJ222" s="68">
        <v>17</v>
      </c>
      <c r="AK222" s="68">
        <v>18</v>
      </c>
      <c r="AL222" s="68">
        <v>19</v>
      </c>
      <c r="AM222" s="68">
        <v>20</v>
      </c>
      <c r="AN222" s="68">
        <v>21</v>
      </c>
      <c r="AO222" s="68">
        <v>22</v>
      </c>
      <c r="AP222" s="68">
        <v>23</v>
      </c>
      <c r="AQ222" s="68">
        <v>24</v>
      </c>
      <c r="AR222" s="68">
        <v>25</v>
      </c>
      <c r="AS222" s="68">
        <v>26</v>
      </c>
      <c r="AT222" s="68">
        <v>27</v>
      </c>
      <c r="AU222" s="68">
        <v>28</v>
      </c>
      <c r="AV222" s="68">
        <v>29</v>
      </c>
      <c r="AW222" s="68">
        <v>30</v>
      </c>
      <c r="AX222" s="68">
        <v>31</v>
      </c>
      <c r="AY222" s="68">
        <v>32</v>
      </c>
      <c r="AZ222" s="68">
        <v>33</v>
      </c>
      <c r="BA222" s="68">
        <v>34</v>
      </c>
      <c r="BB222" s="71"/>
      <c r="BC222" s="69"/>
      <c r="BD222" s="70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 t="s">
        <v>116</v>
      </c>
      <c r="BO222" s="71" t="s">
        <v>135</v>
      </c>
      <c r="BP222" s="71"/>
    </row>
    <row r="223" spans="1:296" x14ac:dyDescent="0.25">
      <c r="A223" s="5" t="s">
        <v>53</v>
      </c>
      <c r="B223" s="8">
        <f t="shared" ref="B223:K224" si="180">AJ191</f>
        <v>0</v>
      </c>
      <c r="C223" s="8">
        <f t="shared" si="180"/>
        <v>0</v>
      </c>
      <c r="D223" s="8">
        <f t="shared" si="180"/>
        <v>0</v>
      </c>
      <c r="E223" s="8">
        <f t="shared" si="180"/>
        <v>0</v>
      </c>
      <c r="F223" s="8">
        <f t="shared" si="180"/>
        <v>1</v>
      </c>
      <c r="G223" s="8">
        <f t="shared" si="180"/>
        <v>0</v>
      </c>
      <c r="H223" s="8">
        <f t="shared" si="180"/>
        <v>0</v>
      </c>
      <c r="I223" s="8">
        <f t="shared" si="180"/>
        <v>0</v>
      </c>
      <c r="J223" s="8">
        <f t="shared" si="180"/>
        <v>1</v>
      </c>
      <c r="K223" s="8">
        <f t="shared" si="180"/>
        <v>1</v>
      </c>
      <c r="L223" s="8">
        <f t="shared" ref="L223:S224" si="181">AT191</f>
        <v>3</v>
      </c>
      <c r="M223" s="8">
        <f t="shared" si="181"/>
        <v>0</v>
      </c>
      <c r="N223" s="8">
        <f t="shared" si="181"/>
        <v>1</v>
      </c>
      <c r="O223" s="8">
        <f t="shared" si="181"/>
        <v>0</v>
      </c>
      <c r="P223" s="8">
        <f t="shared" si="181"/>
        <v>3</v>
      </c>
      <c r="Q223" s="8">
        <f t="shared" si="181"/>
        <v>3</v>
      </c>
      <c r="R223" s="8">
        <f t="shared" si="181"/>
        <v>2</v>
      </c>
      <c r="S223" s="8">
        <f t="shared" si="181"/>
        <v>2</v>
      </c>
      <c r="T223" s="8">
        <f t="shared" ref="T223:AC224" si="182">B195</f>
        <v>2</v>
      </c>
      <c r="U223" s="8">
        <f t="shared" si="182"/>
        <v>3</v>
      </c>
      <c r="V223" s="8">
        <f t="shared" si="182"/>
        <v>2</v>
      </c>
      <c r="W223" s="8">
        <f t="shared" si="182"/>
        <v>2</v>
      </c>
      <c r="X223" s="8">
        <f t="shared" si="182"/>
        <v>2</v>
      </c>
      <c r="Y223" s="8">
        <f t="shared" si="182"/>
        <v>3</v>
      </c>
      <c r="Z223" s="8">
        <f t="shared" si="182"/>
        <v>5</v>
      </c>
      <c r="AA223" s="8">
        <f t="shared" si="182"/>
        <v>2</v>
      </c>
      <c r="AB223" s="8">
        <f t="shared" si="182"/>
        <v>8</v>
      </c>
      <c r="AC223" s="8">
        <f t="shared" si="182"/>
        <v>1</v>
      </c>
      <c r="AD223" s="8">
        <f t="shared" ref="AD223:AM224" si="183">L195</f>
        <v>1</v>
      </c>
      <c r="AE223" s="8">
        <f t="shared" si="183"/>
        <v>13</v>
      </c>
      <c r="AF223" s="8">
        <f t="shared" si="183"/>
        <v>31</v>
      </c>
      <c r="AG223" s="8">
        <f t="shared" si="183"/>
        <v>5</v>
      </c>
      <c r="AH223" s="8">
        <f t="shared" si="183"/>
        <v>19</v>
      </c>
      <c r="AI223" s="8">
        <f t="shared" si="183"/>
        <v>4</v>
      </c>
      <c r="AJ223" s="8">
        <f t="shared" si="183"/>
        <v>12</v>
      </c>
      <c r="AK223" s="8">
        <f t="shared" si="183"/>
        <v>3</v>
      </c>
      <c r="AL223" s="8">
        <f t="shared" si="183"/>
        <v>3</v>
      </c>
      <c r="AM223" s="8">
        <f t="shared" si="183"/>
        <v>2</v>
      </c>
      <c r="AN223" s="8">
        <f t="shared" ref="AN223:AW224" si="184">V195</f>
        <v>1</v>
      </c>
      <c r="AO223" s="8">
        <f t="shared" si="184"/>
        <v>3</v>
      </c>
      <c r="AP223" s="8">
        <f t="shared" si="184"/>
        <v>5</v>
      </c>
      <c r="AQ223" s="8">
        <f t="shared" si="184"/>
        <v>2</v>
      </c>
      <c r="AR223" s="8">
        <f t="shared" si="184"/>
        <v>2</v>
      </c>
      <c r="AS223" s="8">
        <f t="shared" si="184"/>
        <v>0</v>
      </c>
      <c r="AT223" s="8">
        <f t="shared" si="184"/>
        <v>1</v>
      </c>
      <c r="AU223" s="8">
        <f t="shared" si="184"/>
        <v>0</v>
      </c>
      <c r="AV223" s="8">
        <f t="shared" si="184"/>
        <v>0</v>
      </c>
      <c r="AW223" s="8">
        <f t="shared" si="184"/>
        <v>0</v>
      </c>
      <c r="AX223" s="8">
        <f t="shared" ref="AX223:BA224" si="185">AF195</f>
        <v>0</v>
      </c>
      <c r="AY223" s="8">
        <f t="shared" si="185"/>
        <v>1</v>
      </c>
      <c r="AZ223" s="8">
        <f t="shared" si="185"/>
        <v>0</v>
      </c>
      <c r="BA223" s="8">
        <f t="shared" si="185"/>
        <v>0</v>
      </c>
      <c r="BC223" s="30"/>
      <c r="BN223" s="3">
        <f>SUM(B218)</f>
        <v>0</v>
      </c>
      <c r="BO223" s="3">
        <f>SUM(B223:AZ223)</f>
        <v>155</v>
      </c>
    </row>
    <row r="224" spans="1:296" x14ac:dyDescent="0.25">
      <c r="A224" s="5" t="s">
        <v>54</v>
      </c>
      <c r="B224" s="8">
        <f t="shared" si="180"/>
        <v>0</v>
      </c>
      <c r="C224" s="8">
        <f t="shared" si="180"/>
        <v>0</v>
      </c>
      <c r="D224" s="8">
        <f t="shared" si="180"/>
        <v>0</v>
      </c>
      <c r="E224" s="8">
        <f t="shared" si="180"/>
        <v>0</v>
      </c>
      <c r="F224" s="8">
        <f t="shared" si="180"/>
        <v>0</v>
      </c>
      <c r="G224" s="8">
        <f t="shared" si="180"/>
        <v>0</v>
      </c>
      <c r="H224" s="8">
        <f t="shared" si="180"/>
        <v>0</v>
      </c>
      <c r="I224" s="8">
        <f t="shared" si="180"/>
        <v>0</v>
      </c>
      <c r="J224" s="8">
        <f t="shared" si="180"/>
        <v>0</v>
      </c>
      <c r="K224" s="8">
        <f t="shared" si="180"/>
        <v>0</v>
      </c>
      <c r="L224" s="8">
        <f t="shared" si="181"/>
        <v>0</v>
      </c>
      <c r="M224" s="8">
        <f t="shared" si="181"/>
        <v>0</v>
      </c>
      <c r="N224" s="8">
        <f t="shared" si="181"/>
        <v>0</v>
      </c>
      <c r="O224" s="8">
        <f t="shared" si="181"/>
        <v>0</v>
      </c>
      <c r="P224" s="8">
        <f t="shared" si="181"/>
        <v>0</v>
      </c>
      <c r="Q224" s="8">
        <f t="shared" si="181"/>
        <v>0</v>
      </c>
      <c r="R224" s="8">
        <f t="shared" si="181"/>
        <v>0</v>
      </c>
      <c r="S224" s="8">
        <f t="shared" si="181"/>
        <v>0</v>
      </c>
      <c r="T224" s="8">
        <f t="shared" si="182"/>
        <v>0</v>
      </c>
      <c r="U224" s="8">
        <f t="shared" si="182"/>
        <v>0</v>
      </c>
      <c r="V224" s="8">
        <f t="shared" si="182"/>
        <v>0</v>
      </c>
      <c r="W224" s="8">
        <f t="shared" si="182"/>
        <v>0</v>
      </c>
      <c r="X224" s="8">
        <f t="shared" si="182"/>
        <v>0</v>
      </c>
      <c r="Y224" s="8">
        <f t="shared" si="182"/>
        <v>0</v>
      </c>
      <c r="Z224" s="8">
        <f t="shared" si="182"/>
        <v>0</v>
      </c>
      <c r="AA224" s="8">
        <f t="shared" si="182"/>
        <v>0</v>
      </c>
      <c r="AB224" s="8">
        <f t="shared" si="182"/>
        <v>0</v>
      </c>
      <c r="AC224" s="8">
        <f t="shared" si="182"/>
        <v>0</v>
      </c>
      <c r="AD224" s="8">
        <f t="shared" si="183"/>
        <v>0</v>
      </c>
      <c r="AE224" s="8">
        <f t="shared" si="183"/>
        <v>0</v>
      </c>
      <c r="AF224" s="8">
        <f t="shared" si="183"/>
        <v>0</v>
      </c>
      <c r="AG224" s="8">
        <f t="shared" si="183"/>
        <v>0</v>
      </c>
      <c r="AH224" s="8">
        <f t="shared" si="183"/>
        <v>0</v>
      </c>
      <c r="AI224" s="8">
        <f t="shared" si="183"/>
        <v>0</v>
      </c>
      <c r="AJ224" s="8">
        <f t="shared" si="183"/>
        <v>0</v>
      </c>
      <c r="AK224" s="8">
        <f t="shared" si="183"/>
        <v>0</v>
      </c>
      <c r="AL224" s="8">
        <f t="shared" si="183"/>
        <v>0</v>
      </c>
      <c r="AM224" s="8">
        <f t="shared" si="183"/>
        <v>0</v>
      </c>
      <c r="AN224" s="8">
        <f t="shared" si="184"/>
        <v>0</v>
      </c>
      <c r="AO224" s="8">
        <f t="shared" si="184"/>
        <v>0</v>
      </c>
      <c r="AP224" s="8">
        <f t="shared" si="184"/>
        <v>0</v>
      </c>
      <c r="AQ224" s="8">
        <f t="shared" si="184"/>
        <v>0</v>
      </c>
      <c r="AR224" s="8">
        <f t="shared" si="184"/>
        <v>0</v>
      </c>
      <c r="AS224" s="8">
        <f t="shared" si="184"/>
        <v>0</v>
      </c>
      <c r="AT224" s="8">
        <f t="shared" si="184"/>
        <v>0</v>
      </c>
      <c r="AU224" s="8">
        <f t="shared" si="184"/>
        <v>0</v>
      </c>
      <c r="AV224" s="8">
        <f t="shared" si="184"/>
        <v>0</v>
      </c>
      <c r="AW224" s="8">
        <f t="shared" si="184"/>
        <v>0</v>
      </c>
      <c r="AX224" s="8">
        <f t="shared" si="185"/>
        <v>0</v>
      </c>
      <c r="AY224" s="8">
        <f t="shared" si="185"/>
        <v>0</v>
      </c>
      <c r="AZ224" s="8">
        <f t="shared" si="185"/>
        <v>0</v>
      </c>
      <c r="BA224" s="8">
        <f t="shared" si="185"/>
        <v>0</v>
      </c>
      <c r="BC224" s="30"/>
      <c r="BN224" s="3">
        <f>SUM(B219)</f>
        <v>0</v>
      </c>
      <c r="BO224" s="3">
        <f>SUM(B224:BA224)</f>
        <v>0</v>
      </c>
    </row>
    <row r="225" spans="1:68" x14ac:dyDescent="0.25">
      <c r="A225" s="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C225" s="30"/>
    </row>
    <row r="226" spans="1:68" ht="26.4" x14ac:dyDescent="0.25">
      <c r="A226" s="66" t="s">
        <v>180</v>
      </c>
      <c r="B226" s="67">
        <v>35</v>
      </c>
      <c r="C226" s="67" t="s">
        <v>38</v>
      </c>
      <c r="D226" s="67" t="s">
        <v>39</v>
      </c>
      <c r="E226" s="67">
        <v>38</v>
      </c>
      <c r="F226" s="67">
        <v>39</v>
      </c>
      <c r="G226" s="67" t="s">
        <v>40</v>
      </c>
      <c r="H226" s="67" t="s">
        <v>41</v>
      </c>
      <c r="I226" s="67" t="s">
        <v>42</v>
      </c>
      <c r="J226" s="67" t="s">
        <v>43</v>
      </c>
      <c r="K226" s="67" t="s">
        <v>44</v>
      </c>
      <c r="L226" s="67">
        <v>45</v>
      </c>
      <c r="M226" s="67" t="s">
        <v>45</v>
      </c>
      <c r="N226" s="67" t="s">
        <v>46</v>
      </c>
      <c r="O226" s="67" t="s">
        <v>47</v>
      </c>
      <c r="P226" s="67" t="s">
        <v>48</v>
      </c>
      <c r="Q226" s="67" t="s">
        <v>49</v>
      </c>
      <c r="R226" s="67" t="s">
        <v>50</v>
      </c>
      <c r="S226" s="67" t="s">
        <v>51</v>
      </c>
      <c r="T226" s="68">
        <v>1</v>
      </c>
      <c r="U226" s="68">
        <v>2</v>
      </c>
      <c r="V226" s="68">
        <v>3</v>
      </c>
      <c r="W226" s="68">
        <v>4</v>
      </c>
      <c r="X226" s="68">
        <v>5</v>
      </c>
      <c r="Y226" s="68">
        <v>6</v>
      </c>
      <c r="Z226" s="68">
        <v>7</v>
      </c>
      <c r="AA226" s="68">
        <v>8</v>
      </c>
      <c r="AB226" s="68">
        <v>9</v>
      </c>
      <c r="AC226" s="68">
        <v>10</v>
      </c>
      <c r="AD226" s="69">
        <v>11</v>
      </c>
      <c r="AE226" s="68">
        <v>12</v>
      </c>
      <c r="AF226" s="68">
        <v>13</v>
      </c>
      <c r="AG226" s="68">
        <v>14</v>
      </c>
      <c r="AH226" s="68">
        <v>15</v>
      </c>
      <c r="AI226" s="68">
        <v>16</v>
      </c>
      <c r="AJ226" s="68">
        <v>17</v>
      </c>
      <c r="AK226" s="68">
        <v>18</v>
      </c>
      <c r="AL226" s="68">
        <v>19</v>
      </c>
      <c r="AM226" s="68">
        <v>20</v>
      </c>
      <c r="AN226" s="68">
        <v>21</v>
      </c>
      <c r="AO226" s="68">
        <v>22</v>
      </c>
      <c r="AP226" s="68">
        <v>23</v>
      </c>
      <c r="AQ226" s="68">
        <v>24</v>
      </c>
      <c r="AR226" s="68">
        <v>25</v>
      </c>
      <c r="AS226" s="68">
        <v>26</v>
      </c>
      <c r="AT226" s="68">
        <v>27</v>
      </c>
      <c r="AU226" s="68">
        <v>28</v>
      </c>
      <c r="AV226" s="68">
        <v>29</v>
      </c>
      <c r="AW226" s="68">
        <v>30</v>
      </c>
      <c r="AX226" s="68">
        <v>31</v>
      </c>
      <c r="AY226" s="68">
        <v>32</v>
      </c>
      <c r="AZ226" s="68">
        <v>33</v>
      </c>
      <c r="BA226" s="68">
        <v>34</v>
      </c>
      <c r="BB226" s="71"/>
      <c r="BC226" s="69"/>
      <c r="BD226" s="70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 t="s">
        <v>116</v>
      </c>
      <c r="BO226" s="71" t="s">
        <v>135</v>
      </c>
      <c r="BP226" s="71"/>
    </row>
    <row r="227" spans="1:68" x14ac:dyDescent="0.25">
      <c r="A227" s="5" t="s">
        <v>53</v>
      </c>
      <c r="B227" s="8">
        <f t="shared" ref="B227:K228" si="186">AJ195</f>
        <v>0</v>
      </c>
      <c r="C227" s="8">
        <f t="shared" si="186"/>
        <v>0</v>
      </c>
      <c r="D227" s="8">
        <f t="shared" si="186"/>
        <v>0</v>
      </c>
      <c r="E227" s="8">
        <f t="shared" si="186"/>
        <v>0</v>
      </c>
      <c r="F227" s="8">
        <f t="shared" si="186"/>
        <v>0</v>
      </c>
      <c r="G227" s="8">
        <f t="shared" si="186"/>
        <v>0</v>
      </c>
      <c r="H227" s="8">
        <f t="shared" si="186"/>
        <v>1</v>
      </c>
      <c r="I227" s="8">
        <f t="shared" si="186"/>
        <v>0</v>
      </c>
      <c r="J227" s="8">
        <f t="shared" si="186"/>
        <v>1</v>
      </c>
      <c r="K227" s="8">
        <f t="shared" si="186"/>
        <v>0</v>
      </c>
      <c r="L227" s="8">
        <f t="shared" ref="L227:S228" si="187">AT195</f>
        <v>0</v>
      </c>
      <c r="M227" s="8">
        <f t="shared" si="187"/>
        <v>0</v>
      </c>
      <c r="N227" s="8">
        <f t="shared" si="187"/>
        <v>0</v>
      </c>
      <c r="O227" s="8">
        <f t="shared" si="187"/>
        <v>0</v>
      </c>
      <c r="P227" s="8">
        <f t="shared" si="187"/>
        <v>0</v>
      </c>
      <c r="Q227" s="8">
        <f t="shared" si="187"/>
        <v>1</v>
      </c>
      <c r="R227" s="8">
        <f t="shared" si="187"/>
        <v>0</v>
      </c>
      <c r="S227" s="8">
        <f t="shared" si="187"/>
        <v>0</v>
      </c>
      <c r="T227" s="3">
        <f t="shared" ref="T227:AC228" si="188">B199</f>
        <v>0</v>
      </c>
      <c r="U227" s="3">
        <f t="shared" si="188"/>
        <v>0</v>
      </c>
      <c r="V227" s="3">
        <f t="shared" si="188"/>
        <v>0</v>
      </c>
      <c r="W227" s="3">
        <f t="shared" si="188"/>
        <v>0</v>
      </c>
      <c r="X227" s="3">
        <f t="shared" si="188"/>
        <v>2</v>
      </c>
      <c r="Y227" s="3">
        <f t="shared" si="188"/>
        <v>0</v>
      </c>
      <c r="Z227" s="3">
        <f t="shared" si="188"/>
        <v>0</v>
      </c>
      <c r="AA227" s="3">
        <f t="shared" si="188"/>
        <v>1</v>
      </c>
      <c r="AB227" s="3">
        <f t="shared" si="188"/>
        <v>0</v>
      </c>
      <c r="AC227" s="3">
        <f t="shared" si="188"/>
        <v>2</v>
      </c>
      <c r="AD227" s="3">
        <f t="shared" ref="AD227:AM228" si="189">L199</f>
        <v>0</v>
      </c>
      <c r="AE227" s="3">
        <f t="shared" si="189"/>
        <v>0</v>
      </c>
      <c r="AF227" s="3">
        <f t="shared" si="189"/>
        <v>0</v>
      </c>
      <c r="AG227" s="3">
        <f t="shared" si="189"/>
        <v>0</v>
      </c>
      <c r="AH227" s="3">
        <f t="shared" si="189"/>
        <v>0</v>
      </c>
      <c r="AI227" s="3">
        <f t="shared" si="189"/>
        <v>0</v>
      </c>
      <c r="AJ227" s="3">
        <f t="shared" si="189"/>
        <v>0</v>
      </c>
      <c r="AK227" s="3">
        <f t="shared" si="189"/>
        <v>0</v>
      </c>
      <c r="AL227" s="3">
        <f t="shared" si="189"/>
        <v>0</v>
      </c>
      <c r="AM227" s="3">
        <f t="shared" si="189"/>
        <v>0</v>
      </c>
      <c r="AN227" s="3">
        <f t="shared" ref="AN227:AW228" si="190">V199</f>
        <v>0</v>
      </c>
      <c r="AO227" s="3">
        <f t="shared" si="190"/>
        <v>0</v>
      </c>
      <c r="AP227" s="3">
        <f t="shared" si="190"/>
        <v>0</v>
      </c>
      <c r="AQ227" s="3">
        <f t="shared" si="190"/>
        <v>0</v>
      </c>
      <c r="AR227" s="3">
        <f t="shared" si="190"/>
        <v>0</v>
      </c>
      <c r="AS227" s="3">
        <f t="shared" si="190"/>
        <v>0</v>
      </c>
      <c r="AT227" s="3">
        <f t="shared" si="190"/>
        <v>0</v>
      </c>
      <c r="AU227" s="3">
        <f t="shared" si="190"/>
        <v>0</v>
      </c>
      <c r="AV227" s="3">
        <f t="shared" si="190"/>
        <v>0</v>
      </c>
      <c r="AW227" s="3">
        <f t="shared" si="190"/>
        <v>0</v>
      </c>
      <c r="AX227" s="3">
        <f t="shared" ref="AX227:BA228" si="191">AF199</f>
        <v>0</v>
      </c>
      <c r="AY227" s="3">
        <f t="shared" si="191"/>
        <v>0</v>
      </c>
      <c r="AZ227" s="3">
        <f t="shared" si="191"/>
        <v>0</v>
      </c>
      <c r="BA227" s="3">
        <f t="shared" si="191"/>
        <v>0</v>
      </c>
    </row>
    <row r="228" spans="1:68" x14ac:dyDescent="0.25">
      <c r="A228" s="5" t="s">
        <v>54</v>
      </c>
      <c r="B228" s="8">
        <f t="shared" si="186"/>
        <v>0</v>
      </c>
      <c r="C228" s="8">
        <f t="shared" si="186"/>
        <v>0</v>
      </c>
      <c r="D228" s="8">
        <f t="shared" si="186"/>
        <v>0</v>
      </c>
      <c r="E228" s="8">
        <f t="shared" si="186"/>
        <v>0</v>
      </c>
      <c r="F228" s="8">
        <f t="shared" si="186"/>
        <v>0</v>
      </c>
      <c r="G228" s="8">
        <f t="shared" si="186"/>
        <v>0</v>
      </c>
      <c r="H228" s="8">
        <f t="shared" si="186"/>
        <v>0</v>
      </c>
      <c r="I228" s="8">
        <f t="shared" si="186"/>
        <v>0</v>
      </c>
      <c r="J228" s="8">
        <f t="shared" si="186"/>
        <v>0</v>
      </c>
      <c r="K228" s="8">
        <f t="shared" si="186"/>
        <v>0</v>
      </c>
      <c r="L228" s="8">
        <f t="shared" si="187"/>
        <v>0</v>
      </c>
      <c r="M228" s="8">
        <f t="shared" si="187"/>
        <v>0</v>
      </c>
      <c r="N228" s="8">
        <f t="shared" si="187"/>
        <v>0</v>
      </c>
      <c r="O228" s="8">
        <f t="shared" si="187"/>
        <v>0</v>
      </c>
      <c r="P228" s="8">
        <f t="shared" si="187"/>
        <v>0</v>
      </c>
      <c r="Q228" s="8">
        <f t="shared" si="187"/>
        <v>0</v>
      </c>
      <c r="R228" s="8">
        <f t="shared" si="187"/>
        <v>0</v>
      </c>
      <c r="S228" s="8">
        <f t="shared" si="187"/>
        <v>0</v>
      </c>
      <c r="T228" s="3">
        <f t="shared" si="188"/>
        <v>0</v>
      </c>
      <c r="U228" s="3">
        <f t="shared" si="188"/>
        <v>0</v>
      </c>
      <c r="V228" s="3">
        <f t="shared" si="188"/>
        <v>0</v>
      </c>
      <c r="W228" s="3">
        <f t="shared" si="188"/>
        <v>0</v>
      </c>
      <c r="X228" s="3">
        <f t="shared" si="188"/>
        <v>0</v>
      </c>
      <c r="Y228" s="3">
        <f t="shared" si="188"/>
        <v>0</v>
      </c>
      <c r="Z228" s="3">
        <f t="shared" si="188"/>
        <v>0</v>
      </c>
      <c r="AA228" s="3">
        <f t="shared" si="188"/>
        <v>0</v>
      </c>
      <c r="AB228" s="3">
        <f t="shared" si="188"/>
        <v>0</v>
      </c>
      <c r="AC228" s="3">
        <f t="shared" si="188"/>
        <v>0</v>
      </c>
      <c r="AD228" s="3">
        <f t="shared" si="189"/>
        <v>0</v>
      </c>
      <c r="AE228" s="3">
        <f t="shared" si="189"/>
        <v>0</v>
      </c>
      <c r="AF228" s="3">
        <f t="shared" si="189"/>
        <v>0</v>
      </c>
      <c r="AG228" s="3">
        <f t="shared" si="189"/>
        <v>0</v>
      </c>
      <c r="AH228" s="3">
        <f t="shared" si="189"/>
        <v>0</v>
      </c>
      <c r="AI228" s="3">
        <f t="shared" si="189"/>
        <v>0</v>
      </c>
      <c r="AJ228" s="3">
        <f t="shared" si="189"/>
        <v>0</v>
      </c>
      <c r="AK228" s="3">
        <f t="shared" si="189"/>
        <v>0</v>
      </c>
      <c r="AL228" s="3">
        <f t="shared" si="189"/>
        <v>0</v>
      </c>
      <c r="AM228" s="3">
        <f t="shared" si="189"/>
        <v>0</v>
      </c>
      <c r="AN228" s="3">
        <f t="shared" si="190"/>
        <v>0</v>
      </c>
      <c r="AO228" s="3">
        <f t="shared" si="190"/>
        <v>0</v>
      </c>
      <c r="AP228" s="3">
        <f t="shared" si="190"/>
        <v>0</v>
      </c>
      <c r="AQ228" s="3">
        <f t="shared" si="190"/>
        <v>0</v>
      </c>
      <c r="AR228" s="3">
        <f t="shared" si="190"/>
        <v>0</v>
      </c>
      <c r="AS228" s="3">
        <f t="shared" si="190"/>
        <v>0</v>
      </c>
      <c r="AT228" s="3">
        <f t="shared" si="190"/>
        <v>0</v>
      </c>
      <c r="AU228" s="3">
        <f t="shared" si="190"/>
        <v>0</v>
      </c>
      <c r="AV228" s="3">
        <f t="shared" si="190"/>
        <v>0</v>
      </c>
      <c r="AW228" s="3">
        <f t="shared" si="190"/>
        <v>0</v>
      </c>
      <c r="AX228" s="3">
        <f t="shared" si="191"/>
        <v>0</v>
      </c>
      <c r="AY228" s="3">
        <f t="shared" si="191"/>
        <v>0</v>
      </c>
      <c r="AZ228" s="3">
        <f t="shared" si="191"/>
        <v>0</v>
      </c>
      <c r="BA228" s="3">
        <f t="shared" si="191"/>
        <v>0</v>
      </c>
    </row>
    <row r="230" spans="1:68" ht="26.4" x14ac:dyDescent="0.25">
      <c r="A230" s="66" t="s">
        <v>181</v>
      </c>
      <c r="B230" s="67">
        <v>35</v>
      </c>
      <c r="C230" s="67" t="s">
        <v>38</v>
      </c>
      <c r="D230" s="67" t="s">
        <v>39</v>
      </c>
      <c r="E230" s="67">
        <v>38</v>
      </c>
      <c r="F230" s="67">
        <v>39</v>
      </c>
      <c r="G230" s="67" t="s">
        <v>40</v>
      </c>
      <c r="H230" s="67" t="s">
        <v>41</v>
      </c>
      <c r="I230" s="67" t="s">
        <v>42</v>
      </c>
      <c r="J230" s="67" t="s">
        <v>43</v>
      </c>
      <c r="K230" s="67" t="s">
        <v>44</v>
      </c>
      <c r="L230" s="67">
        <v>45</v>
      </c>
      <c r="M230" s="67" t="s">
        <v>45</v>
      </c>
      <c r="N230" s="67" t="s">
        <v>46</v>
      </c>
      <c r="O230" s="67" t="s">
        <v>47</v>
      </c>
      <c r="P230" s="67" t="s">
        <v>48</v>
      </c>
      <c r="Q230" s="67" t="s">
        <v>49</v>
      </c>
      <c r="R230" s="67" t="s">
        <v>50</v>
      </c>
      <c r="S230" s="67" t="s">
        <v>51</v>
      </c>
      <c r="T230" s="68">
        <v>1</v>
      </c>
      <c r="U230" s="68">
        <v>2</v>
      </c>
      <c r="V230" s="68">
        <v>3</v>
      </c>
      <c r="W230" s="68">
        <v>4</v>
      </c>
      <c r="X230" s="68">
        <v>5</v>
      </c>
      <c r="Y230" s="68">
        <v>6</v>
      </c>
      <c r="Z230" s="68">
        <v>7</v>
      </c>
      <c r="AA230" s="68">
        <v>8</v>
      </c>
      <c r="AB230" s="68">
        <v>9</v>
      </c>
      <c r="AC230" s="68">
        <v>10</v>
      </c>
      <c r="AD230" s="69">
        <v>11</v>
      </c>
      <c r="AE230" s="68">
        <v>12</v>
      </c>
      <c r="AF230" s="68">
        <v>13</v>
      </c>
      <c r="AG230" s="68">
        <v>14</v>
      </c>
      <c r="AH230" s="68">
        <v>15</v>
      </c>
      <c r="AI230" s="68">
        <v>16</v>
      </c>
      <c r="AJ230" s="68">
        <v>17</v>
      </c>
      <c r="AK230" s="68">
        <v>18</v>
      </c>
      <c r="AL230" s="68">
        <v>19</v>
      </c>
      <c r="AM230" s="68">
        <v>20</v>
      </c>
      <c r="AN230" s="68">
        <v>21</v>
      </c>
      <c r="AO230" s="68">
        <v>22</v>
      </c>
      <c r="AP230" s="68">
        <v>23</v>
      </c>
      <c r="AQ230" s="68">
        <v>24</v>
      </c>
      <c r="AR230" s="68">
        <v>25</v>
      </c>
      <c r="AS230" s="68">
        <v>26</v>
      </c>
      <c r="AT230" s="68">
        <v>27</v>
      </c>
      <c r="AU230" s="68">
        <v>28</v>
      </c>
      <c r="AV230" s="68">
        <v>29</v>
      </c>
      <c r="AW230" s="68">
        <v>30</v>
      </c>
      <c r="AX230" s="68">
        <v>31</v>
      </c>
      <c r="AY230" s="68">
        <v>32</v>
      </c>
      <c r="AZ230" s="68">
        <v>33</v>
      </c>
      <c r="BA230" s="68">
        <v>34</v>
      </c>
      <c r="BB230" s="71"/>
      <c r="BC230" s="69"/>
      <c r="BD230" s="70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 t="s">
        <v>116</v>
      </c>
      <c r="BO230" s="71" t="s">
        <v>135</v>
      </c>
      <c r="BP230" s="71"/>
    </row>
    <row r="231" spans="1:68" x14ac:dyDescent="0.25">
      <c r="A231" s="5" t="s">
        <v>53</v>
      </c>
      <c r="B231" s="8">
        <f t="shared" ref="B231:K232" si="192">AJ199</f>
        <v>0</v>
      </c>
      <c r="C231" s="8">
        <f t="shared" si="192"/>
        <v>0</v>
      </c>
      <c r="D231" s="8">
        <f t="shared" si="192"/>
        <v>0</v>
      </c>
      <c r="E231" s="8">
        <f t="shared" si="192"/>
        <v>0</v>
      </c>
      <c r="F231" s="8">
        <f t="shared" si="192"/>
        <v>0</v>
      </c>
      <c r="G231" s="8">
        <f t="shared" si="192"/>
        <v>0</v>
      </c>
      <c r="H231" s="8">
        <f t="shared" si="192"/>
        <v>0</v>
      </c>
      <c r="I231" s="8">
        <f t="shared" si="192"/>
        <v>0</v>
      </c>
      <c r="J231" s="8">
        <f t="shared" si="192"/>
        <v>0</v>
      </c>
      <c r="K231" s="8">
        <f t="shared" si="192"/>
        <v>0</v>
      </c>
      <c r="L231" s="8">
        <f t="shared" ref="L231:S232" si="193">AT199</f>
        <v>0</v>
      </c>
      <c r="M231" s="8">
        <f t="shared" si="193"/>
        <v>0</v>
      </c>
      <c r="N231" s="8">
        <f t="shared" si="193"/>
        <v>0</v>
      </c>
      <c r="O231" s="8">
        <f t="shared" si="193"/>
        <v>0</v>
      </c>
      <c r="P231" s="8">
        <f t="shared" si="193"/>
        <v>0</v>
      </c>
      <c r="Q231" s="8">
        <f t="shared" si="193"/>
        <v>0</v>
      </c>
      <c r="R231" s="8">
        <f t="shared" si="193"/>
        <v>0</v>
      </c>
      <c r="S231" s="8">
        <f t="shared" si="193"/>
        <v>0</v>
      </c>
      <c r="T231" s="3">
        <f>B203</f>
        <v>1</v>
      </c>
      <c r="U231" s="3">
        <f t="shared" ref="U231:AB231" si="194">C203</f>
        <v>1</v>
      </c>
      <c r="V231" s="3">
        <f t="shared" si="194"/>
        <v>0</v>
      </c>
      <c r="W231" s="3">
        <f t="shared" si="194"/>
        <v>2</v>
      </c>
      <c r="X231" s="3">
        <f t="shared" si="194"/>
        <v>0</v>
      </c>
      <c r="Y231" s="3">
        <f t="shared" si="194"/>
        <v>0</v>
      </c>
      <c r="Z231" s="3">
        <f t="shared" si="194"/>
        <v>0</v>
      </c>
      <c r="AA231" s="3">
        <f t="shared" si="194"/>
        <v>2</v>
      </c>
      <c r="AB231" s="3">
        <f t="shared" si="194"/>
        <v>8</v>
      </c>
      <c r="AC231" s="3">
        <f t="shared" ref="AC231:AC232" si="195">K203</f>
        <v>3</v>
      </c>
      <c r="AD231" s="3">
        <f t="shared" ref="AD231:AD232" si="196">L203</f>
        <v>9</v>
      </c>
      <c r="AE231" s="3">
        <f t="shared" ref="AE231:AE232" si="197">M203</f>
        <v>9</v>
      </c>
      <c r="AF231" s="3">
        <f t="shared" ref="AF231:AH232" si="198">N203</f>
        <v>4</v>
      </c>
      <c r="AG231" s="3">
        <f t="shared" si="198"/>
        <v>5</v>
      </c>
      <c r="AH231" s="3">
        <f t="shared" si="198"/>
        <v>5</v>
      </c>
      <c r="AI231" s="3">
        <f t="shared" ref="AI231:AI232" si="199">Q203</f>
        <v>1</v>
      </c>
      <c r="AJ231" s="3">
        <f t="shared" ref="AJ231:AJ232" si="200">R203</f>
        <v>4</v>
      </c>
      <c r="AK231" s="3">
        <f t="shared" ref="AK231:AK232" si="201">S203</f>
        <v>1</v>
      </c>
      <c r="AL231" s="3">
        <f t="shared" ref="AL231:AL232" si="202">T203</f>
        <v>2</v>
      </c>
      <c r="AM231" s="3">
        <f t="shared" ref="AM231:AM232" si="203">U203</f>
        <v>3</v>
      </c>
      <c r="AN231" s="3">
        <f t="shared" ref="AN231:AN232" si="204">V203</f>
        <v>0</v>
      </c>
      <c r="AO231" s="3">
        <f t="shared" ref="AO231:AO232" si="205">W203</f>
        <v>0</v>
      </c>
      <c r="AP231" s="3">
        <f t="shared" ref="AP231:AP232" si="206">X203</f>
        <v>0</v>
      </c>
      <c r="AQ231" s="3">
        <f t="shared" ref="AQ231:AQ232" si="207">Y203</f>
        <v>0</v>
      </c>
      <c r="AR231" s="3">
        <f t="shared" ref="AR231:AR232" si="208">Z203</f>
        <v>0</v>
      </c>
      <c r="AS231" s="3">
        <f t="shared" ref="AS231:AS232" si="209">AA203</f>
        <v>0</v>
      </c>
      <c r="AT231" s="3">
        <f t="shared" ref="AT231:AT232" si="210">AB203</f>
        <v>0</v>
      </c>
      <c r="AU231" s="3">
        <f t="shared" ref="AU231:AU232" si="211">AC203</f>
        <v>0</v>
      </c>
      <c r="AV231" s="3">
        <f t="shared" ref="AV231:AV232" si="212">AD203</f>
        <v>1</v>
      </c>
      <c r="AW231" s="3">
        <f t="shared" ref="AW231:AW232" si="213">AE203</f>
        <v>0</v>
      </c>
      <c r="AX231" s="3">
        <f t="shared" ref="AX231:AX232" si="214">AF203</f>
        <v>0</v>
      </c>
      <c r="AY231" s="3">
        <f t="shared" ref="AY231:AY232" si="215">AG203</f>
        <v>1</v>
      </c>
      <c r="AZ231" s="3">
        <f t="shared" ref="AZ231:AZ232" si="216">AH203</f>
        <v>0</v>
      </c>
      <c r="BA231" s="3">
        <f t="shared" ref="BA231:BA232" si="217">AI203</f>
        <v>0</v>
      </c>
    </row>
    <row r="232" spans="1:68" x14ac:dyDescent="0.25">
      <c r="A232" s="5" t="s">
        <v>54</v>
      </c>
      <c r="B232" s="8">
        <f t="shared" si="192"/>
        <v>0</v>
      </c>
      <c r="C232" s="8">
        <f t="shared" si="192"/>
        <v>0</v>
      </c>
      <c r="D232" s="8">
        <f t="shared" si="192"/>
        <v>0</v>
      </c>
      <c r="E232" s="8">
        <f t="shared" si="192"/>
        <v>0</v>
      </c>
      <c r="F232" s="8">
        <f t="shared" si="192"/>
        <v>0</v>
      </c>
      <c r="G232" s="8">
        <f t="shared" si="192"/>
        <v>0</v>
      </c>
      <c r="H232" s="8">
        <f t="shared" si="192"/>
        <v>0</v>
      </c>
      <c r="I232" s="8">
        <f t="shared" si="192"/>
        <v>0</v>
      </c>
      <c r="J232" s="8">
        <f t="shared" si="192"/>
        <v>0</v>
      </c>
      <c r="K232" s="8">
        <f t="shared" si="192"/>
        <v>0</v>
      </c>
      <c r="L232" s="8">
        <f t="shared" si="193"/>
        <v>0</v>
      </c>
      <c r="M232" s="8">
        <f t="shared" si="193"/>
        <v>0</v>
      </c>
      <c r="N232" s="8">
        <f t="shared" si="193"/>
        <v>0</v>
      </c>
      <c r="O232" s="8">
        <f t="shared" si="193"/>
        <v>0</v>
      </c>
      <c r="P232" s="8">
        <f t="shared" si="193"/>
        <v>0</v>
      </c>
      <c r="Q232" s="8">
        <f t="shared" si="193"/>
        <v>0</v>
      </c>
      <c r="R232" s="8">
        <f t="shared" si="193"/>
        <v>0</v>
      </c>
      <c r="S232" s="8">
        <f t="shared" si="193"/>
        <v>0</v>
      </c>
      <c r="T232" s="3">
        <f>B204</f>
        <v>0</v>
      </c>
      <c r="U232" s="3">
        <f t="shared" ref="U232:AB232" si="218">C204</f>
        <v>0</v>
      </c>
      <c r="V232" s="3">
        <f t="shared" si="218"/>
        <v>0</v>
      </c>
      <c r="W232" s="3">
        <f t="shared" si="218"/>
        <v>0</v>
      </c>
      <c r="X232" s="3">
        <f t="shared" si="218"/>
        <v>0</v>
      </c>
      <c r="Y232" s="3">
        <f t="shared" si="218"/>
        <v>0</v>
      </c>
      <c r="Z232" s="3">
        <f t="shared" si="218"/>
        <v>0</v>
      </c>
      <c r="AA232" s="3">
        <f t="shared" si="218"/>
        <v>0</v>
      </c>
      <c r="AB232" s="3">
        <f t="shared" si="218"/>
        <v>0</v>
      </c>
      <c r="AC232" s="3">
        <f t="shared" si="195"/>
        <v>0</v>
      </c>
      <c r="AD232" s="3">
        <f t="shared" si="196"/>
        <v>0</v>
      </c>
      <c r="AE232" s="3">
        <f t="shared" si="197"/>
        <v>0</v>
      </c>
      <c r="AF232" s="3">
        <f t="shared" si="198"/>
        <v>0</v>
      </c>
      <c r="AG232" s="3">
        <f t="shared" si="198"/>
        <v>0</v>
      </c>
      <c r="AH232" s="3">
        <f t="shared" si="198"/>
        <v>0</v>
      </c>
      <c r="AI232" s="3">
        <f t="shared" si="199"/>
        <v>0</v>
      </c>
      <c r="AJ232" s="3">
        <f t="shared" si="200"/>
        <v>0</v>
      </c>
      <c r="AK232" s="3">
        <f t="shared" si="201"/>
        <v>0</v>
      </c>
      <c r="AL232" s="3">
        <f t="shared" si="202"/>
        <v>0</v>
      </c>
      <c r="AM232" s="3">
        <f t="shared" si="203"/>
        <v>0</v>
      </c>
      <c r="AN232" s="3">
        <f t="shared" si="204"/>
        <v>0</v>
      </c>
      <c r="AO232" s="3">
        <f t="shared" si="205"/>
        <v>0</v>
      </c>
      <c r="AP232" s="3">
        <f t="shared" si="206"/>
        <v>0</v>
      </c>
      <c r="AQ232" s="3">
        <f t="shared" si="207"/>
        <v>0</v>
      </c>
      <c r="AR232" s="3">
        <f t="shared" si="208"/>
        <v>0</v>
      </c>
      <c r="AS232" s="3">
        <f t="shared" si="209"/>
        <v>0</v>
      </c>
      <c r="AT232" s="3">
        <f t="shared" si="210"/>
        <v>0</v>
      </c>
      <c r="AU232" s="3">
        <f t="shared" si="211"/>
        <v>0</v>
      </c>
      <c r="AV232" s="3">
        <f t="shared" si="212"/>
        <v>0</v>
      </c>
      <c r="AW232" s="3">
        <f t="shared" si="213"/>
        <v>0</v>
      </c>
      <c r="AX232" s="3">
        <f t="shared" si="214"/>
        <v>0</v>
      </c>
      <c r="AY232" s="3">
        <f t="shared" si="215"/>
        <v>0</v>
      </c>
      <c r="AZ232" s="3">
        <f t="shared" si="216"/>
        <v>0</v>
      </c>
      <c r="BA232" s="3">
        <f t="shared" si="217"/>
        <v>0</v>
      </c>
    </row>
    <row r="233" spans="1:68" x14ac:dyDescent="0.25">
      <c r="A233" s="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spans="1:68" ht="26.4" x14ac:dyDescent="0.25">
      <c r="A234" s="66" t="s">
        <v>191</v>
      </c>
      <c r="B234" s="67">
        <v>35</v>
      </c>
      <c r="C234" s="67" t="s">
        <v>38</v>
      </c>
      <c r="D234" s="67" t="s">
        <v>39</v>
      </c>
      <c r="E234" s="67">
        <v>38</v>
      </c>
      <c r="F234" s="67">
        <v>39</v>
      </c>
      <c r="G234" s="67" t="s">
        <v>40</v>
      </c>
      <c r="H234" s="67" t="s">
        <v>41</v>
      </c>
      <c r="I234" s="67" t="s">
        <v>42</v>
      </c>
      <c r="J234" s="67" t="s">
        <v>43</v>
      </c>
      <c r="K234" s="67" t="s">
        <v>44</v>
      </c>
      <c r="L234" s="67">
        <v>45</v>
      </c>
      <c r="M234" s="67" t="s">
        <v>45</v>
      </c>
      <c r="N234" s="67" t="s">
        <v>46</v>
      </c>
      <c r="O234" s="67" t="s">
        <v>47</v>
      </c>
      <c r="P234" s="67" t="s">
        <v>48</v>
      </c>
      <c r="Q234" s="67" t="s">
        <v>49</v>
      </c>
      <c r="R234" s="67" t="s">
        <v>50</v>
      </c>
      <c r="S234" s="67" t="s">
        <v>51</v>
      </c>
      <c r="T234" s="67" t="s">
        <v>102</v>
      </c>
      <c r="U234" s="68">
        <v>1</v>
      </c>
      <c r="V234" s="68">
        <v>2</v>
      </c>
      <c r="W234" s="68">
        <v>3</v>
      </c>
      <c r="X234" s="68">
        <v>4</v>
      </c>
      <c r="Y234" s="68">
        <v>5</v>
      </c>
      <c r="Z234" s="68">
        <v>6</v>
      </c>
      <c r="AA234" s="68">
        <v>7</v>
      </c>
      <c r="AB234" s="68">
        <v>8</v>
      </c>
      <c r="AC234" s="68">
        <v>9</v>
      </c>
      <c r="AD234" s="68">
        <v>10</v>
      </c>
      <c r="AE234" s="69">
        <v>11</v>
      </c>
      <c r="AF234" s="68">
        <v>12</v>
      </c>
      <c r="AG234" s="68">
        <v>13</v>
      </c>
      <c r="AH234" s="68">
        <v>14</v>
      </c>
      <c r="AI234" s="68">
        <v>15</v>
      </c>
      <c r="AJ234" s="68">
        <v>16</v>
      </c>
      <c r="AK234" s="68">
        <v>17</v>
      </c>
      <c r="AL234" s="68">
        <v>18</v>
      </c>
      <c r="AM234" s="68">
        <v>19</v>
      </c>
      <c r="AN234" s="68">
        <v>20</v>
      </c>
      <c r="AO234" s="68">
        <v>21</v>
      </c>
      <c r="AP234" s="68">
        <v>22</v>
      </c>
      <c r="AQ234" s="68">
        <v>23</v>
      </c>
      <c r="AR234" s="68">
        <v>24</v>
      </c>
      <c r="AS234" s="68">
        <v>25</v>
      </c>
      <c r="AT234" s="68">
        <v>26</v>
      </c>
      <c r="AU234" s="68">
        <v>27</v>
      </c>
      <c r="AV234" s="68">
        <v>28</v>
      </c>
      <c r="AW234" s="68">
        <v>29</v>
      </c>
      <c r="AX234" s="68">
        <v>30</v>
      </c>
      <c r="AY234" s="68">
        <v>31</v>
      </c>
      <c r="AZ234" s="68">
        <v>32</v>
      </c>
      <c r="BA234" s="68">
        <v>33</v>
      </c>
      <c r="BB234" s="68">
        <v>34</v>
      </c>
    </row>
    <row r="235" spans="1:68" x14ac:dyDescent="0.25">
      <c r="A235" s="5" t="s">
        <v>53</v>
      </c>
      <c r="B235" s="8">
        <f>AJ203</f>
        <v>1</v>
      </c>
      <c r="C235" s="8">
        <f t="shared" ref="C235:O235" si="219">AK203</f>
        <v>0</v>
      </c>
      <c r="D235" s="8">
        <f t="shared" si="219"/>
        <v>0</v>
      </c>
      <c r="E235" s="8">
        <f t="shared" si="219"/>
        <v>0</v>
      </c>
      <c r="F235" s="8">
        <f t="shared" si="219"/>
        <v>0</v>
      </c>
      <c r="G235" s="8">
        <f t="shared" si="219"/>
        <v>1</v>
      </c>
      <c r="H235" s="8">
        <f t="shared" si="219"/>
        <v>0</v>
      </c>
      <c r="I235" s="8">
        <f t="shared" si="219"/>
        <v>0</v>
      </c>
      <c r="J235" s="8">
        <f t="shared" si="219"/>
        <v>0</v>
      </c>
      <c r="K235" s="8">
        <f t="shared" si="219"/>
        <v>0</v>
      </c>
      <c r="L235" s="8">
        <f t="shared" si="219"/>
        <v>0</v>
      </c>
      <c r="M235" s="8">
        <f t="shared" si="219"/>
        <v>2</v>
      </c>
      <c r="N235" s="8">
        <f t="shared" si="219"/>
        <v>1</v>
      </c>
      <c r="O235" s="8">
        <f t="shared" si="219"/>
        <v>1</v>
      </c>
      <c r="P235" s="8">
        <f t="shared" ref="P235:P236" si="220">AX203</f>
        <v>1</v>
      </c>
      <c r="Q235" s="8">
        <f t="shared" ref="Q235:Q236" si="221">AY203</f>
        <v>2</v>
      </c>
      <c r="R235" s="8">
        <f t="shared" ref="R235:R236" si="222">AZ203</f>
        <v>2</v>
      </c>
      <c r="S235" s="8">
        <f t="shared" ref="S235:S236" si="223">BA203</f>
        <v>1</v>
      </c>
      <c r="T235" s="3">
        <v>0</v>
      </c>
    </row>
    <row r="236" spans="1:68" x14ac:dyDescent="0.25">
      <c r="A236" s="5" t="s">
        <v>54</v>
      </c>
      <c r="B236" s="8">
        <f>AJ204</f>
        <v>0</v>
      </c>
      <c r="C236" s="8">
        <f t="shared" ref="C236:O236" si="224">AK204</f>
        <v>0</v>
      </c>
      <c r="D236" s="8">
        <f t="shared" si="224"/>
        <v>0</v>
      </c>
      <c r="E236" s="8">
        <f t="shared" si="224"/>
        <v>0</v>
      </c>
      <c r="F236" s="8">
        <f t="shared" si="224"/>
        <v>0</v>
      </c>
      <c r="G236" s="8">
        <f t="shared" si="224"/>
        <v>0</v>
      </c>
      <c r="H236" s="8">
        <f t="shared" si="224"/>
        <v>0</v>
      </c>
      <c r="I236" s="8">
        <f t="shared" si="224"/>
        <v>0</v>
      </c>
      <c r="J236" s="8">
        <f t="shared" si="224"/>
        <v>0</v>
      </c>
      <c r="K236" s="8">
        <f t="shared" si="224"/>
        <v>0</v>
      </c>
      <c r="L236" s="8">
        <f t="shared" si="224"/>
        <v>0</v>
      </c>
      <c r="M236" s="8">
        <f t="shared" si="224"/>
        <v>0</v>
      </c>
      <c r="N236" s="8">
        <f t="shared" si="224"/>
        <v>0</v>
      </c>
      <c r="O236" s="8">
        <f t="shared" si="224"/>
        <v>0</v>
      </c>
      <c r="P236" s="8">
        <f t="shared" si="220"/>
        <v>0</v>
      </c>
      <c r="Q236" s="8">
        <f t="shared" si="221"/>
        <v>0</v>
      </c>
      <c r="R236" s="8">
        <f t="shared" si="222"/>
        <v>0</v>
      </c>
      <c r="S236" s="8">
        <f t="shared" si="223"/>
        <v>0</v>
      </c>
      <c r="T236" s="3">
        <v>0</v>
      </c>
    </row>
    <row r="237" spans="1:68" x14ac:dyDescent="0.25">
      <c r="A237" s="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9" spans="1:68" x14ac:dyDescent="0.25">
      <c r="B239" s="8" t="s">
        <v>83</v>
      </c>
    </row>
    <row r="240" spans="1:68" x14ac:dyDescent="0.25">
      <c r="C240" s="8" t="s">
        <v>7</v>
      </c>
      <c r="D240" s="3" t="s">
        <v>8</v>
      </c>
      <c r="E240" s="3" t="s">
        <v>9</v>
      </c>
      <c r="F240" s="3" t="s">
        <v>10</v>
      </c>
      <c r="G240" s="3" t="s">
        <v>11</v>
      </c>
      <c r="H240" s="3" t="s">
        <v>12</v>
      </c>
      <c r="I240" s="3" t="s">
        <v>13</v>
      </c>
      <c r="J240" s="3" t="s">
        <v>14</v>
      </c>
      <c r="K240" s="3" t="s">
        <v>15</v>
      </c>
      <c r="L240" s="3" t="s">
        <v>16</v>
      </c>
      <c r="M240" s="3" t="s">
        <v>17</v>
      </c>
      <c r="N240" s="3" t="s">
        <v>18</v>
      </c>
      <c r="O240" s="3" t="s">
        <v>19</v>
      </c>
      <c r="P240" s="3" t="s">
        <v>20</v>
      </c>
      <c r="Q240" s="3" t="s">
        <v>21</v>
      </c>
      <c r="R240" s="3" t="s">
        <v>22</v>
      </c>
      <c r="S240" s="3" t="s">
        <v>23</v>
      </c>
      <c r="T240" s="3" t="s">
        <v>24</v>
      </c>
      <c r="U240" s="3" t="s">
        <v>25</v>
      </c>
      <c r="V240" s="3" t="s">
        <v>26</v>
      </c>
      <c r="W240" s="3" t="s">
        <v>27</v>
      </c>
      <c r="X240" s="3" t="s">
        <v>28</v>
      </c>
      <c r="Y240" s="3" t="s">
        <v>29</v>
      </c>
      <c r="Z240" s="3" t="s">
        <v>30</v>
      </c>
      <c r="AA240" s="3" t="s">
        <v>31</v>
      </c>
      <c r="AB240" s="3" t="s">
        <v>32</v>
      </c>
      <c r="AC240" s="3">
        <v>27</v>
      </c>
      <c r="AD240" s="3" t="s">
        <v>33</v>
      </c>
      <c r="AE240" s="3" t="s">
        <v>34</v>
      </c>
      <c r="AF240" s="3">
        <v>30</v>
      </c>
      <c r="AG240" s="3">
        <v>31</v>
      </c>
      <c r="AH240" s="3" t="s">
        <v>35</v>
      </c>
      <c r="AI240" s="3" t="s">
        <v>36</v>
      </c>
      <c r="AJ240" s="3" t="s">
        <v>37</v>
      </c>
      <c r="AK240" s="3">
        <v>35</v>
      </c>
      <c r="AL240" s="3" t="s">
        <v>38</v>
      </c>
      <c r="AM240" s="3" t="s">
        <v>39</v>
      </c>
      <c r="AN240" s="3">
        <v>38</v>
      </c>
      <c r="AO240" s="3">
        <v>39</v>
      </c>
      <c r="AP240" s="3" t="s">
        <v>40</v>
      </c>
      <c r="AQ240" s="3" t="s">
        <v>41</v>
      </c>
      <c r="AR240" s="3" t="s">
        <v>42</v>
      </c>
      <c r="AS240" s="3" t="s">
        <v>43</v>
      </c>
      <c r="AT240" s="3" t="s">
        <v>44</v>
      </c>
      <c r="AU240" s="3">
        <v>45</v>
      </c>
      <c r="AV240" s="3" t="s">
        <v>45</v>
      </c>
      <c r="AW240" s="3" t="s">
        <v>46</v>
      </c>
      <c r="AX240" s="3" t="s">
        <v>47</v>
      </c>
      <c r="AY240" s="3" t="s">
        <v>48</v>
      </c>
      <c r="AZ240" s="3" t="s">
        <v>49</v>
      </c>
      <c r="BA240" s="3" t="s">
        <v>50</v>
      </c>
      <c r="BB240" s="8">
        <v>52</v>
      </c>
      <c r="BC240" s="8">
        <v>53</v>
      </c>
      <c r="BD240" s="8" t="s">
        <v>4</v>
      </c>
    </row>
    <row r="241" spans="2:56" x14ac:dyDescent="0.25">
      <c r="B241" s="8">
        <v>2015</v>
      </c>
      <c r="C241" s="8">
        <v>0</v>
      </c>
      <c r="D241" s="3">
        <v>1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1</v>
      </c>
      <c r="K241" s="3">
        <v>1</v>
      </c>
      <c r="L241" s="3">
        <v>0</v>
      </c>
      <c r="M241" s="3">
        <v>0</v>
      </c>
      <c r="N241" s="3">
        <v>1</v>
      </c>
      <c r="O241" s="3">
        <v>0</v>
      </c>
      <c r="P241" s="3">
        <v>0</v>
      </c>
      <c r="Q241" s="3">
        <v>0</v>
      </c>
      <c r="R241" s="3">
        <v>2</v>
      </c>
      <c r="S241" s="3">
        <v>1</v>
      </c>
      <c r="T241" s="3">
        <v>1</v>
      </c>
      <c r="U241" s="3">
        <v>0</v>
      </c>
      <c r="V241" s="3">
        <v>0</v>
      </c>
      <c r="W241" s="3">
        <v>0</v>
      </c>
      <c r="X241" s="3">
        <v>2</v>
      </c>
      <c r="Y241" s="3">
        <v>0</v>
      </c>
      <c r="Z241" s="3">
        <v>3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1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8">
        <v>0</v>
      </c>
      <c r="BC241" s="8">
        <v>0</v>
      </c>
      <c r="BD241" s="8">
        <v>15</v>
      </c>
    </row>
    <row r="242" spans="2:56" x14ac:dyDescent="0.25">
      <c r="B242" s="8">
        <v>2016</v>
      </c>
      <c r="C242" s="8">
        <v>0</v>
      </c>
      <c r="D242" s="3">
        <v>0</v>
      </c>
      <c r="E242" s="3">
        <v>2</v>
      </c>
      <c r="F242" s="3">
        <v>3</v>
      </c>
      <c r="G242" s="3">
        <v>6</v>
      </c>
      <c r="H242" s="3">
        <v>6</v>
      </c>
      <c r="I242" s="3">
        <v>2</v>
      </c>
      <c r="J242" s="3">
        <v>3</v>
      </c>
      <c r="K242" s="3">
        <v>2</v>
      </c>
      <c r="L242" s="3">
        <v>0</v>
      </c>
      <c r="M242" s="3">
        <v>0</v>
      </c>
      <c r="N242" s="3">
        <v>0</v>
      </c>
      <c r="O242" s="3">
        <v>0</v>
      </c>
      <c r="P242" s="3">
        <v>1</v>
      </c>
      <c r="Q242" s="3">
        <v>2</v>
      </c>
      <c r="R242" s="3">
        <v>4</v>
      </c>
      <c r="S242" s="3">
        <v>1</v>
      </c>
      <c r="T242" s="3">
        <v>0</v>
      </c>
      <c r="U242" s="3">
        <v>1</v>
      </c>
      <c r="V242" s="3">
        <v>1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1</v>
      </c>
      <c r="AD242" s="3">
        <v>2</v>
      </c>
      <c r="AE242" s="3">
        <v>0</v>
      </c>
      <c r="AF242" s="3">
        <v>0</v>
      </c>
      <c r="AG242" s="3">
        <v>0</v>
      </c>
      <c r="AH242" s="3">
        <v>1</v>
      </c>
      <c r="AI242" s="3">
        <v>0</v>
      </c>
      <c r="AJ242" s="3">
        <v>1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8">
        <v>0</v>
      </c>
      <c r="BC242" s="8">
        <v>0</v>
      </c>
      <c r="BD242" s="8">
        <v>39</v>
      </c>
    </row>
    <row r="243" spans="2:56" x14ac:dyDescent="0.25">
      <c r="B243" s="8">
        <v>2017</v>
      </c>
      <c r="C243" s="8">
        <v>0</v>
      </c>
      <c r="D243" s="3">
        <v>0</v>
      </c>
      <c r="E243" s="3">
        <v>0</v>
      </c>
      <c r="F243" s="3">
        <v>1</v>
      </c>
      <c r="G243" s="3">
        <v>0</v>
      </c>
      <c r="H243" s="3">
        <v>0</v>
      </c>
      <c r="I243" s="3">
        <v>0</v>
      </c>
      <c r="J243" s="3">
        <v>0</v>
      </c>
      <c r="K243" s="3">
        <v>2</v>
      </c>
      <c r="L243" s="3">
        <v>1</v>
      </c>
      <c r="M243" s="3">
        <v>2</v>
      </c>
      <c r="N243" s="3">
        <v>1</v>
      </c>
      <c r="O243" s="3">
        <v>0</v>
      </c>
      <c r="P243" s="3">
        <v>1</v>
      </c>
      <c r="Q243" s="3">
        <v>2</v>
      </c>
      <c r="R243" s="3">
        <v>3</v>
      </c>
      <c r="S243" s="3">
        <v>1</v>
      </c>
      <c r="T243" s="3">
        <v>0</v>
      </c>
      <c r="U243" s="3">
        <v>1</v>
      </c>
      <c r="V243" s="3">
        <v>2</v>
      </c>
      <c r="W243" s="3">
        <v>0</v>
      </c>
      <c r="X243" s="3">
        <v>2</v>
      </c>
      <c r="Y243" s="3">
        <v>1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8">
        <v>0</v>
      </c>
      <c r="BC243" s="8">
        <v>0</v>
      </c>
      <c r="BD243" s="8">
        <v>20</v>
      </c>
    </row>
    <row r="244" spans="2:56" x14ac:dyDescent="0.25">
      <c r="B244" s="8">
        <v>2018</v>
      </c>
      <c r="C244" s="8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2</v>
      </c>
      <c r="O244" s="3">
        <v>1</v>
      </c>
      <c r="P244" s="3">
        <v>1</v>
      </c>
      <c r="Q244" s="3">
        <v>0</v>
      </c>
      <c r="R244" s="3">
        <v>0</v>
      </c>
      <c r="S244" s="3">
        <v>2</v>
      </c>
      <c r="T244" s="3">
        <v>1</v>
      </c>
      <c r="U244" s="3">
        <v>0</v>
      </c>
      <c r="V244" s="3">
        <v>2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8">
        <v>0</v>
      </c>
      <c r="BC244" s="8">
        <v>0</v>
      </c>
      <c r="BD244" s="8">
        <v>9</v>
      </c>
    </row>
    <row r="245" spans="2:56" x14ac:dyDescent="0.25">
      <c r="B245" s="8">
        <v>2019</v>
      </c>
      <c r="C245" s="8">
        <f t="shared" ref="C245:AH245" si="225">B14</f>
        <v>0</v>
      </c>
      <c r="D245" s="3">
        <f t="shared" si="225"/>
        <v>0</v>
      </c>
      <c r="E245" s="3">
        <f t="shared" si="225"/>
        <v>0</v>
      </c>
      <c r="F245" s="3">
        <f t="shared" si="225"/>
        <v>0</v>
      </c>
      <c r="G245" s="3">
        <f t="shared" si="225"/>
        <v>1</v>
      </c>
      <c r="H245" s="3">
        <f t="shared" si="225"/>
        <v>0</v>
      </c>
      <c r="I245" s="3">
        <f t="shared" si="225"/>
        <v>0</v>
      </c>
      <c r="J245" s="3">
        <f t="shared" si="225"/>
        <v>1</v>
      </c>
      <c r="K245" s="3">
        <f t="shared" si="225"/>
        <v>2</v>
      </c>
      <c r="L245" s="3">
        <f t="shared" si="225"/>
        <v>0</v>
      </c>
      <c r="M245" s="3">
        <f t="shared" si="225"/>
        <v>0</v>
      </c>
      <c r="N245" s="3">
        <f t="shared" si="225"/>
        <v>1</v>
      </c>
      <c r="O245" s="3">
        <f t="shared" si="225"/>
        <v>0</v>
      </c>
      <c r="P245" s="3">
        <f t="shared" si="225"/>
        <v>1</v>
      </c>
      <c r="Q245" s="3">
        <f t="shared" si="225"/>
        <v>1</v>
      </c>
      <c r="R245" s="3">
        <f t="shared" si="225"/>
        <v>0</v>
      </c>
      <c r="S245" s="3">
        <f t="shared" si="225"/>
        <v>3</v>
      </c>
      <c r="T245" s="3">
        <f t="shared" si="225"/>
        <v>0</v>
      </c>
      <c r="U245" s="3">
        <f t="shared" si="225"/>
        <v>0</v>
      </c>
      <c r="V245" s="3">
        <f t="shared" si="225"/>
        <v>0</v>
      </c>
      <c r="W245" s="3">
        <f t="shared" si="225"/>
        <v>0</v>
      </c>
      <c r="X245" s="3">
        <f t="shared" si="225"/>
        <v>0</v>
      </c>
      <c r="Y245" s="3">
        <f t="shared" si="225"/>
        <v>0</v>
      </c>
      <c r="Z245" s="3">
        <f t="shared" si="225"/>
        <v>0</v>
      </c>
      <c r="AA245" s="3">
        <f t="shared" si="225"/>
        <v>0</v>
      </c>
      <c r="AB245" s="3">
        <f t="shared" si="225"/>
        <v>0</v>
      </c>
      <c r="AC245" s="3">
        <f t="shared" si="225"/>
        <v>0</v>
      </c>
      <c r="AD245" s="3">
        <f t="shared" si="225"/>
        <v>1</v>
      </c>
      <c r="AE245" s="3">
        <f t="shared" si="225"/>
        <v>0</v>
      </c>
      <c r="AF245" s="3">
        <f t="shared" si="225"/>
        <v>0</v>
      </c>
      <c r="AG245" s="3">
        <f t="shared" si="225"/>
        <v>0</v>
      </c>
      <c r="AH245" s="3">
        <f t="shared" si="225"/>
        <v>0</v>
      </c>
      <c r="AI245" s="3">
        <f t="shared" ref="AI245:BC245" si="226">AH14</f>
        <v>0</v>
      </c>
      <c r="AJ245" s="3">
        <f t="shared" si="226"/>
        <v>0</v>
      </c>
      <c r="AK245" s="3">
        <f t="shared" si="226"/>
        <v>0</v>
      </c>
      <c r="AL245" s="3">
        <f t="shared" si="226"/>
        <v>0</v>
      </c>
      <c r="AM245" s="3">
        <f t="shared" si="226"/>
        <v>0</v>
      </c>
      <c r="AN245" s="3">
        <f t="shared" si="226"/>
        <v>0</v>
      </c>
      <c r="AO245" s="3">
        <f t="shared" si="226"/>
        <v>0</v>
      </c>
      <c r="AP245" s="3">
        <f t="shared" si="226"/>
        <v>0</v>
      </c>
      <c r="AQ245" s="3">
        <f t="shared" si="226"/>
        <v>0</v>
      </c>
      <c r="AR245" s="3">
        <f t="shared" si="226"/>
        <v>0</v>
      </c>
      <c r="AS245" s="3">
        <f t="shared" si="226"/>
        <v>0</v>
      </c>
      <c r="AT245" s="3">
        <f t="shared" si="226"/>
        <v>0</v>
      </c>
      <c r="AU245" s="3">
        <f t="shared" si="226"/>
        <v>0</v>
      </c>
      <c r="AV245" s="3">
        <f t="shared" si="226"/>
        <v>0</v>
      </c>
      <c r="AW245" s="3">
        <f t="shared" si="226"/>
        <v>0</v>
      </c>
      <c r="AX245" s="3">
        <f t="shared" si="226"/>
        <v>4</v>
      </c>
      <c r="AY245" s="3">
        <f t="shared" si="226"/>
        <v>0</v>
      </c>
      <c r="AZ245" s="3">
        <f t="shared" si="226"/>
        <v>3</v>
      </c>
      <c r="BA245" s="3">
        <f t="shared" si="226"/>
        <v>9</v>
      </c>
      <c r="BB245" s="3">
        <f t="shared" si="226"/>
        <v>28</v>
      </c>
      <c r="BC245" s="3">
        <f t="shared" si="226"/>
        <v>0</v>
      </c>
      <c r="BD245" s="8">
        <v>9</v>
      </c>
    </row>
    <row r="246" spans="2:56" x14ac:dyDescent="0.25">
      <c r="B246" s="8">
        <v>2020</v>
      </c>
      <c r="C246" s="8">
        <v>9</v>
      </c>
      <c r="D246" s="3">
        <v>85</v>
      </c>
      <c r="E246" s="3">
        <v>127</v>
      </c>
      <c r="F246" s="3">
        <v>126</v>
      </c>
      <c r="G246" s="3">
        <v>188</v>
      </c>
      <c r="H246" s="3">
        <v>231</v>
      </c>
      <c r="I246" s="3">
        <v>304</v>
      </c>
      <c r="J246" s="3">
        <v>217</v>
      </c>
      <c r="K246" s="3">
        <v>156</v>
      </c>
      <c r="L246" s="3">
        <v>116</v>
      </c>
      <c r="M246" s="3">
        <v>155</v>
      </c>
      <c r="N246" s="3">
        <v>152</v>
      </c>
      <c r="O246" s="3">
        <v>128</v>
      </c>
      <c r="P246" s="3">
        <v>157</v>
      </c>
      <c r="Q246" s="3">
        <v>178</v>
      </c>
      <c r="R246" s="3">
        <v>87</v>
      </c>
      <c r="S246" s="3">
        <v>68</v>
      </c>
      <c r="T246" s="3">
        <v>32</v>
      </c>
      <c r="U246" s="3">
        <v>33</v>
      </c>
      <c r="V246" s="3">
        <v>19</v>
      </c>
      <c r="W246" s="3">
        <v>9</v>
      </c>
      <c r="X246" s="3">
        <v>6</v>
      </c>
      <c r="Y246" s="3">
        <v>2</v>
      </c>
      <c r="Z246" s="3">
        <v>1</v>
      </c>
      <c r="AA246" s="3">
        <v>2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1</v>
      </c>
      <c r="BA246" s="3">
        <v>0</v>
      </c>
      <c r="BB246" s="8">
        <v>2</v>
      </c>
      <c r="BC246" s="8">
        <v>0</v>
      </c>
      <c r="BD246" s="8">
        <v>55</v>
      </c>
    </row>
    <row r="247" spans="2:56" x14ac:dyDescent="0.25">
      <c r="B247" s="8">
        <v>2021</v>
      </c>
      <c r="C247" s="8">
        <v>1</v>
      </c>
      <c r="D247" s="3">
        <v>2</v>
      </c>
      <c r="E247" s="3">
        <v>3</v>
      </c>
      <c r="F247" s="3">
        <v>1</v>
      </c>
      <c r="G247" s="3">
        <v>1</v>
      </c>
      <c r="H247" s="3">
        <v>1</v>
      </c>
      <c r="I247" s="3">
        <v>1</v>
      </c>
      <c r="J247" s="3">
        <v>1</v>
      </c>
      <c r="K247" s="3">
        <v>0</v>
      </c>
      <c r="L247" s="3">
        <v>1</v>
      </c>
      <c r="M247" s="3">
        <v>0</v>
      </c>
      <c r="N247" s="3">
        <v>1</v>
      </c>
      <c r="O247" s="3">
        <v>0</v>
      </c>
      <c r="P247" s="3">
        <v>6</v>
      </c>
      <c r="Q247" s="3">
        <v>2</v>
      </c>
      <c r="R247" s="3">
        <v>0</v>
      </c>
      <c r="S247" s="3">
        <v>0</v>
      </c>
      <c r="T247" s="3">
        <v>0</v>
      </c>
      <c r="U247" s="3">
        <v>1</v>
      </c>
      <c r="V247" s="3">
        <v>1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1</v>
      </c>
      <c r="AO247" s="3">
        <v>0</v>
      </c>
      <c r="AP247" s="3">
        <v>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2</v>
      </c>
      <c r="BB247" s="8">
        <v>0</v>
      </c>
      <c r="BD247" s="8">
        <v>27</v>
      </c>
    </row>
    <row r="248" spans="2:56" x14ac:dyDescent="0.25">
      <c r="B248" s="8">
        <v>2022</v>
      </c>
      <c r="C248" s="8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4</v>
      </c>
      <c r="K248" s="3">
        <v>9</v>
      </c>
      <c r="L248" s="3">
        <v>14</v>
      </c>
      <c r="M248" s="3">
        <v>15</v>
      </c>
      <c r="N248" s="3">
        <v>8</v>
      </c>
      <c r="O248" s="3">
        <v>3</v>
      </c>
      <c r="P248" s="3">
        <v>1</v>
      </c>
      <c r="Q248" s="3">
        <v>3</v>
      </c>
      <c r="R248" s="3">
        <v>4</v>
      </c>
      <c r="S248" s="3">
        <v>13</v>
      </c>
      <c r="T248" s="3">
        <v>4</v>
      </c>
      <c r="U248" s="3">
        <v>8</v>
      </c>
      <c r="V248" s="3">
        <v>6</v>
      </c>
      <c r="W248" s="3">
        <v>0</v>
      </c>
      <c r="X248" s="3">
        <v>0</v>
      </c>
      <c r="Y248" s="3">
        <v>0</v>
      </c>
      <c r="Z248" s="3">
        <v>2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1</v>
      </c>
      <c r="AX248" s="3">
        <v>0</v>
      </c>
      <c r="AY248" s="3">
        <v>2</v>
      </c>
      <c r="AZ248" s="3">
        <v>1</v>
      </c>
      <c r="BA248" s="3">
        <v>2</v>
      </c>
      <c r="BB248" s="8">
        <v>2</v>
      </c>
      <c r="BD248" s="8">
        <v>102</v>
      </c>
    </row>
    <row r="249" spans="2:56" x14ac:dyDescent="0.25">
      <c r="B249" s="8">
        <v>2023</v>
      </c>
      <c r="C249" s="4">
        <v>4</v>
      </c>
      <c r="D249" s="4">
        <v>2</v>
      </c>
      <c r="E249" s="3">
        <v>11</v>
      </c>
      <c r="F249" s="3">
        <v>21</v>
      </c>
      <c r="G249" s="3">
        <v>57</v>
      </c>
      <c r="H249" s="3">
        <v>78</v>
      </c>
      <c r="I249" s="3">
        <v>97</v>
      </c>
      <c r="J249" s="3">
        <v>88</v>
      </c>
      <c r="K249" s="3">
        <v>78</v>
      </c>
      <c r="L249" s="3">
        <v>175</v>
      </c>
      <c r="M249" s="3">
        <v>130</v>
      </c>
      <c r="N249" s="3">
        <v>283</v>
      </c>
      <c r="O249" s="3">
        <v>140</v>
      </c>
      <c r="P249" s="3">
        <v>194</v>
      </c>
      <c r="Q249" s="3">
        <v>220</v>
      </c>
      <c r="R249" s="3">
        <v>170</v>
      </c>
      <c r="S249" s="3">
        <v>86</v>
      </c>
      <c r="T249" s="3">
        <v>98</v>
      </c>
      <c r="U249" s="3">
        <v>37</v>
      </c>
      <c r="V249" s="3">
        <v>24</v>
      </c>
      <c r="W249" s="3">
        <v>21</v>
      </c>
      <c r="X249" s="3">
        <v>21</v>
      </c>
      <c r="Y249" s="3">
        <v>19</v>
      </c>
      <c r="Z249" s="3">
        <v>9</v>
      </c>
      <c r="AA249" s="3">
        <v>2</v>
      </c>
      <c r="AB249" s="3">
        <v>3</v>
      </c>
      <c r="AC249" s="3">
        <v>4</v>
      </c>
      <c r="AD249" s="3">
        <v>2</v>
      </c>
      <c r="AE249" s="3">
        <v>0</v>
      </c>
      <c r="AF249" s="3">
        <v>0</v>
      </c>
      <c r="AG249" s="3">
        <v>1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1</v>
      </c>
      <c r="AW249" s="3">
        <v>0</v>
      </c>
      <c r="AX249" s="3">
        <v>0</v>
      </c>
      <c r="AY249" s="3">
        <v>0</v>
      </c>
      <c r="AZ249" s="3">
        <v>0</v>
      </c>
      <c r="BA249" s="3">
        <v>1</v>
      </c>
      <c r="BB249" s="3">
        <v>0</v>
      </c>
      <c r="BD249" s="8">
        <f>SUM(C249:BC249)</f>
        <v>2077</v>
      </c>
    </row>
    <row r="250" spans="2:56" x14ac:dyDescent="0.25">
      <c r="B250" s="8">
        <v>2024</v>
      </c>
      <c r="C250" s="4">
        <v>1</v>
      </c>
      <c r="D250" s="4">
        <v>2</v>
      </c>
      <c r="E250" s="3">
        <v>1</v>
      </c>
      <c r="F250" s="3">
        <v>0</v>
      </c>
      <c r="G250" s="3">
        <v>3</v>
      </c>
      <c r="H250" s="3">
        <v>1</v>
      </c>
      <c r="I250" s="3">
        <v>7</v>
      </c>
      <c r="J250" s="3">
        <v>2</v>
      </c>
      <c r="K250" s="3">
        <v>3</v>
      </c>
      <c r="L250" s="3">
        <v>1</v>
      </c>
      <c r="M250" s="3">
        <v>9</v>
      </c>
      <c r="N250" s="3">
        <v>12</v>
      </c>
      <c r="O250" s="3">
        <v>13</v>
      </c>
      <c r="P250" s="3">
        <v>43</v>
      </c>
      <c r="Q250" s="3">
        <v>33</v>
      </c>
      <c r="R250" s="3">
        <v>42</v>
      </c>
      <c r="S250" s="3">
        <v>23</v>
      </c>
      <c r="T250" s="3">
        <v>31</v>
      </c>
      <c r="U250" s="3">
        <v>39</v>
      </c>
      <c r="V250" s="3">
        <v>22</v>
      </c>
      <c r="W250" s="3">
        <v>12</v>
      </c>
      <c r="X250" s="3">
        <v>7</v>
      </c>
      <c r="Y250" s="3">
        <v>1</v>
      </c>
      <c r="Z250" s="3">
        <v>0</v>
      </c>
      <c r="AA250" s="3">
        <v>8</v>
      </c>
      <c r="AB250" s="3">
        <v>5</v>
      </c>
      <c r="AC250" s="3">
        <v>1</v>
      </c>
      <c r="AD250" s="3">
        <v>2</v>
      </c>
      <c r="AE250" s="3">
        <v>1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D250" s="8">
        <f>SUM(C250:BC250)</f>
        <v>325</v>
      </c>
    </row>
    <row r="251" spans="2:56" x14ac:dyDescent="0.25">
      <c r="C251" s="4"/>
      <c r="D251" s="4"/>
    </row>
    <row r="252" spans="2:56" x14ac:dyDescent="0.25">
      <c r="C252" s="4"/>
      <c r="D252" s="4"/>
    </row>
    <row r="253" spans="2:56" x14ac:dyDescent="0.25">
      <c r="B253" s="8" t="s">
        <v>172</v>
      </c>
      <c r="C253" s="4"/>
      <c r="D253" s="4"/>
    </row>
    <row r="254" spans="2:56" x14ac:dyDescent="0.25">
      <c r="B254" s="158" t="s">
        <v>178</v>
      </c>
      <c r="C254" s="4" t="s">
        <v>7</v>
      </c>
      <c r="D254" s="4" t="s">
        <v>8</v>
      </c>
      <c r="E254" s="4" t="s">
        <v>9</v>
      </c>
      <c r="F254" s="4" t="s">
        <v>10</v>
      </c>
      <c r="G254" s="4" t="s">
        <v>11</v>
      </c>
      <c r="H254" s="4" t="s">
        <v>12</v>
      </c>
      <c r="I254" s="4" t="s">
        <v>13</v>
      </c>
      <c r="J254" s="4" t="s">
        <v>14</v>
      </c>
      <c r="K254" s="4" t="s">
        <v>15</v>
      </c>
      <c r="L254" s="4" t="s">
        <v>16</v>
      </c>
      <c r="M254" s="4" t="s">
        <v>17</v>
      </c>
      <c r="N254" s="4" t="s">
        <v>18</v>
      </c>
      <c r="O254" s="4" t="s">
        <v>19</v>
      </c>
      <c r="P254" s="4" t="s">
        <v>20</v>
      </c>
      <c r="Q254" s="4" t="s">
        <v>21</v>
      </c>
      <c r="R254" s="4" t="s">
        <v>22</v>
      </c>
      <c r="S254" s="4" t="s">
        <v>23</v>
      </c>
      <c r="T254" s="4" t="s">
        <v>24</v>
      </c>
      <c r="U254" s="4" t="s">
        <v>25</v>
      </c>
      <c r="V254" s="4" t="s">
        <v>26</v>
      </c>
      <c r="W254" s="4" t="s">
        <v>27</v>
      </c>
      <c r="X254" s="4" t="s">
        <v>28</v>
      </c>
      <c r="Y254" s="4" t="s">
        <v>29</v>
      </c>
      <c r="Z254" s="4" t="s">
        <v>30</v>
      </c>
      <c r="AA254" s="4">
        <v>25</v>
      </c>
      <c r="AB254" s="4" t="s">
        <v>32</v>
      </c>
      <c r="AC254" s="4" t="s">
        <v>121</v>
      </c>
      <c r="AD254" s="4" t="s">
        <v>33</v>
      </c>
      <c r="AE254" s="4">
        <v>29</v>
      </c>
      <c r="AF254" s="4">
        <v>30</v>
      </c>
      <c r="AG254" s="4">
        <v>31</v>
      </c>
      <c r="AH254" s="4">
        <v>32</v>
      </c>
      <c r="AI254" s="4">
        <v>33</v>
      </c>
      <c r="AJ254" s="4">
        <v>34</v>
      </c>
      <c r="AK254" s="4">
        <v>35</v>
      </c>
      <c r="AL254" s="4">
        <v>36</v>
      </c>
      <c r="AM254" s="4">
        <v>37</v>
      </c>
      <c r="AN254" s="4" t="s">
        <v>125</v>
      </c>
      <c r="AO254" s="4">
        <v>39</v>
      </c>
      <c r="AP254" s="4">
        <v>40</v>
      </c>
      <c r="AQ254" s="4">
        <v>41</v>
      </c>
      <c r="AR254" s="4">
        <v>42</v>
      </c>
      <c r="AS254" s="4">
        <v>43</v>
      </c>
      <c r="AT254" s="4">
        <v>44</v>
      </c>
      <c r="AU254" s="4">
        <v>45</v>
      </c>
      <c r="AV254" s="4">
        <v>46</v>
      </c>
      <c r="AW254" s="4" t="s">
        <v>46</v>
      </c>
      <c r="AX254" s="4" t="s">
        <v>47</v>
      </c>
      <c r="AY254" s="4">
        <v>49</v>
      </c>
      <c r="AZ254" s="4" t="s">
        <v>49</v>
      </c>
      <c r="BA254" s="4" t="s">
        <v>50</v>
      </c>
      <c r="BB254" s="4" t="s">
        <v>51</v>
      </c>
      <c r="BC254" s="4">
        <v>53</v>
      </c>
      <c r="BD254" s="4" t="s">
        <v>82</v>
      </c>
    </row>
    <row r="255" spans="2:56" ht="13.8" x14ac:dyDescent="0.3">
      <c r="B255" s="5" t="s">
        <v>173</v>
      </c>
      <c r="C255" s="159">
        <v>0</v>
      </c>
      <c r="D255" s="159">
        <v>0</v>
      </c>
      <c r="E255" s="159">
        <v>0</v>
      </c>
      <c r="F255" s="159">
        <v>0</v>
      </c>
      <c r="G255" s="1">
        <v>1</v>
      </c>
      <c r="H255" s="159">
        <v>0</v>
      </c>
      <c r="I255" s="159">
        <v>0</v>
      </c>
      <c r="J255" s="159">
        <v>0</v>
      </c>
      <c r="K255" s="1">
        <v>2</v>
      </c>
      <c r="L255" s="159">
        <v>0</v>
      </c>
      <c r="M255" s="159">
        <v>0</v>
      </c>
      <c r="N255" s="159">
        <v>0</v>
      </c>
      <c r="O255" s="159">
        <v>0</v>
      </c>
      <c r="P255" s="1">
        <v>1</v>
      </c>
      <c r="Q255" s="159">
        <v>0</v>
      </c>
      <c r="R255" s="159">
        <v>0</v>
      </c>
      <c r="S255" s="159">
        <v>0</v>
      </c>
      <c r="T255" s="159">
        <v>0</v>
      </c>
      <c r="U255" s="159">
        <v>0</v>
      </c>
      <c r="V255" s="159">
        <v>0</v>
      </c>
      <c r="W255" s="159">
        <v>0</v>
      </c>
      <c r="X255" s="159">
        <v>0</v>
      </c>
      <c r="Y255" s="159">
        <v>0</v>
      </c>
      <c r="Z255" s="159">
        <v>0</v>
      </c>
      <c r="AA255" s="159">
        <v>0</v>
      </c>
      <c r="AB255" s="159">
        <v>0</v>
      </c>
      <c r="AC255" s="159">
        <v>0</v>
      </c>
      <c r="AD255" s="1">
        <v>1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59">
        <v>0</v>
      </c>
      <c r="AO255" s="159">
        <v>0</v>
      </c>
      <c r="AP255" s="159">
        <v>0</v>
      </c>
      <c r="AQ255" s="159">
        <v>0</v>
      </c>
      <c r="AR255" s="159">
        <v>0</v>
      </c>
      <c r="AS255" s="159">
        <v>0</v>
      </c>
      <c r="AT255" s="159">
        <v>0</v>
      </c>
      <c r="AU255" s="159">
        <v>0</v>
      </c>
      <c r="AV255" s="159">
        <v>0</v>
      </c>
      <c r="AW255" s="159">
        <v>0</v>
      </c>
      <c r="AX255" s="1">
        <v>3</v>
      </c>
      <c r="AY255" s="1">
        <v>0</v>
      </c>
      <c r="AZ255" s="1">
        <v>2</v>
      </c>
      <c r="BA255" s="1">
        <v>7</v>
      </c>
      <c r="BB255" s="1">
        <v>11</v>
      </c>
      <c r="BC255" s="1"/>
      <c r="BD255" s="1">
        <v>28</v>
      </c>
    </row>
    <row r="256" spans="2:56" ht="13.8" x14ac:dyDescent="0.3">
      <c r="B256" s="5" t="s">
        <v>174</v>
      </c>
      <c r="C256" s="1">
        <v>20</v>
      </c>
      <c r="D256" s="1">
        <v>61</v>
      </c>
      <c r="E256" s="1">
        <v>64</v>
      </c>
      <c r="F256" s="1">
        <v>69</v>
      </c>
      <c r="G256" s="1">
        <v>59</v>
      </c>
      <c r="H256" s="1">
        <v>83</v>
      </c>
      <c r="I256" s="1">
        <v>76</v>
      </c>
      <c r="J256" s="1">
        <v>59</v>
      </c>
      <c r="K256" s="1">
        <v>48</v>
      </c>
      <c r="L256" s="1">
        <v>49</v>
      </c>
      <c r="M256" s="1">
        <v>71</v>
      </c>
      <c r="N256" s="1">
        <v>49</v>
      </c>
      <c r="O256" s="1">
        <v>32</v>
      </c>
      <c r="P256" s="1">
        <v>36</v>
      </c>
      <c r="Q256" s="1">
        <v>49</v>
      </c>
      <c r="R256" s="1">
        <v>32</v>
      </c>
      <c r="S256" s="1">
        <v>22</v>
      </c>
      <c r="T256" s="1">
        <v>12</v>
      </c>
      <c r="U256" s="1">
        <v>5</v>
      </c>
      <c r="V256" s="159">
        <v>0</v>
      </c>
      <c r="W256" s="1">
        <v>1</v>
      </c>
      <c r="X256" s="159">
        <v>0</v>
      </c>
      <c r="Y256" s="159">
        <v>0</v>
      </c>
      <c r="Z256" s="159">
        <v>0</v>
      </c>
      <c r="AA256" s="159">
        <v>0</v>
      </c>
      <c r="AB256" s="159">
        <v>0</v>
      </c>
      <c r="AC256" s="159">
        <v>0</v>
      </c>
      <c r="AD256" s="159">
        <v>0</v>
      </c>
      <c r="AE256" s="159">
        <v>0</v>
      </c>
      <c r="AF256" s="159">
        <v>0</v>
      </c>
      <c r="AG256" s="159">
        <v>0</v>
      </c>
      <c r="AH256" s="159">
        <v>0</v>
      </c>
      <c r="AI256" s="159">
        <v>0</v>
      </c>
      <c r="AJ256" s="159">
        <v>0</v>
      </c>
      <c r="AK256" s="159">
        <v>0</v>
      </c>
      <c r="AL256" s="159">
        <v>0</v>
      </c>
      <c r="AM256" s="159">
        <v>0</v>
      </c>
      <c r="AN256" s="159">
        <v>0</v>
      </c>
      <c r="AO256" s="159">
        <v>0</v>
      </c>
      <c r="AP256" s="159">
        <v>0</v>
      </c>
      <c r="AQ256" s="159">
        <v>0</v>
      </c>
      <c r="AR256" s="159">
        <v>0</v>
      </c>
      <c r="AS256" s="159">
        <v>0</v>
      </c>
      <c r="AT256" s="159">
        <v>0</v>
      </c>
      <c r="AU256" s="159">
        <v>0</v>
      </c>
      <c r="AV256" s="159">
        <v>0</v>
      </c>
      <c r="AW256" s="159">
        <v>0</v>
      </c>
      <c r="AX256" s="159">
        <v>0</v>
      </c>
      <c r="AY256" s="159">
        <v>0</v>
      </c>
      <c r="AZ256" s="159">
        <v>0</v>
      </c>
      <c r="BA256" s="159">
        <v>0</v>
      </c>
      <c r="BB256" s="159">
        <v>0</v>
      </c>
      <c r="BC256" s="159"/>
      <c r="BD256" s="1">
        <v>897</v>
      </c>
    </row>
    <row r="257" spans="1:56" ht="13.8" x14ac:dyDescent="0.3">
      <c r="B257" s="5" t="s">
        <v>175</v>
      </c>
      <c r="C257" s="159">
        <v>0</v>
      </c>
      <c r="D257" s="159">
        <v>0</v>
      </c>
      <c r="E257" s="159">
        <v>0</v>
      </c>
      <c r="F257" s="159">
        <v>0</v>
      </c>
      <c r="G257" s="159">
        <v>0</v>
      </c>
      <c r="H257" s="159">
        <v>0</v>
      </c>
      <c r="I257" s="159">
        <v>0</v>
      </c>
      <c r="J257" s="159">
        <v>0</v>
      </c>
      <c r="K257" s="159">
        <v>0</v>
      </c>
      <c r="L257" s="159">
        <v>0</v>
      </c>
      <c r="M257" s="159">
        <v>0</v>
      </c>
      <c r="N257" s="159">
        <v>0</v>
      </c>
      <c r="O257" s="159">
        <v>0</v>
      </c>
      <c r="P257" s="1">
        <v>1</v>
      </c>
      <c r="Q257" s="159">
        <v>0</v>
      </c>
      <c r="R257" s="159">
        <v>0</v>
      </c>
      <c r="S257" s="159">
        <v>0</v>
      </c>
      <c r="T257" s="159">
        <v>0</v>
      </c>
      <c r="U257" s="159">
        <v>0</v>
      </c>
      <c r="V257" s="159">
        <v>0</v>
      </c>
      <c r="W257" s="159">
        <v>0</v>
      </c>
      <c r="X257" s="159">
        <v>0</v>
      </c>
      <c r="Y257" s="159">
        <v>0</v>
      </c>
      <c r="Z257" s="159">
        <v>0</v>
      </c>
      <c r="AA257" s="159">
        <v>0</v>
      </c>
      <c r="AB257" s="159">
        <v>0</v>
      </c>
      <c r="AC257" s="159">
        <v>0</v>
      </c>
      <c r="AD257" s="159">
        <v>0</v>
      </c>
      <c r="AE257" s="159">
        <v>0</v>
      </c>
      <c r="AF257" s="159">
        <v>0</v>
      </c>
      <c r="AG257" s="159">
        <v>0</v>
      </c>
      <c r="AH257" s="159">
        <v>0</v>
      </c>
      <c r="AI257" s="159">
        <v>0</v>
      </c>
      <c r="AJ257" s="159">
        <v>0</v>
      </c>
      <c r="AK257" s="159">
        <v>0</v>
      </c>
      <c r="AL257" s="159">
        <v>0</v>
      </c>
      <c r="AM257" s="159">
        <v>0</v>
      </c>
      <c r="AN257" s="1">
        <v>1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59">
        <v>0</v>
      </c>
      <c r="AX257" s="159">
        <v>0</v>
      </c>
      <c r="AY257" s="159">
        <v>0</v>
      </c>
      <c r="AZ257" s="159">
        <v>0</v>
      </c>
      <c r="BA257" s="1">
        <v>1</v>
      </c>
      <c r="BB257" s="159">
        <v>0</v>
      </c>
      <c r="BC257" s="159"/>
      <c r="BD257" s="1">
        <v>3</v>
      </c>
    </row>
    <row r="258" spans="1:56" ht="13.8" x14ac:dyDescent="0.3">
      <c r="B258" s="5" t="s">
        <v>176</v>
      </c>
      <c r="C258" s="159">
        <v>0</v>
      </c>
      <c r="D258" s="159">
        <v>0</v>
      </c>
      <c r="E258" s="159">
        <v>0</v>
      </c>
      <c r="F258" s="159">
        <v>0</v>
      </c>
      <c r="G258" s="159">
        <v>0</v>
      </c>
      <c r="H258" s="159">
        <v>0</v>
      </c>
      <c r="I258" s="159">
        <v>0</v>
      </c>
      <c r="J258" s="159">
        <v>0</v>
      </c>
      <c r="K258" s="159">
        <v>0</v>
      </c>
      <c r="L258" s="159">
        <v>0</v>
      </c>
      <c r="M258" s="1">
        <v>3</v>
      </c>
      <c r="N258" s="1">
        <v>4</v>
      </c>
      <c r="O258" s="1">
        <v>1</v>
      </c>
      <c r="P258" s="1">
        <v>1</v>
      </c>
      <c r="Q258" s="1">
        <v>1</v>
      </c>
      <c r="R258" s="159">
        <v>0</v>
      </c>
      <c r="S258" s="159">
        <v>0</v>
      </c>
      <c r="T258" s="1">
        <v>1</v>
      </c>
      <c r="U258" s="1">
        <v>1</v>
      </c>
      <c r="V258" s="159">
        <v>0</v>
      </c>
      <c r="W258" s="159">
        <v>0</v>
      </c>
      <c r="X258" s="159">
        <v>0</v>
      </c>
      <c r="Y258" s="159">
        <v>0</v>
      </c>
      <c r="Z258" s="159">
        <v>0</v>
      </c>
      <c r="AA258" s="159">
        <v>0</v>
      </c>
      <c r="AB258" s="159">
        <v>0</v>
      </c>
      <c r="AC258" s="159">
        <v>0</v>
      </c>
      <c r="AD258" s="159">
        <v>0</v>
      </c>
      <c r="AE258" s="159">
        <v>0</v>
      </c>
      <c r="AF258" s="159">
        <v>0</v>
      </c>
      <c r="AG258" s="159">
        <v>0</v>
      </c>
      <c r="AH258" s="159">
        <v>0</v>
      </c>
      <c r="AI258" s="159">
        <v>0</v>
      </c>
      <c r="AJ258" s="159">
        <v>0</v>
      </c>
      <c r="AK258" s="159">
        <v>0</v>
      </c>
      <c r="AL258" s="159">
        <v>0</v>
      </c>
      <c r="AM258" s="159">
        <v>0</v>
      </c>
      <c r="AN258" s="159">
        <v>0</v>
      </c>
      <c r="AO258" s="159">
        <v>0</v>
      </c>
      <c r="AP258" s="159">
        <v>0</v>
      </c>
      <c r="AQ258" s="159">
        <v>0</v>
      </c>
      <c r="AR258" s="159">
        <v>0</v>
      </c>
      <c r="AS258" s="159">
        <v>0</v>
      </c>
      <c r="AT258" s="159">
        <v>0</v>
      </c>
      <c r="AU258" s="159">
        <v>0</v>
      </c>
      <c r="AV258" s="159">
        <v>0</v>
      </c>
      <c r="AW258" s="1">
        <v>1</v>
      </c>
      <c r="AX258" s="159">
        <v>0</v>
      </c>
      <c r="AY258" s="159">
        <v>0</v>
      </c>
      <c r="AZ258" s="159">
        <v>0</v>
      </c>
      <c r="BA258" s="1">
        <v>1</v>
      </c>
      <c r="BB258" s="1">
        <v>1</v>
      </c>
      <c r="BC258" s="1"/>
      <c r="BD258" s="1">
        <v>15</v>
      </c>
    </row>
    <row r="259" spans="1:56" ht="13.8" x14ac:dyDescent="0.3">
      <c r="B259" s="5" t="s">
        <v>177</v>
      </c>
      <c r="C259" s="159">
        <v>0</v>
      </c>
      <c r="D259" s="159">
        <v>0</v>
      </c>
      <c r="E259" s="1">
        <v>3</v>
      </c>
      <c r="F259" s="1">
        <v>8</v>
      </c>
      <c r="G259" s="1">
        <v>17</v>
      </c>
      <c r="H259" s="1">
        <v>31</v>
      </c>
      <c r="I259" s="1">
        <v>28</v>
      </c>
      <c r="J259" s="1">
        <v>18</v>
      </c>
      <c r="K259" s="1">
        <v>16</v>
      </c>
      <c r="L259" s="1">
        <v>15</v>
      </c>
      <c r="M259" s="1">
        <v>16</v>
      </c>
      <c r="N259" s="1">
        <v>20</v>
      </c>
      <c r="O259" s="1">
        <v>15</v>
      </c>
      <c r="P259" s="1">
        <v>14</v>
      </c>
      <c r="Q259" s="1">
        <v>12</v>
      </c>
      <c r="R259" s="1">
        <v>14</v>
      </c>
      <c r="S259" s="1">
        <v>20</v>
      </c>
      <c r="T259" s="1">
        <v>7</v>
      </c>
      <c r="U259" s="1">
        <v>7</v>
      </c>
      <c r="V259" s="1">
        <v>13</v>
      </c>
      <c r="W259" s="1">
        <v>15</v>
      </c>
      <c r="X259" s="1">
        <v>7</v>
      </c>
      <c r="Y259" s="1">
        <v>8</v>
      </c>
      <c r="Z259" s="1">
        <v>3</v>
      </c>
      <c r="AA259" s="1">
        <v>0</v>
      </c>
      <c r="AB259" s="1">
        <v>2</v>
      </c>
      <c r="AC259" s="1">
        <v>1</v>
      </c>
      <c r="AD259" s="159">
        <v>0</v>
      </c>
      <c r="AE259" s="159">
        <v>0</v>
      </c>
      <c r="AF259" s="159">
        <v>0</v>
      </c>
      <c r="AG259" s="159">
        <v>0</v>
      </c>
      <c r="AH259" s="159">
        <v>0</v>
      </c>
      <c r="AI259" s="159">
        <v>0</v>
      </c>
      <c r="AJ259" s="159">
        <v>0</v>
      </c>
      <c r="AK259" s="159">
        <v>0</v>
      </c>
      <c r="AL259" s="159">
        <v>0</v>
      </c>
      <c r="AM259" s="159">
        <v>0</v>
      </c>
      <c r="AN259" s="159">
        <v>0</v>
      </c>
      <c r="AO259" s="159">
        <v>0</v>
      </c>
      <c r="AP259" s="159">
        <v>0</v>
      </c>
      <c r="AQ259" s="159">
        <v>0</v>
      </c>
      <c r="AR259" s="159">
        <v>0</v>
      </c>
      <c r="AS259" s="159">
        <v>0</v>
      </c>
      <c r="AT259" s="159">
        <v>0</v>
      </c>
      <c r="AU259" s="159">
        <v>0</v>
      </c>
      <c r="AV259" s="159">
        <v>0</v>
      </c>
      <c r="AW259" s="159">
        <v>0</v>
      </c>
      <c r="AX259" s="159">
        <v>0</v>
      </c>
      <c r="AY259" s="159">
        <v>0</v>
      </c>
      <c r="AZ259" s="159">
        <v>0</v>
      </c>
      <c r="BA259" s="159">
        <v>0</v>
      </c>
      <c r="BB259" s="159">
        <v>0</v>
      </c>
      <c r="BC259" s="159"/>
      <c r="BD259" s="1">
        <v>310</v>
      </c>
    </row>
    <row r="260" spans="1:56" x14ac:dyDescent="0.25">
      <c r="B260" s="8">
        <v>2024</v>
      </c>
      <c r="C260" s="4">
        <v>0</v>
      </c>
      <c r="D260" s="4">
        <v>1</v>
      </c>
      <c r="E260" s="3">
        <v>1</v>
      </c>
      <c r="F260" s="3">
        <v>0</v>
      </c>
      <c r="G260" s="3">
        <v>5</v>
      </c>
      <c r="H260" s="3">
        <v>1</v>
      </c>
      <c r="I260" s="3">
        <v>7</v>
      </c>
      <c r="BD260" s="8">
        <f>SUM(C260:BC260)</f>
        <v>15</v>
      </c>
    </row>
    <row r="261" spans="1:56" x14ac:dyDescent="0.25">
      <c r="C261" s="4"/>
      <c r="D261" s="4"/>
    </row>
    <row r="262" spans="1:56" x14ac:dyDescent="0.25">
      <c r="C262" s="4"/>
      <c r="D262" s="4"/>
    </row>
    <row r="263" spans="1:56" x14ac:dyDescent="0.25">
      <c r="C263" s="4"/>
      <c r="D263" s="4"/>
    </row>
    <row r="264" spans="1:56" x14ac:dyDescent="0.25">
      <c r="C264" s="4"/>
      <c r="D264" s="4"/>
    </row>
    <row r="265" spans="1:56" x14ac:dyDescent="0.25">
      <c r="BB265" s="8"/>
    </row>
    <row r="267" spans="1:56" x14ac:dyDescent="0.25">
      <c r="C267" s="8" t="s">
        <v>7</v>
      </c>
      <c r="D267" s="3" t="s">
        <v>8</v>
      </c>
      <c r="E267" s="3" t="s">
        <v>9</v>
      </c>
      <c r="F267" s="3" t="s">
        <v>10</v>
      </c>
      <c r="G267" s="3" t="s">
        <v>11</v>
      </c>
      <c r="H267" s="3" t="s">
        <v>12</v>
      </c>
      <c r="I267" s="3" t="s">
        <v>13</v>
      </c>
      <c r="J267" s="3" t="s">
        <v>14</v>
      </c>
      <c r="K267" s="3" t="s">
        <v>15</v>
      </c>
      <c r="L267" s="3" t="s">
        <v>16</v>
      </c>
      <c r="M267" s="3" t="s">
        <v>17</v>
      </c>
      <c r="N267" s="3" t="s">
        <v>18</v>
      </c>
      <c r="O267" s="3" t="s">
        <v>19</v>
      </c>
      <c r="P267" s="3" t="s">
        <v>20</v>
      </c>
      <c r="Q267" s="3" t="s">
        <v>21</v>
      </c>
      <c r="R267" s="3" t="s">
        <v>22</v>
      </c>
      <c r="S267" s="3" t="s">
        <v>23</v>
      </c>
      <c r="T267" s="3" t="s">
        <v>24</v>
      </c>
      <c r="U267" s="3" t="s">
        <v>25</v>
      </c>
      <c r="V267" s="3" t="s">
        <v>26</v>
      </c>
      <c r="W267" s="3" t="s">
        <v>27</v>
      </c>
      <c r="X267" s="3" t="s">
        <v>28</v>
      </c>
      <c r="Y267" s="3" t="s">
        <v>29</v>
      </c>
      <c r="Z267" s="3" t="s">
        <v>30</v>
      </c>
      <c r="AA267" s="3" t="s">
        <v>31</v>
      </c>
      <c r="AB267" s="3" t="s">
        <v>32</v>
      </c>
      <c r="AC267" s="3">
        <v>27</v>
      </c>
      <c r="AD267" s="3" t="s">
        <v>33</v>
      </c>
      <c r="AE267" s="3" t="s">
        <v>34</v>
      </c>
      <c r="AF267" s="3">
        <v>30</v>
      </c>
      <c r="AG267" s="3">
        <v>31</v>
      </c>
      <c r="AH267" s="3" t="s">
        <v>35</v>
      </c>
      <c r="AI267" s="3" t="s">
        <v>36</v>
      </c>
      <c r="AJ267" s="3" t="s">
        <v>37</v>
      </c>
      <c r="AK267" s="3">
        <v>35</v>
      </c>
      <c r="AL267" s="3" t="s">
        <v>38</v>
      </c>
      <c r="AM267" s="3" t="s">
        <v>39</v>
      </c>
      <c r="AN267" s="3">
        <v>38</v>
      </c>
      <c r="AO267" s="3">
        <v>39</v>
      </c>
      <c r="AP267" s="3" t="s">
        <v>40</v>
      </c>
      <c r="AQ267" s="3" t="s">
        <v>41</v>
      </c>
      <c r="AR267" s="3" t="s">
        <v>42</v>
      </c>
      <c r="AS267" s="3" t="s">
        <v>43</v>
      </c>
      <c r="AT267" s="3" t="s">
        <v>44</v>
      </c>
      <c r="AU267" s="3">
        <v>45</v>
      </c>
      <c r="AV267" s="3" t="s">
        <v>45</v>
      </c>
      <c r="AW267" s="3" t="s">
        <v>46</v>
      </c>
      <c r="AX267" s="3" t="s">
        <v>47</v>
      </c>
      <c r="AY267" s="3" t="s">
        <v>48</v>
      </c>
      <c r="AZ267" s="3" t="s">
        <v>49</v>
      </c>
      <c r="BA267" s="3" t="s">
        <v>50</v>
      </c>
      <c r="BB267" s="8">
        <v>52</v>
      </c>
      <c r="BC267" s="8">
        <v>53</v>
      </c>
      <c r="BD267" s="8" t="s">
        <v>4</v>
      </c>
    </row>
    <row r="268" spans="1:56" x14ac:dyDescent="0.25">
      <c r="A268" s="8" t="s">
        <v>76</v>
      </c>
      <c r="B268" s="3"/>
      <c r="C268" s="8">
        <f t="shared" ref="C268:AH268" si="227">AVERAGE(C241:C246)</f>
        <v>1.5</v>
      </c>
      <c r="D268" s="3">
        <f t="shared" si="227"/>
        <v>14.333333333333334</v>
      </c>
      <c r="E268" s="3">
        <f t="shared" si="227"/>
        <v>21.5</v>
      </c>
      <c r="F268" s="3">
        <f t="shared" si="227"/>
        <v>21.666666666666668</v>
      </c>
      <c r="G268" s="3">
        <f t="shared" si="227"/>
        <v>32.5</v>
      </c>
      <c r="H268" s="3">
        <f t="shared" si="227"/>
        <v>39.5</v>
      </c>
      <c r="I268" s="3">
        <f t="shared" si="227"/>
        <v>51.166666666666664</v>
      </c>
      <c r="J268" s="3">
        <f t="shared" si="227"/>
        <v>37</v>
      </c>
      <c r="K268" s="3">
        <f t="shared" si="227"/>
        <v>27.166666666666668</v>
      </c>
      <c r="L268" s="3">
        <f t="shared" si="227"/>
        <v>19.5</v>
      </c>
      <c r="M268" s="3">
        <f t="shared" si="227"/>
        <v>26.166666666666668</v>
      </c>
      <c r="N268" s="3">
        <f t="shared" si="227"/>
        <v>26.166666666666668</v>
      </c>
      <c r="O268" s="3">
        <f t="shared" si="227"/>
        <v>21.5</v>
      </c>
      <c r="P268" s="3">
        <f t="shared" si="227"/>
        <v>26.833333333333332</v>
      </c>
      <c r="Q268" s="3">
        <f t="shared" si="227"/>
        <v>30.5</v>
      </c>
      <c r="R268" s="3">
        <f t="shared" si="227"/>
        <v>16</v>
      </c>
      <c r="S268" s="3">
        <f t="shared" si="227"/>
        <v>12.666666666666666</v>
      </c>
      <c r="T268" s="3">
        <f t="shared" si="227"/>
        <v>5.666666666666667</v>
      </c>
      <c r="U268" s="3">
        <f t="shared" si="227"/>
        <v>5.833333333333333</v>
      </c>
      <c r="V268" s="3">
        <f t="shared" si="227"/>
        <v>4</v>
      </c>
      <c r="W268" s="3">
        <f t="shared" si="227"/>
        <v>1.5</v>
      </c>
      <c r="X268" s="3">
        <f t="shared" si="227"/>
        <v>1.6666666666666667</v>
      </c>
      <c r="Y268" s="3">
        <f t="shared" si="227"/>
        <v>0.5</v>
      </c>
      <c r="Z268" s="3">
        <f t="shared" si="227"/>
        <v>0.66666666666666663</v>
      </c>
      <c r="AA268" s="3">
        <f t="shared" si="227"/>
        <v>0.33333333333333331</v>
      </c>
      <c r="AB268" s="3">
        <f t="shared" si="227"/>
        <v>0</v>
      </c>
      <c r="AC268" s="3">
        <f t="shared" si="227"/>
        <v>0.16666666666666666</v>
      </c>
      <c r="AD268" s="3">
        <f t="shared" si="227"/>
        <v>0.5</v>
      </c>
      <c r="AE268" s="3">
        <f t="shared" si="227"/>
        <v>0</v>
      </c>
      <c r="AF268" s="3">
        <f t="shared" si="227"/>
        <v>0.16666666666666666</v>
      </c>
      <c r="AG268" s="3">
        <f t="shared" si="227"/>
        <v>0</v>
      </c>
      <c r="AH268" s="3">
        <f t="shared" si="227"/>
        <v>0.16666666666666666</v>
      </c>
      <c r="AI268" s="3">
        <f t="shared" ref="AI268:BA268" si="228">AVERAGE(AI241:AI246)</f>
        <v>0</v>
      </c>
      <c r="AJ268" s="3">
        <f t="shared" si="228"/>
        <v>0.16666666666666666</v>
      </c>
      <c r="AK268" s="3">
        <f t="shared" si="228"/>
        <v>0</v>
      </c>
      <c r="AL268" s="3">
        <f t="shared" si="228"/>
        <v>0</v>
      </c>
      <c r="AM268" s="3">
        <f t="shared" si="228"/>
        <v>0</v>
      </c>
      <c r="AN268" s="3">
        <f t="shared" si="228"/>
        <v>0</v>
      </c>
      <c r="AO268" s="3">
        <f t="shared" si="228"/>
        <v>0</v>
      </c>
      <c r="AP268" s="3">
        <f t="shared" si="228"/>
        <v>0</v>
      </c>
      <c r="AQ268" s="3">
        <f t="shared" si="228"/>
        <v>0</v>
      </c>
      <c r="AR268" s="3">
        <f t="shared" si="228"/>
        <v>0</v>
      </c>
      <c r="AS268" s="3">
        <f t="shared" si="228"/>
        <v>0</v>
      </c>
      <c r="AT268" s="3">
        <f t="shared" si="228"/>
        <v>0</v>
      </c>
      <c r="AU268" s="3">
        <f t="shared" si="228"/>
        <v>0</v>
      </c>
      <c r="AV268" s="3">
        <f t="shared" si="228"/>
        <v>0</v>
      </c>
      <c r="AW268" s="3">
        <f t="shared" si="228"/>
        <v>0</v>
      </c>
      <c r="AX268" s="3">
        <f t="shared" si="228"/>
        <v>0.66666666666666663</v>
      </c>
      <c r="AY268" s="3">
        <f t="shared" si="228"/>
        <v>0</v>
      </c>
      <c r="AZ268" s="3">
        <f t="shared" si="228"/>
        <v>0.66666666666666663</v>
      </c>
      <c r="BA268" s="3">
        <f t="shared" si="228"/>
        <v>1.5</v>
      </c>
      <c r="BB268" s="3">
        <f>AVERAGE(BB241:BB246)</f>
        <v>5</v>
      </c>
      <c r="BC268" s="8">
        <v>0</v>
      </c>
    </row>
    <row r="269" spans="1:56" x14ac:dyDescent="0.25">
      <c r="A269" s="8" t="s">
        <v>77</v>
      </c>
      <c r="B269" s="3"/>
      <c r="C269" s="8">
        <f>STDEVA(C241:C246)</f>
        <v>3.6742346141747673</v>
      </c>
      <c r="D269" s="3">
        <f t="shared" ref="D269:AH269" si="229">STDEVA(D241:D246)</f>
        <v>34.621765793596758</v>
      </c>
      <c r="E269" s="3">
        <f t="shared" si="229"/>
        <v>51.690424645189367</v>
      </c>
      <c r="F269" s="3">
        <f t="shared" si="229"/>
        <v>51.125988173009105</v>
      </c>
      <c r="G269" s="3">
        <f t="shared" si="229"/>
        <v>76.214827953620684</v>
      </c>
      <c r="H269" s="3">
        <f t="shared" si="229"/>
        <v>93.846150693568674</v>
      </c>
      <c r="I269" s="3">
        <f t="shared" si="229"/>
        <v>123.86511480908038</v>
      </c>
      <c r="J269" s="3">
        <f t="shared" si="229"/>
        <v>88.188434615883736</v>
      </c>
      <c r="K269" s="3">
        <f t="shared" si="229"/>
        <v>63.12025559728562</v>
      </c>
      <c r="L269" s="3">
        <f t="shared" si="229"/>
        <v>47.276844226322886</v>
      </c>
      <c r="M269" s="3">
        <f t="shared" si="229"/>
        <v>63.12025559728562</v>
      </c>
      <c r="N269" s="3">
        <f t="shared" si="229"/>
        <v>61.648736131948937</v>
      </c>
      <c r="O269" s="3">
        <f t="shared" si="229"/>
        <v>52.175664825663702</v>
      </c>
      <c r="P269" s="3">
        <f t="shared" si="229"/>
        <v>63.769637498316285</v>
      </c>
      <c r="Q269" s="3">
        <f t="shared" si="229"/>
        <v>72.265482770130305</v>
      </c>
      <c r="R269" s="3">
        <f t="shared" si="229"/>
        <v>34.81953474703532</v>
      </c>
      <c r="S269" s="3">
        <f t="shared" si="229"/>
        <v>27.119488687411987</v>
      </c>
      <c r="T269" s="3">
        <f t="shared" si="229"/>
        <v>12.909944487358057</v>
      </c>
      <c r="U269" s="3">
        <f t="shared" si="229"/>
        <v>13.317907743585952</v>
      </c>
      <c r="V269" s="3">
        <f t="shared" si="229"/>
        <v>7.4027022093286989</v>
      </c>
      <c r="W269" s="3">
        <f t="shared" si="229"/>
        <v>3.6742346141747673</v>
      </c>
      <c r="X269" s="3">
        <f t="shared" si="229"/>
        <v>2.3380903889000244</v>
      </c>
      <c r="Y269" s="3">
        <f t="shared" si="229"/>
        <v>0.83666002653407556</v>
      </c>
      <c r="Z269" s="3">
        <f t="shared" si="229"/>
        <v>1.2110601416389968</v>
      </c>
      <c r="AA269" s="3">
        <f t="shared" si="229"/>
        <v>0.81649658092772603</v>
      </c>
      <c r="AB269" s="3">
        <f t="shared" si="229"/>
        <v>0</v>
      </c>
      <c r="AC269" s="3">
        <f t="shared" si="229"/>
        <v>0.40824829046386302</v>
      </c>
      <c r="AD269" s="3">
        <f t="shared" si="229"/>
        <v>0.83666002653407556</v>
      </c>
      <c r="AE269" s="3">
        <f t="shared" si="229"/>
        <v>0</v>
      </c>
      <c r="AF269" s="3">
        <f t="shared" si="229"/>
        <v>0.40824829046386302</v>
      </c>
      <c r="AG269" s="3">
        <f t="shared" si="229"/>
        <v>0</v>
      </c>
      <c r="AH269" s="3">
        <f t="shared" si="229"/>
        <v>0.40824829046386302</v>
      </c>
      <c r="AI269" s="3">
        <f t="shared" ref="AI269:BA269" si="230">STDEVA(AI241:AI246)</f>
        <v>0</v>
      </c>
      <c r="AJ269" s="3">
        <f t="shared" si="230"/>
        <v>0.40824829046386302</v>
      </c>
      <c r="AK269" s="3">
        <f t="shared" si="230"/>
        <v>0</v>
      </c>
      <c r="AL269" s="3">
        <f t="shared" si="230"/>
        <v>0</v>
      </c>
      <c r="AM269" s="3">
        <f t="shared" si="230"/>
        <v>0</v>
      </c>
      <c r="AN269" s="3">
        <f t="shared" si="230"/>
        <v>0</v>
      </c>
      <c r="AO269" s="3">
        <f t="shared" si="230"/>
        <v>0</v>
      </c>
      <c r="AP269" s="3">
        <f t="shared" si="230"/>
        <v>0</v>
      </c>
      <c r="AQ269" s="3">
        <f t="shared" si="230"/>
        <v>0</v>
      </c>
      <c r="AR269" s="3">
        <f t="shared" si="230"/>
        <v>0</v>
      </c>
      <c r="AS269" s="3">
        <f t="shared" si="230"/>
        <v>0</v>
      </c>
      <c r="AT269" s="3">
        <f t="shared" si="230"/>
        <v>0</v>
      </c>
      <c r="AU269" s="3">
        <f t="shared" si="230"/>
        <v>0</v>
      </c>
      <c r="AV269" s="3">
        <f t="shared" si="230"/>
        <v>0</v>
      </c>
      <c r="AW269" s="3">
        <f t="shared" si="230"/>
        <v>0</v>
      </c>
      <c r="AX269" s="3">
        <f t="shared" si="230"/>
        <v>1.6329931618554521</v>
      </c>
      <c r="AY269" s="3">
        <f t="shared" si="230"/>
        <v>0</v>
      </c>
      <c r="AZ269" s="3">
        <f t="shared" si="230"/>
        <v>1.2110601416389968</v>
      </c>
      <c r="BA269" s="3">
        <f t="shared" si="230"/>
        <v>3.6742346141747673</v>
      </c>
      <c r="BB269" s="3">
        <f>STDEVA(BB241:BB246)</f>
        <v>11.29601699715435</v>
      </c>
      <c r="BC269" s="8">
        <v>0</v>
      </c>
    </row>
    <row r="271" spans="1:56" x14ac:dyDescent="0.25">
      <c r="B271" s="8" t="s">
        <v>78</v>
      </c>
      <c r="C271" s="8">
        <f>C268+C269+C269</f>
        <v>8.8484692283495345</v>
      </c>
      <c r="D271" s="3">
        <f t="shared" ref="D271:BC271" si="231">D268+D269+D269</f>
        <v>83.576864920526845</v>
      </c>
      <c r="E271" s="3">
        <f t="shared" si="231"/>
        <v>124.88084929037873</v>
      </c>
      <c r="F271" s="3">
        <f t="shared" si="231"/>
        <v>123.91864301268488</v>
      </c>
      <c r="G271" s="3">
        <f t="shared" si="231"/>
        <v>184.92965590724137</v>
      </c>
      <c r="H271" s="3">
        <f t="shared" si="231"/>
        <v>227.19230138713738</v>
      </c>
      <c r="I271" s="3">
        <f t="shared" si="231"/>
        <v>298.89689628482745</v>
      </c>
      <c r="J271" s="3">
        <f t="shared" si="231"/>
        <v>213.37686923176747</v>
      </c>
      <c r="K271" s="3">
        <f t="shared" si="231"/>
        <v>153.40717786123793</v>
      </c>
      <c r="L271" s="3">
        <f t="shared" si="231"/>
        <v>114.05368845264576</v>
      </c>
      <c r="M271" s="3">
        <f t="shared" si="231"/>
        <v>152.40717786123793</v>
      </c>
      <c r="N271" s="3">
        <f t="shared" si="231"/>
        <v>149.46413893056456</v>
      </c>
      <c r="O271" s="3">
        <f t="shared" si="231"/>
        <v>125.8513296513274</v>
      </c>
      <c r="P271" s="3">
        <f t="shared" si="231"/>
        <v>154.37260832996589</v>
      </c>
      <c r="Q271" s="3">
        <f t="shared" si="231"/>
        <v>175.03096554026061</v>
      </c>
      <c r="R271" s="3">
        <f t="shared" si="231"/>
        <v>85.63906949407064</v>
      </c>
      <c r="S271" s="3">
        <f t="shared" si="231"/>
        <v>66.905644041490632</v>
      </c>
      <c r="T271" s="3">
        <f t="shared" si="231"/>
        <v>31.486555641382783</v>
      </c>
      <c r="U271" s="3">
        <f t="shared" si="231"/>
        <v>32.469148820505239</v>
      </c>
      <c r="V271" s="3">
        <f t="shared" si="231"/>
        <v>18.805404418657396</v>
      </c>
      <c r="W271" s="3">
        <f t="shared" si="231"/>
        <v>8.8484692283495345</v>
      </c>
      <c r="X271" s="3">
        <f t="shared" si="231"/>
        <v>6.3428474444667158</v>
      </c>
      <c r="Y271" s="3">
        <f t="shared" si="231"/>
        <v>2.1733200530681511</v>
      </c>
      <c r="Z271" s="3">
        <f t="shared" si="231"/>
        <v>3.0887869499446601</v>
      </c>
      <c r="AA271" s="3">
        <f t="shared" si="231"/>
        <v>1.9663264951887853</v>
      </c>
      <c r="AB271" s="3">
        <f t="shared" si="231"/>
        <v>0</v>
      </c>
      <c r="AC271" s="3">
        <f t="shared" si="231"/>
        <v>0.98316324759439266</v>
      </c>
      <c r="AD271" s="3">
        <f t="shared" si="231"/>
        <v>2.1733200530681511</v>
      </c>
      <c r="AE271" s="3">
        <f t="shared" si="231"/>
        <v>0</v>
      </c>
      <c r="AF271" s="3">
        <f t="shared" si="231"/>
        <v>0.98316324759439266</v>
      </c>
      <c r="AG271" s="3">
        <f t="shared" si="231"/>
        <v>0</v>
      </c>
      <c r="AH271" s="3">
        <f t="shared" si="231"/>
        <v>0.98316324759439266</v>
      </c>
      <c r="AI271" s="3">
        <f t="shared" si="231"/>
        <v>0</v>
      </c>
      <c r="AJ271" s="3">
        <f t="shared" si="231"/>
        <v>0.98316324759439266</v>
      </c>
      <c r="AK271" s="3">
        <f t="shared" si="231"/>
        <v>0</v>
      </c>
      <c r="AL271" s="3">
        <f t="shared" si="231"/>
        <v>0</v>
      </c>
      <c r="AM271" s="3">
        <f t="shared" si="231"/>
        <v>0</v>
      </c>
      <c r="AN271" s="3">
        <f t="shared" si="231"/>
        <v>0</v>
      </c>
      <c r="AO271" s="3">
        <f t="shared" si="231"/>
        <v>0</v>
      </c>
      <c r="AP271" s="3">
        <f t="shared" si="231"/>
        <v>0</v>
      </c>
      <c r="AQ271" s="3">
        <f t="shared" si="231"/>
        <v>0</v>
      </c>
      <c r="AR271" s="3">
        <f t="shared" si="231"/>
        <v>0</v>
      </c>
      <c r="AS271" s="3">
        <f t="shared" si="231"/>
        <v>0</v>
      </c>
      <c r="AT271" s="3">
        <f t="shared" si="231"/>
        <v>0</v>
      </c>
      <c r="AU271" s="3">
        <f t="shared" si="231"/>
        <v>0</v>
      </c>
      <c r="AV271" s="3">
        <f t="shared" si="231"/>
        <v>0</v>
      </c>
      <c r="AW271" s="3">
        <f t="shared" si="231"/>
        <v>0</v>
      </c>
      <c r="AX271" s="3">
        <f t="shared" si="231"/>
        <v>3.9326529903775707</v>
      </c>
      <c r="AY271" s="3">
        <f t="shared" si="231"/>
        <v>0</v>
      </c>
      <c r="AZ271" s="3">
        <f t="shared" si="231"/>
        <v>3.0887869499446601</v>
      </c>
      <c r="BA271" s="3">
        <f t="shared" si="231"/>
        <v>8.8484692283495345</v>
      </c>
      <c r="BB271" s="3">
        <f t="shared" si="231"/>
        <v>27.5920339943087</v>
      </c>
      <c r="BC271" s="3">
        <f t="shared" si="231"/>
        <v>0</v>
      </c>
    </row>
    <row r="272" spans="1:56" x14ac:dyDescent="0.25">
      <c r="B272" s="8" t="s">
        <v>79</v>
      </c>
      <c r="C272" s="8">
        <f>C268+C269</f>
        <v>5.1742346141747673</v>
      </c>
      <c r="D272" s="3">
        <f t="shared" ref="D272:BC272" si="232">D268+D269</f>
        <v>48.955099126930094</v>
      </c>
      <c r="E272" s="3">
        <f t="shared" si="232"/>
        <v>73.190424645189367</v>
      </c>
      <c r="F272" s="3">
        <f t="shared" si="232"/>
        <v>72.792654839675777</v>
      </c>
      <c r="G272" s="3">
        <f t="shared" si="232"/>
        <v>108.71482795362068</v>
      </c>
      <c r="H272" s="3">
        <f t="shared" si="232"/>
        <v>133.34615069356869</v>
      </c>
      <c r="I272" s="3">
        <f t="shared" si="232"/>
        <v>175.03178147574704</v>
      </c>
      <c r="J272" s="3">
        <f t="shared" si="232"/>
        <v>125.18843461588374</v>
      </c>
      <c r="K272" s="3">
        <f t="shared" si="232"/>
        <v>90.286922263952292</v>
      </c>
      <c r="L272" s="3">
        <f t="shared" si="232"/>
        <v>66.776844226322879</v>
      </c>
      <c r="M272" s="3">
        <f t="shared" si="232"/>
        <v>89.286922263952292</v>
      </c>
      <c r="N272" s="3">
        <f t="shared" si="232"/>
        <v>87.815402798615608</v>
      </c>
      <c r="O272" s="3">
        <f t="shared" si="232"/>
        <v>73.675664825663702</v>
      </c>
      <c r="P272" s="3">
        <f t="shared" si="232"/>
        <v>90.602970831649614</v>
      </c>
      <c r="Q272" s="3">
        <f t="shared" si="232"/>
        <v>102.7654827701303</v>
      </c>
      <c r="R272" s="3">
        <f t="shared" si="232"/>
        <v>50.81953474703532</v>
      </c>
      <c r="S272" s="3">
        <f t="shared" si="232"/>
        <v>39.786155354078652</v>
      </c>
      <c r="T272" s="3">
        <f t="shared" si="232"/>
        <v>18.576611154024725</v>
      </c>
      <c r="U272" s="3">
        <f t="shared" si="232"/>
        <v>19.151241076919284</v>
      </c>
      <c r="V272" s="3">
        <f t="shared" si="232"/>
        <v>11.402702209328698</v>
      </c>
      <c r="W272" s="3">
        <f t="shared" si="232"/>
        <v>5.1742346141747673</v>
      </c>
      <c r="X272" s="3">
        <f t="shared" si="232"/>
        <v>4.0047570555666914</v>
      </c>
      <c r="Y272" s="3">
        <f t="shared" si="232"/>
        <v>1.3366600265340756</v>
      </c>
      <c r="Z272" s="3">
        <f t="shared" si="232"/>
        <v>1.8777268083056633</v>
      </c>
      <c r="AA272" s="3">
        <f t="shared" si="232"/>
        <v>1.1498299142610593</v>
      </c>
      <c r="AB272" s="3">
        <f t="shared" si="232"/>
        <v>0</v>
      </c>
      <c r="AC272" s="3">
        <f t="shared" si="232"/>
        <v>0.57491495713052965</v>
      </c>
      <c r="AD272" s="3">
        <f t="shared" si="232"/>
        <v>1.3366600265340756</v>
      </c>
      <c r="AE272" s="3">
        <f t="shared" si="232"/>
        <v>0</v>
      </c>
      <c r="AF272" s="3">
        <f t="shared" si="232"/>
        <v>0.57491495713052965</v>
      </c>
      <c r="AG272" s="3">
        <f t="shared" si="232"/>
        <v>0</v>
      </c>
      <c r="AH272" s="3">
        <f t="shared" si="232"/>
        <v>0.57491495713052965</v>
      </c>
      <c r="AI272" s="3">
        <f t="shared" si="232"/>
        <v>0</v>
      </c>
      <c r="AJ272" s="3">
        <f t="shared" si="232"/>
        <v>0.57491495713052965</v>
      </c>
      <c r="AK272" s="3">
        <f t="shared" si="232"/>
        <v>0</v>
      </c>
      <c r="AL272" s="3">
        <f t="shared" si="232"/>
        <v>0</v>
      </c>
      <c r="AM272" s="3">
        <f t="shared" si="232"/>
        <v>0</v>
      </c>
      <c r="AN272" s="3">
        <f t="shared" si="232"/>
        <v>0</v>
      </c>
      <c r="AO272" s="3">
        <f t="shared" si="232"/>
        <v>0</v>
      </c>
      <c r="AP272" s="3">
        <f t="shared" si="232"/>
        <v>0</v>
      </c>
      <c r="AQ272" s="3">
        <f t="shared" si="232"/>
        <v>0</v>
      </c>
      <c r="AR272" s="3">
        <f t="shared" si="232"/>
        <v>0</v>
      </c>
      <c r="AS272" s="3">
        <f t="shared" si="232"/>
        <v>0</v>
      </c>
      <c r="AT272" s="3">
        <f t="shared" si="232"/>
        <v>0</v>
      </c>
      <c r="AU272" s="3">
        <f t="shared" si="232"/>
        <v>0</v>
      </c>
      <c r="AV272" s="3">
        <f t="shared" si="232"/>
        <v>0</v>
      </c>
      <c r="AW272" s="3">
        <f t="shared" si="232"/>
        <v>0</v>
      </c>
      <c r="AX272" s="3">
        <f t="shared" si="232"/>
        <v>2.2996598285221186</v>
      </c>
      <c r="AY272" s="3">
        <f t="shared" si="232"/>
        <v>0</v>
      </c>
      <c r="AZ272" s="3">
        <f t="shared" si="232"/>
        <v>1.8777268083056633</v>
      </c>
      <c r="BA272" s="3">
        <f t="shared" si="232"/>
        <v>5.1742346141747673</v>
      </c>
      <c r="BB272" s="3">
        <f t="shared" si="232"/>
        <v>16.29601699715435</v>
      </c>
      <c r="BC272" s="3">
        <f t="shared" si="232"/>
        <v>0</v>
      </c>
    </row>
    <row r="273" spans="1:296" x14ac:dyDescent="0.25">
      <c r="B273" s="8" t="s">
        <v>80</v>
      </c>
      <c r="C273" s="8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121">
        <f t="shared" ref="AB273:BC273" si="233">AB268-AB269</f>
        <v>0</v>
      </c>
      <c r="AC273" s="3">
        <v>0</v>
      </c>
      <c r="AD273" s="3">
        <v>0</v>
      </c>
      <c r="AE273" s="3">
        <f t="shared" si="233"/>
        <v>0</v>
      </c>
      <c r="AF273" s="3">
        <v>0</v>
      </c>
      <c r="AG273" s="3">
        <f t="shared" si="233"/>
        <v>0</v>
      </c>
      <c r="AH273" s="3">
        <v>0</v>
      </c>
      <c r="AI273" s="3">
        <f t="shared" si="233"/>
        <v>0</v>
      </c>
      <c r="AJ273" s="3">
        <v>0</v>
      </c>
      <c r="AK273" s="3">
        <f t="shared" si="233"/>
        <v>0</v>
      </c>
      <c r="AL273" s="3">
        <f t="shared" si="233"/>
        <v>0</v>
      </c>
      <c r="AM273" s="3">
        <f t="shared" si="233"/>
        <v>0</v>
      </c>
      <c r="AN273" s="3">
        <f t="shared" si="233"/>
        <v>0</v>
      </c>
      <c r="AO273" s="3">
        <f t="shared" si="233"/>
        <v>0</v>
      </c>
      <c r="AP273" s="3">
        <f t="shared" si="233"/>
        <v>0</v>
      </c>
      <c r="AQ273" s="3">
        <f t="shared" si="233"/>
        <v>0</v>
      </c>
      <c r="AR273" s="3">
        <f t="shared" si="233"/>
        <v>0</v>
      </c>
      <c r="AS273" s="3">
        <f t="shared" si="233"/>
        <v>0</v>
      </c>
      <c r="AT273" s="3">
        <f t="shared" si="233"/>
        <v>0</v>
      </c>
      <c r="AU273" s="3">
        <f t="shared" si="233"/>
        <v>0</v>
      </c>
      <c r="AV273" s="3">
        <f t="shared" si="233"/>
        <v>0</v>
      </c>
      <c r="AW273" s="3">
        <f t="shared" si="233"/>
        <v>0</v>
      </c>
      <c r="AX273" s="3">
        <f t="shared" si="233"/>
        <v>-0.96632649518878544</v>
      </c>
      <c r="AY273" s="3">
        <f t="shared" si="233"/>
        <v>0</v>
      </c>
      <c r="AZ273" s="3">
        <v>0</v>
      </c>
      <c r="BA273" s="3">
        <f t="shared" si="233"/>
        <v>-2.1742346141747673</v>
      </c>
      <c r="BB273" s="3">
        <v>0</v>
      </c>
      <c r="BC273" s="3">
        <f t="shared" si="233"/>
        <v>0</v>
      </c>
    </row>
    <row r="274" spans="1:296" x14ac:dyDescent="0.25">
      <c r="B274" s="8" t="s">
        <v>81</v>
      </c>
      <c r="C274" s="8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f t="shared" ref="AB274:BC274" si="234">AB268-AB269-AB269</f>
        <v>0</v>
      </c>
      <c r="AC274" s="3">
        <v>0</v>
      </c>
      <c r="AD274" s="3">
        <v>0</v>
      </c>
      <c r="AE274" s="3">
        <f t="shared" si="234"/>
        <v>0</v>
      </c>
      <c r="AF274" s="3">
        <v>0</v>
      </c>
      <c r="AG274" s="3">
        <f t="shared" si="234"/>
        <v>0</v>
      </c>
      <c r="AH274" s="3">
        <v>0</v>
      </c>
      <c r="AI274" s="3">
        <f t="shared" si="234"/>
        <v>0</v>
      </c>
      <c r="AJ274" s="3">
        <v>0</v>
      </c>
      <c r="AK274" s="3">
        <f t="shared" si="234"/>
        <v>0</v>
      </c>
      <c r="AL274" s="3">
        <f t="shared" si="234"/>
        <v>0</v>
      </c>
      <c r="AM274" s="3">
        <f t="shared" si="234"/>
        <v>0</v>
      </c>
      <c r="AN274" s="3">
        <f t="shared" si="234"/>
        <v>0</v>
      </c>
      <c r="AO274" s="3">
        <f t="shared" si="234"/>
        <v>0</v>
      </c>
      <c r="AP274" s="3">
        <f t="shared" si="234"/>
        <v>0</v>
      </c>
      <c r="AQ274" s="3">
        <f t="shared" si="234"/>
        <v>0</v>
      </c>
      <c r="AR274" s="3">
        <f t="shared" si="234"/>
        <v>0</v>
      </c>
      <c r="AS274" s="3">
        <f t="shared" si="234"/>
        <v>0</v>
      </c>
      <c r="AT274" s="3">
        <f t="shared" si="234"/>
        <v>0</v>
      </c>
      <c r="AU274" s="3">
        <f t="shared" si="234"/>
        <v>0</v>
      </c>
      <c r="AV274" s="3">
        <f t="shared" si="234"/>
        <v>0</v>
      </c>
      <c r="AW274" s="3">
        <f t="shared" si="234"/>
        <v>0</v>
      </c>
      <c r="AX274" s="3">
        <f t="shared" si="234"/>
        <v>-2.5993196570442376</v>
      </c>
      <c r="AY274" s="3">
        <f t="shared" si="234"/>
        <v>0</v>
      </c>
      <c r="AZ274" s="3">
        <v>0</v>
      </c>
      <c r="BA274" s="3">
        <f t="shared" si="234"/>
        <v>-5.8484692283495345</v>
      </c>
      <c r="BB274" s="3">
        <v>0</v>
      </c>
      <c r="BC274" s="3">
        <f t="shared" si="234"/>
        <v>0</v>
      </c>
    </row>
    <row r="275" spans="1:296" x14ac:dyDescent="0.25">
      <c r="A275" s="43" t="s">
        <v>96</v>
      </c>
      <c r="B275" s="44" t="s">
        <v>120</v>
      </c>
      <c r="C275" s="8">
        <f t="shared" ref="C275:AH275" si="235">B24</f>
        <v>1</v>
      </c>
      <c r="D275" s="3">
        <f t="shared" si="235"/>
        <v>2</v>
      </c>
      <c r="E275" s="3">
        <f t="shared" si="235"/>
        <v>3</v>
      </c>
      <c r="F275" s="3">
        <f t="shared" si="235"/>
        <v>1</v>
      </c>
      <c r="G275" s="3">
        <f t="shared" si="235"/>
        <v>1</v>
      </c>
      <c r="H275" s="3">
        <f t="shared" si="235"/>
        <v>1</v>
      </c>
      <c r="I275" s="3">
        <f t="shared" si="235"/>
        <v>1</v>
      </c>
      <c r="J275" s="3">
        <f t="shared" si="235"/>
        <v>1</v>
      </c>
      <c r="K275" s="3">
        <f t="shared" si="235"/>
        <v>0</v>
      </c>
      <c r="L275" s="3">
        <f t="shared" si="235"/>
        <v>1</v>
      </c>
      <c r="M275" s="3">
        <f t="shared" si="235"/>
        <v>0</v>
      </c>
      <c r="N275" s="3">
        <f t="shared" si="235"/>
        <v>1</v>
      </c>
      <c r="O275" s="3">
        <f t="shared" si="235"/>
        <v>0</v>
      </c>
      <c r="P275" s="3">
        <f t="shared" si="235"/>
        <v>6</v>
      </c>
      <c r="Q275" s="3">
        <f t="shared" si="235"/>
        <v>2</v>
      </c>
      <c r="R275" s="3">
        <f t="shared" si="235"/>
        <v>0</v>
      </c>
      <c r="S275" s="3">
        <f t="shared" si="235"/>
        <v>0</v>
      </c>
      <c r="T275" s="3">
        <f t="shared" si="235"/>
        <v>0</v>
      </c>
      <c r="U275" s="3">
        <f t="shared" si="235"/>
        <v>1</v>
      </c>
      <c r="V275" s="3">
        <f t="shared" si="235"/>
        <v>1</v>
      </c>
      <c r="W275" s="3">
        <f t="shared" si="235"/>
        <v>0</v>
      </c>
      <c r="X275" s="3">
        <f t="shared" si="235"/>
        <v>0</v>
      </c>
      <c r="Y275" s="3">
        <f t="shared" si="235"/>
        <v>0</v>
      </c>
      <c r="Z275" s="3">
        <f t="shared" si="235"/>
        <v>0</v>
      </c>
      <c r="AA275" s="3">
        <f t="shared" si="235"/>
        <v>0</v>
      </c>
      <c r="AB275" s="3">
        <f t="shared" si="235"/>
        <v>0</v>
      </c>
      <c r="AC275" s="3">
        <f t="shared" si="235"/>
        <v>0</v>
      </c>
      <c r="AD275" s="3">
        <f t="shared" si="235"/>
        <v>0</v>
      </c>
      <c r="AE275" s="3">
        <f t="shared" si="235"/>
        <v>0</v>
      </c>
      <c r="AF275" s="3">
        <f t="shared" si="235"/>
        <v>0</v>
      </c>
      <c r="AG275" s="3">
        <f t="shared" si="235"/>
        <v>0</v>
      </c>
      <c r="AH275" s="3">
        <f t="shared" si="235"/>
        <v>0</v>
      </c>
      <c r="AI275" s="3">
        <f t="shared" ref="AI275:BB275" si="236">AH24</f>
        <v>0</v>
      </c>
      <c r="AJ275" s="3">
        <f t="shared" si="236"/>
        <v>0</v>
      </c>
      <c r="AK275" s="3">
        <f t="shared" si="236"/>
        <v>0</v>
      </c>
      <c r="AL275" s="3">
        <f t="shared" si="236"/>
        <v>0</v>
      </c>
      <c r="AM275" s="3">
        <f t="shared" si="236"/>
        <v>0</v>
      </c>
      <c r="AN275" s="3">
        <f t="shared" si="236"/>
        <v>1</v>
      </c>
      <c r="AO275" s="3">
        <f t="shared" si="236"/>
        <v>0</v>
      </c>
      <c r="AP275" s="3">
        <f t="shared" si="236"/>
        <v>1</v>
      </c>
      <c r="AQ275" s="3">
        <f t="shared" si="236"/>
        <v>0</v>
      </c>
      <c r="AR275" s="3">
        <f t="shared" si="236"/>
        <v>0</v>
      </c>
      <c r="AS275" s="3">
        <f t="shared" si="236"/>
        <v>0</v>
      </c>
      <c r="AT275" s="3">
        <f t="shared" si="236"/>
        <v>0</v>
      </c>
      <c r="AU275" s="3">
        <f t="shared" si="236"/>
        <v>0</v>
      </c>
      <c r="AV275" s="3">
        <f t="shared" si="236"/>
        <v>0</v>
      </c>
      <c r="AW275" s="3">
        <f t="shared" si="236"/>
        <v>0</v>
      </c>
      <c r="AX275" s="3">
        <f t="shared" si="236"/>
        <v>0</v>
      </c>
      <c r="AY275" s="3">
        <f t="shared" si="236"/>
        <v>0</v>
      </c>
      <c r="AZ275" s="3">
        <f t="shared" si="236"/>
        <v>0</v>
      </c>
      <c r="BA275" s="3">
        <f t="shared" si="236"/>
        <v>2</v>
      </c>
      <c r="BB275" s="3">
        <f t="shared" si="236"/>
        <v>0</v>
      </c>
      <c r="BC275" s="3"/>
      <c r="BD275" s="8">
        <f>SUM(C275:BC275)</f>
        <v>27</v>
      </c>
    </row>
    <row r="277" spans="1:296" s="114" customFormat="1" x14ac:dyDescent="0.25">
      <c r="B277" s="54" t="s">
        <v>143</v>
      </c>
      <c r="C277" s="8" t="s">
        <v>7</v>
      </c>
      <c r="D277" s="114" t="s">
        <v>8</v>
      </c>
      <c r="E277" s="114" t="s">
        <v>9</v>
      </c>
      <c r="F277" s="114" t="s">
        <v>10</v>
      </c>
      <c r="G277" s="114" t="s">
        <v>11</v>
      </c>
      <c r="H277" s="114" t="s">
        <v>12</v>
      </c>
      <c r="I277" s="114" t="s">
        <v>13</v>
      </c>
      <c r="J277" s="114" t="s">
        <v>14</v>
      </c>
      <c r="K277" s="114" t="s">
        <v>15</v>
      </c>
      <c r="L277" s="114" t="s">
        <v>16</v>
      </c>
      <c r="M277" s="114" t="s">
        <v>17</v>
      </c>
      <c r="N277" s="114" t="s">
        <v>18</v>
      </c>
      <c r="O277" s="114" t="s">
        <v>19</v>
      </c>
      <c r="P277" s="114" t="s">
        <v>20</v>
      </c>
      <c r="Q277" s="114" t="s">
        <v>21</v>
      </c>
      <c r="R277" s="114" t="s">
        <v>22</v>
      </c>
      <c r="S277" s="114" t="s">
        <v>23</v>
      </c>
      <c r="T277" s="114" t="s">
        <v>24</v>
      </c>
      <c r="U277" s="114" t="s">
        <v>25</v>
      </c>
      <c r="V277" s="114" t="s">
        <v>26</v>
      </c>
      <c r="W277" s="114" t="s">
        <v>27</v>
      </c>
      <c r="X277" s="114" t="s">
        <v>28</v>
      </c>
      <c r="Y277" s="114" t="s">
        <v>29</v>
      </c>
      <c r="Z277" s="114" t="s">
        <v>30</v>
      </c>
      <c r="AA277" s="114" t="s">
        <v>31</v>
      </c>
      <c r="AB277" s="114" t="s">
        <v>32</v>
      </c>
      <c r="AC277" s="114">
        <v>27</v>
      </c>
      <c r="AD277" s="114" t="s">
        <v>33</v>
      </c>
      <c r="AE277" s="114" t="s">
        <v>34</v>
      </c>
      <c r="AF277" s="114">
        <v>30</v>
      </c>
      <c r="AG277" s="114">
        <v>31</v>
      </c>
      <c r="AH277" s="114" t="s">
        <v>35</v>
      </c>
      <c r="AI277" s="114" t="s">
        <v>36</v>
      </c>
      <c r="AJ277" s="114" t="s">
        <v>37</v>
      </c>
      <c r="AK277" s="114">
        <v>35</v>
      </c>
      <c r="AL277" s="114" t="s">
        <v>38</v>
      </c>
      <c r="AM277" s="114" t="s">
        <v>39</v>
      </c>
      <c r="AN277" s="114">
        <v>38</v>
      </c>
      <c r="AO277" s="114">
        <v>39</v>
      </c>
      <c r="AP277" s="114" t="s">
        <v>40</v>
      </c>
      <c r="AQ277" s="114" t="s">
        <v>41</v>
      </c>
      <c r="AR277" s="114" t="s">
        <v>42</v>
      </c>
      <c r="AS277" s="114" t="s">
        <v>43</v>
      </c>
      <c r="AT277" s="114" t="s">
        <v>44</v>
      </c>
      <c r="AU277" s="114">
        <v>45</v>
      </c>
      <c r="AV277" s="114" t="s">
        <v>45</v>
      </c>
      <c r="AW277" s="114" t="s">
        <v>46</v>
      </c>
      <c r="AX277" s="114" t="s">
        <v>47</v>
      </c>
      <c r="AY277" s="114" t="s">
        <v>48</v>
      </c>
      <c r="AZ277" s="114" t="s">
        <v>49</v>
      </c>
      <c r="BA277" s="114" t="s">
        <v>50</v>
      </c>
      <c r="BB277" s="114">
        <v>52</v>
      </c>
      <c r="BC277" s="114">
        <v>53</v>
      </c>
      <c r="JV277" s="8"/>
      <c r="KJ277" s="8"/>
    </row>
    <row r="278" spans="1:296" x14ac:dyDescent="0.25">
      <c r="B278" s="8" t="s">
        <v>92</v>
      </c>
      <c r="C278" s="8">
        <f>QUARTILE(C242:C246,1)</f>
        <v>0</v>
      </c>
      <c r="D278" s="3">
        <f t="shared" ref="D278:BC278" si="237">QUARTILE(D242:D246,1)</f>
        <v>0</v>
      </c>
      <c r="E278" s="3">
        <f t="shared" si="237"/>
        <v>0</v>
      </c>
      <c r="F278" s="3">
        <f t="shared" si="237"/>
        <v>0</v>
      </c>
      <c r="G278" s="3">
        <f t="shared" si="237"/>
        <v>0</v>
      </c>
      <c r="H278" s="3">
        <f t="shared" si="237"/>
        <v>0</v>
      </c>
      <c r="I278" s="3">
        <f t="shared" si="237"/>
        <v>0</v>
      </c>
      <c r="J278" s="3">
        <f t="shared" si="237"/>
        <v>0</v>
      </c>
      <c r="K278" s="3">
        <f t="shared" si="237"/>
        <v>2</v>
      </c>
      <c r="L278" s="3">
        <f t="shared" si="237"/>
        <v>0</v>
      </c>
      <c r="M278" s="3">
        <f t="shared" si="237"/>
        <v>0</v>
      </c>
      <c r="N278" s="3">
        <f t="shared" si="237"/>
        <v>1</v>
      </c>
      <c r="O278" s="3">
        <f t="shared" si="237"/>
        <v>0</v>
      </c>
      <c r="P278" s="3">
        <f t="shared" si="237"/>
        <v>1</v>
      </c>
      <c r="Q278" s="3">
        <f t="shared" si="237"/>
        <v>1</v>
      </c>
      <c r="R278" s="3">
        <f t="shared" si="237"/>
        <v>0</v>
      </c>
      <c r="S278" s="3">
        <f t="shared" si="237"/>
        <v>1</v>
      </c>
      <c r="T278" s="3">
        <f t="shared" si="237"/>
        <v>0</v>
      </c>
      <c r="U278" s="3">
        <f t="shared" si="237"/>
        <v>0</v>
      </c>
      <c r="V278" s="3">
        <f t="shared" si="237"/>
        <v>1</v>
      </c>
      <c r="W278" s="3">
        <f t="shared" si="237"/>
        <v>0</v>
      </c>
      <c r="X278" s="3">
        <f t="shared" si="237"/>
        <v>0</v>
      </c>
      <c r="Y278" s="3">
        <f t="shared" si="237"/>
        <v>0</v>
      </c>
      <c r="Z278" s="3">
        <f t="shared" si="237"/>
        <v>0</v>
      </c>
      <c r="AA278" s="3">
        <f t="shared" si="237"/>
        <v>0</v>
      </c>
      <c r="AB278" s="3">
        <f t="shared" si="237"/>
        <v>0</v>
      </c>
      <c r="AC278" s="3">
        <f t="shared" si="237"/>
        <v>0</v>
      </c>
      <c r="AD278" s="3">
        <f t="shared" si="237"/>
        <v>0</v>
      </c>
      <c r="AE278" s="3">
        <f t="shared" si="237"/>
        <v>0</v>
      </c>
      <c r="AF278" s="3">
        <f t="shared" si="237"/>
        <v>0</v>
      </c>
      <c r="AG278" s="3">
        <f t="shared" si="237"/>
        <v>0</v>
      </c>
      <c r="AH278" s="3">
        <f t="shared" si="237"/>
        <v>0</v>
      </c>
      <c r="AI278" s="3">
        <f t="shared" si="237"/>
        <v>0</v>
      </c>
      <c r="AJ278" s="3">
        <f t="shared" si="237"/>
        <v>0</v>
      </c>
      <c r="AK278" s="3">
        <f t="shared" si="237"/>
        <v>0</v>
      </c>
      <c r="AL278" s="3">
        <f t="shared" si="237"/>
        <v>0</v>
      </c>
      <c r="AM278" s="3">
        <f t="shared" si="237"/>
        <v>0</v>
      </c>
      <c r="AN278" s="3">
        <f t="shared" si="237"/>
        <v>0</v>
      </c>
      <c r="AO278" s="3">
        <f t="shared" si="237"/>
        <v>0</v>
      </c>
      <c r="AP278" s="3">
        <f t="shared" si="237"/>
        <v>0</v>
      </c>
      <c r="AQ278" s="3">
        <f t="shared" si="237"/>
        <v>0</v>
      </c>
      <c r="AR278" s="3">
        <f t="shared" si="237"/>
        <v>0</v>
      </c>
      <c r="AS278" s="3">
        <f t="shared" si="237"/>
        <v>0</v>
      </c>
      <c r="AT278" s="3">
        <f t="shared" si="237"/>
        <v>0</v>
      </c>
      <c r="AU278" s="3">
        <f t="shared" si="237"/>
        <v>0</v>
      </c>
      <c r="AV278" s="3">
        <f t="shared" si="237"/>
        <v>0</v>
      </c>
      <c r="AW278" s="3">
        <f t="shared" si="237"/>
        <v>0</v>
      </c>
      <c r="AX278" s="3">
        <f t="shared" si="237"/>
        <v>0</v>
      </c>
      <c r="AY278" s="3">
        <f t="shared" si="237"/>
        <v>0</v>
      </c>
      <c r="AZ278" s="3">
        <f t="shared" si="237"/>
        <v>0</v>
      </c>
      <c r="BA278" s="3">
        <f t="shared" si="237"/>
        <v>0</v>
      </c>
      <c r="BB278" s="3">
        <f t="shared" si="237"/>
        <v>0</v>
      </c>
      <c r="BC278" s="3">
        <f t="shared" si="237"/>
        <v>0</v>
      </c>
    </row>
    <row r="279" spans="1:296" x14ac:dyDescent="0.25">
      <c r="B279" s="8" t="s">
        <v>93</v>
      </c>
      <c r="C279" s="8">
        <f t="shared" ref="C279:AH279" si="238">QUARTILE(C242:C246,2)</f>
        <v>0</v>
      </c>
      <c r="D279" s="3">
        <f t="shared" si="238"/>
        <v>0</v>
      </c>
      <c r="E279" s="3">
        <f t="shared" si="238"/>
        <v>0</v>
      </c>
      <c r="F279" s="3">
        <f t="shared" si="238"/>
        <v>1</v>
      </c>
      <c r="G279" s="3">
        <f t="shared" si="238"/>
        <v>1</v>
      </c>
      <c r="H279" s="3">
        <f t="shared" si="238"/>
        <v>0</v>
      </c>
      <c r="I279" s="3">
        <f t="shared" si="238"/>
        <v>0</v>
      </c>
      <c r="J279" s="3">
        <f t="shared" si="238"/>
        <v>1</v>
      </c>
      <c r="K279" s="3">
        <f t="shared" si="238"/>
        <v>2</v>
      </c>
      <c r="L279" s="3">
        <f t="shared" si="238"/>
        <v>0</v>
      </c>
      <c r="M279" s="3">
        <f t="shared" si="238"/>
        <v>0</v>
      </c>
      <c r="N279" s="3">
        <f t="shared" si="238"/>
        <v>1</v>
      </c>
      <c r="O279" s="3">
        <f t="shared" si="238"/>
        <v>0</v>
      </c>
      <c r="P279" s="3">
        <f t="shared" si="238"/>
        <v>1</v>
      </c>
      <c r="Q279" s="3">
        <f t="shared" si="238"/>
        <v>2</v>
      </c>
      <c r="R279" s="3">
        <f t="shared" si="238"/>
        <v>3</v>
      </c>
      <c r="S279" s="3">
        <f t="shared" si="238"/>
        <v>2</v>
      </c>
      <c r="T279" s="3">
        <f t="shared" si="238"/>
        <v>0</v>
      </c>
      <c r="U279" s="3">
        <f t="shared" si="238"/>
        <v>1</v>
      </c>
      <c r="V279" s="3">
        <f t="shared" si="238"/>
        <v>2</v>
      </c>
      <c r="W279" s="3">
        <f t="shared" si="238"/>
        <v>0</v>
      </c>
      <c r="X279" s="3">
        <f t="shared" si="238"/>
        <v>0</v>
      </c>
      <c r="Y279" s="3">
        <f t="shared" si="238"/>
        <v>0</v>
      </c>
      <c r="Z279" s="3">
        <f t="shared" si="238"/>
        <v>0</v>
      </c>
      <c r="AA279" s="3">
        <f t="shared" si="238"/>
        <v>0</v>
      </c>
      <c r="AB279" s="3">
        <f t="shared" si="238"/>
        <v>0</v>
      </c>
      <c r="AC279" s="3">
        <f t="shared" si="238"/>
        <v>0</v>
      </c>
      <c r="AD279" s="3">
        <f t="shared" si="238"/>
        <v>0</v>
      </c>
      <c r="AE279" s="3">
        <f t="shared" si="238"/>
        <v>0</v>
      </c>
      <c r="AF279" s="3">
        <f t="shared" si="238"/>
        <v>0</v>
      </c>
      <c r="AG279" s="3">
        <f t="shared" si="238"/>
        <v>0</v>
      </c>
      <c r="AH279" s="3">
        <f t="shared" si="238"/>
        <v>0</v>
      </c>
      <c r="AI279" s="3">
        <f t="shared" ref="AI279:BC279" si="239">QUARTILE(AI242:AI246,2)</f>
        <v>0</v>
      </c>
      <c r="AJ279" s="3">
        <f t="shared" si="239"/>
        <v>0</v>
      </c>
      <c r="AK279" s="3">
        <f t="shared" si="239"/>
        <v>0</v>
      </c>
      <c r="AL279" s="3">
        <f t="shared" si="239"/>
        <v>0</v>
      </c>
      <c r="AM279" s="3">
        <f t="shared" si="239"/>
        <v>0</v>
      </c>
      <c r="AN279" s="3">
        <f t="shared" si="239"/>
        <v>0</v>
      </c>
      <c r="AO279" s="3">
        <f t="shared" si="239"/>
        <v>0</v>
      </c>
      <c r="AP279" s="3">
        <f t="shared" si="239"/>
        <v>0</v>
      </c>
      <c r="AQ279" s="3">
        <f t="shared" si="239"/>
        <v>0</v>
      </c>
      <c r="AR279" s="3">
        <f t="shared" si="239"/>
        <v>0</v>
      </c>
      <c r="AS279" s="3">
        <f t="shared" si="239"/>
        <v>0</v>
      </c>
      <c r="AT279" s="3">
        <f t="shared" si="239"/>
        <v>0</v>
      </c>
      <c r="AU279" s="3">
        <f t="shared" si="239"/>
        <v>0</v>
      </c>
      <c r="AV279" s="3">
        <f t="shared" si="239"/>
        <v>0</v>
      </c>
      <c r="AW279" s="3">
        <f t="shared" si="239"/>
        <v>0</v>
      </c>
      <c r="AX279" s="3">
        <f t="shared" si="239"/>
        <v>0</v>
      </c>
      <c r="AY279" s="3">
        <f t="shared" si="239"/>
        <v>0</v>
      </c>
      <c r="AZ279" s="3">
        <f t="shared" si="239"/>
        <v>0</v>
      </c>
      <c r="BA279" s="3">
        <f t="shared" si="239"/>
        <v>0</v>
      </c>
      <c r="BB279" s="3">
        <f t="shared" si="239"/>
        <v>0</v>
      </c>
      <c r="BC279" s="3">
        <f t="shared" si="239"/>
        <v>0</v>
      </c>
    </row>
    <row r="280" spans="1:296" x14ac:dyDescent="0.25">
      <c r="B280" s="8" t="s">
        <v>94</v>
      </c>
      <c r="C280" s="8">
        <f>QUARTILE(C242:C246,3)</f>
        <v>0</v>
      </c>
      <c r="D280" s="3">
        <f t="shared" ref="D280:BC280" si="240">QUARTILE(D242:D246,3)</f>
        <v>0</v>
      </c>
      <c r="E280" s="3">
        <f t="shared" si="240"/>
        <v>2</v>
      </c>
      <c r="F280" s="3">
        <f t="shared" si="240"/>
        <v>3</v>
      </c>
      <c r="G280" s="3">
        <f t="shared" si="240"/>
        <v>6</v>
      </c>
      <c r="H280" s="3">
        <f t="shared" si="240"/>
        <v>6</v>
      </c>
      <c r="I280" s="3">
        <f t="shared" si="240"/>
        <v>2</v>
      </c>
      <c r="J280" s="3">
        <f t="shared" si="240"/>
        <v>3</v>
      </c>
      <c r="K280" s="3">
        <f t="shared" si="240"/>
        <v>2</v>
      </c>
      <c r="L280" s="3">
        <f t="shared" si="240"/>
        <v>1</v>
      </c>
      <c r="M280" s="3">
        <f t="shared" si="240"/>
        <v>2</v>
      </c>
      <c r="N280" s="3">
        <f t="shared" si="240"/>
        <v>2</v>
      </c>
      <c r="O280" s="3">
        <f t="shared" si="240"/>
        <v>1</v>
      </c>
      <c r="P280" s="3">
        <f t="shared" si="240"/>
        <v>1</v>
      </c>
      <c r="Q280" s="3">
        <f t="shared" si="240"/>
        <v>2</v>
      </c>
      <c r="R280" s="3">
        <f t="shared" si="240"/>
        <v>4</v>
      </c>
      <c r="S280" s="3">
        <f t="shared" si="240"/>
        <v>3</v>
      </c>
      <c r="T280" s="3">
        <f t="shared" si="240"/>
        <v>1</v>
      </c>
      <c r="U280" s="3">
        <f t="shared" si="240"/>
        <v>1</v>
      </c>
      <c r="V280" s="3">
        <f t="shared" si="240"/>
        <v>2</v>
      </c>
      <c r="W280" s="3">
        <f t="shared" si="240"/>
        <v>0</v>
      </c>
      <c r="X280" s="3">
        <f t="shared" si="240"/>
        <v>2</v>
      </c>
      <c r="Y280" s="3">
        <f t="shared" si="240"/>
        <v>1</v>
      </c>
      <c r="Z280" s="3">
        <f t="shared" si="240"/>
        <v>0</v>
      </c>
      <c r="AA280" s="3">
        <f t="shared" si="240"/>
        <v>0</v>
      </c>
      <c r="AB280" s="3">
        <f t="shared" si="240"/>
        <v>0</v>
      </c>
      <c r="AC280" s="3">
        <f t="shared" si="240"/>
        <v>0</v>
      </c>
      <c r="AD280" s="3">
        <f t="shared" si="240"/>
        <v>1</v>
      </c>
      <c r="AE280" s="3">
        <f t="shared" si="240"/>
        <v>0</v>
      </c>
      <c r="AF280" s="3">
        <f t="shared" si="240"/>
        <v>0</v>
      </c>
      <c r="AG280" s="3">
        <f t="shared" si="240"/>
        <v>0</v>
      </c>
      <c r="AH280" s="3">
        <f t="shared" si="240"/>
        <v>0</v>
      </c>
      <c r="AI280" s="3">
        <f t="shared" si="240"/>
        <v>0</v>
      </c>
      <c r="AJ280" s="3">
        <f t="shared" si="240"/>
        <v>0</v>
      </c>
      <c r="AK280" s="3">
        <f t="shared" si="240"/>
        <v>0</v>
      </c>
      <c r="AL280" s="3">
        <f t="shared" si="240"/>
        <v>0</v>
      </c>
      <c r="AM280" s="3">
        <f t="shared" si="240"/>
        <v>0</v>
      </c>
      <c r="AN280" s="3">
        <f t="shared" si="240"/>
        <v>0</v>
      </c>
      <c r="AO280" s="3">
        <f t="shared" si="240"/>
        <v>0</v>
      </c>
      <c r="AP280" s="3">
        <f t="shared" si="240"/>
        <v>0</v>
      </c>
      <c r="AQ280" s="3">
        <f t="shared" si="240"/>
        <v>0</v>
      </c>
      <c r="AR280" s="3">
        <f t="shared" si="240"/>
        <v>0</v>
      </c>
      <c r="AS280" s="3">
        <f t="shared" si="240"/>
        <v>0</v>
      </c>
      <c r="AT280" s="3">
        <f t="shared" si="240"/>
        <v>0</v>
      </c>
      <c r="AU280" s="3">
        <f t="shared" si="240"/>
        <v>0</v>
      </c>
      <c r="AV280" s="3">
        <f t="shared" si="240"/>
        <v>0</v>
      </c>
      <c r="AW280" s="3">
        <f t="shared" si="240"/>
        <v>0</v>
      </c>
      <c r="AX280" s="3">
        <f t="shared" si="240"/>
        <v>0</v>
      </c>
      <c r="AY280" s="3">
        <f t="shared" si="240"/>
        <v>0</v>
      </c>
      <c r="AZ280" s="3">
        <f t="shared" si="240"/>
        <v>1</v>
      </c>
      <c r="BA280" s="3">
        <f t="shared" si="240"/>
        <v>0</v>
      </c>
      <c r="BB280" s="3">
        <f t="shared" si="240"/>
        <v>2</v>
      </c>
      <c r="BC280" s="3">
        <f t="shared" si="240"/>
        <v>0</v>
      </c>
    </row>
    <row r="281" spans="1:296" x14ac:dyDescent="0.25">
      <c r="A281" s="43" t="s">
        <v>96</v>
      </c>
      <c r="B281" s="44" t="s">
        <v>130</v>
      </c>
      <c r="C281" s="8">
        <f t="shared" ref="C281:AH281" si="241">B29</f>
        <v>0</v>
      </c>
      <c r="D281" s="3">
        <f t="shared" si="241"/>
        <v>0</v>
      </c>
      <c r="E281" s="3">
        <f t="shared" si="241"/>
        <v>0</v>
      </c>
      <c r="F281" s="3">
        <f t="shared" si="241"/>
        <v>0</v>
      </c>
      <c r="G281" s="3">
        <f t="shared" si="241"/>
        <v>0</v>
      </c>
      <c r="H281" s="3">
        <f t="shared" si="241"/>
        <v>0</v>
      </c>
      <c r="I281" s="3">
        <f t="shared" si="241"/>
        <v>0</v>
      </c>
      <c r="J281" s="3">
        <f t="shared" si="241"/>
        <v>4</v>
      </c>
      <c r="K281" s="3">
        <f t="shared" si="241"/>
        <v>9</v>
      </c>
      <c r="L281" s="3">
        <f t="shared" si="241"/>
        <v>14</v>
      </c>
      <c r="M281" s="3">
        <f t="shared" si="241"/>
        <v>15</v>
      </c>
      <c r="N281" s="3">
        <f t="shared" si="241"/>
        <v>8</v>
      </c>
      <c r="O281" s="3">
        <f t="shared" si="241"/>
        <v>3</v>
      </c>
      <c r="P281" s="3">
        <f t="shared" si="241"/>
        <v>1</v>
      </c>
      <c r="Q281" s="3">
        <f t="shared" si="241"/>
        <v>3</v>
      </c>
      <c r="R281" s="3">
        <f t="shared" si="241"/>
        <v>4</v>
      </c>
      <c r="S281" s="3">
        <f t="shared" si="241"/>
        <v>13</v>
      </c>
      <c r="T281" s="3">
        <f t="shared" si="241"/>
        <v>4</v>
      </c>
      <c r="U281" s="3">
        <f t="shared" si="241"/>
        <v>8</v>
      </c>
      <c r="V281" s="3">
        <f t="shared" si="241"/>
        <v>6</v>
      </c>
      <c r="W281" s="3">
        <f t="shared" si="241"/>
        <v>0</v>
      </c>
      <c r="X281" s="3">
        <f t="shared" si="241"/>
        <v>0</v>
      </c>
      <c r="Y281" s="3">
        <f t="shared" si="241"/>
        <v>0</v>
      </c>
      <c r="Z281" s="3">
        <f t="shared" si="241"/>
        <v>2</v>
      </c>
      <c r="AA281" s="3">
        <f t="shared" si="241"/>
        <v>0</v>
      </c>
      <c r="AB281" s="3">
        <f t="shared" si="241"/>
        <v>0</v>
      </c>
      <c r="AC281" s="3">
        <f t="shared" si="241"/>
        <v>0</v>
      </c>
      <c r="AD281" s="3">
        <f t="shared" si="241"/>
        <v>0</v>
      </c>
      <c r="AE281" s="3">
        <f t="shared" si="241"/>
        <v>0</v>
      </c>
      <c r="AF281" s="3">
        <f t="shared" si="241"/>
        <v>0</v>
      </c>
      <c r="AG281" s="3">
        <f t="shared" si="241"/>
        <v>0</v>
      </c>
      <c r="AH281" s="3">
        <f t="shared" si="241"/>
        <v>0</v>
      </c>
      <c r="AI281" s="3">
        <f t="shared" ref="AI281:BB281" si="242">AH29</f>
        <v>0</v>
      </c>
      <c r="AJ281" s="3">
        <f t="shared" si="242"/>
        <v>0</v>
      </c>
      <c r="AK281" s="3">
        <f t="shared" si="242"/>
        <v>0</v>
      </c>
      <c r="AL281" s="3">
        <f t="shared" si="242"/>
        <v>0</v>
      </c>
      <c r="AM281" s="3">
        <f t="shared" si="242"/>
        <v>0</v>
      </c>
      <c r="AN281" s="3">
        <f t="shared" si="242"/>
        <v>0</v>
      </c>
      <c r="AO281" s="3">
        <f t="shared" si="242"/>
        <v>0</v>
      </c>
      <c r="AP281" s="3">
        <f t="shared" si="242"/>
        <v>0</v>
      </c>
      <c r="AQ281" s="3">
        <f t="shared" si="242"/>
        <v>0</v>
      </c>
      <c r="AR281" s="3">
        <f t="shared" si="242"/>
        <v>0</v>
      </c>
      <c r="AS281" s="3">
        <f t="shared" si="242"/>
        <v>0</v>
      </c>
      <c r="AT281" s="3">
        <f t="shared" si="242"/>
        <v>0</v>
      </c>
      <c r="AU281" s="3">
        <f t="shared" si="242"/>
        <v>0</v>
      </c>
      <c r="AV281" s="3">
        <f t="shared" si="242"/>
        <v>0</v>
      </c>
      <c r="AW281" s="3">
        <f t="shared" si="242"/>
        <v>1</v>
      </c>
      <c r="AX281" s="3">
        <f t="shared" si="242"/>
        <v>0</v>
      </c>
      <c r="AY281" s="3">
        <f t="shared" si="242"/>
        <v>2</v>
      </c>
      <c r="AZ281" s="3">
        <f t="shared" si="242"/>
        <v>1</v>
      </c>
      <c r="BA281" s="3">
        <f t="shared" si="242"/>
        <v>2</v>
      </c>
      <c r="BB281" s="3">
        <f t="shared" si="242"/>
        <v>2</v>
      </c>
      <c r="BD281" s="8">
        <f>SUM(C281:BC281)</f>
        <v>102</v>
      </c>
    </row>
    <row r="283" spans="1:296" s="114" customFormat="1" x14ac:dyDescent="0.25">
      <c r="B283" s="54" t="s">
        <v>143</v>
      </c>
      <c r="C283" s="8" t="s">
        <v>7</v>
      </c>
      <c r="D283" s="114" t="s">
        <v>8</v>
      </c>
      <c r="E283" s="114" t="s">
        <v>9</v>
      </c>
      <c r="F283" s="114" t="s">
        <v>10</v>
      </c>
      <c r="G283" s="114" t="s">
        <v>11</v>
      </c>
      <c r="H283" s="114" t="s">
        <v>12</v>
      </c>
      <c r="I283" s="114" t="s">
        <v>13</v>
      </c>
      <c r="J283" s="114" t="s">
        <v>14</v>
      </c>
      <c r="K283" s="114" t="s">
        <v>15</v>
      </c>
      <c r="L283" s="114" t="s">
        <v>16</v>
      </c>
      <c r="M283" s="114" t="s">
        <v>17</v>
      </c>
      <c r="N283" s="114" t="s">
        <v>18</v>
      </c>
      <c r="O283" s="114" t="s">
        <v>19</v>
      </c>
      <c r="P283" s="114" t="s">
        <v>20</v>
      </c>
      <c r="Q283" s="114" t="s">
        <v>21</v>
      </c>
      <c r="R283" s="114" t="s">
        <v>22</v>
      </c>
      <c r="S283" s="114" t="s">
        <v>23</v>
      </c>
      <c r="T283" s="114" t="s">
        <v>24</v>
      </c>
      <c r="U283" s="114" t="s">
        <v>25</v>
      </c>
      <c r="V283" s="114" t="s">
        <v>26</v>
      </c>
      <c r="W283" s="114" t="s">
        <v>27</v>
      </c>
      <c r="X283" s="114" t="s">
        <v>28</v>
      </c>
      <c r="Y283" s="114" t="s">
        <v>29</v>
      </c>
      <c r="Z283" s="114" t="s">
        <v>30</v>
      </c>
      <c r="AA283" s="114" t="s">
        <v>31</v>
      </c>
      <c r="AB283" s="114" t="s">
        <v>32</v>
      </c>
      <c r="AC283" s="114">
        <v>27</v>
      </c>
      <c r="AD283" s="114" t="s">
        <v>33</v>
      </c>
      <c r="AE283" s="114" t="s">
        <v>34</v>
      </c>
      <c r="AF283" s="114">
        <v>30</v>
      </c>
      <c r="AG283" s="114">
        <v>31</v>
      </c>
      <c r="AH283" s="114" t="s">
        <v>35</v>
      </c>
      <c r="AI283" s="114" t="s">
        <v>36</v>
      </c>
      <c r="AJ283" s="114" t="s">
        <v>37</v>
      </c>
      <c r="AK283" s="114">
        <v>35</v>
      </c>
      <c r="AL283" s="114" t="s">
        <v>38</v>
      </c>
      <c r="AM283" s="114" t="s">
        <v>39</v>
      </c>
      <c r="AN283" s="114">
        <v>38</v>
      </c>
      <c r="AO283" s="114">
        <v>39</v>
      </c>
      <c r="AP283" s="114" t="s">
        <v>40</v>
      </c>
      <c r="AQ283" s="114" t="s">
        <v>41</v>
      </c>
      <c r="AR283" s="114" t="s">
        <v>42</v>
      </c>
      <c r="AS283" s="114" t="s">
        <v>43</v>
      </c>
      <c r="AT283" s="114" t="s">
        <v>44</v>
      </c>
      <c r="AU283" s="114">
        <v>45</v>
      </c>
      <c r="AV283" s="114" t="s">
        <v>45</v>
      </c>
      <c r="AW283" s="114" t="s">
        <v>46</v>
      </c>
      <c r="AX283" s="114" t="s">
        <v>47</v>
      </c>
      <c r="AY283" s="114" t="s">
        <v>48</v>
      </c>
      <c r="AZ283" s="114" t="s">
        <v>49</v>
      </c>
      <c r="BA283" s="114" t="s">
        <v>50</v>
      </c>
      <c r="BB283" s="114">
        <v>52</v>
      </c>
      <c r="BC283" s="114">
        <v>53</v>
      </c>
      <c r="JV283" s="8"/>
      <c r="KJ283" s="8"/>
    </row>
    <row r="284" spans="1:296" x14ac:dyDescent="0.25">
      <c r="B284" s="8" t="s">
        <v>92</v>
      </c>
      <c r="C284" s="8">
        <f>QUARTILE(C244:C248,1)</f>
        <v>0</v>
      </c>
      <c r="D284" s="8">
        <f t="shared" ref="D284:BC284" si="243">QUARTILE(D244:D248,1)</f>
        <v>0</v>
      </c>
      <c r="E284" s="8">
        <f t="shared" si="243"/>
        <v>0</v>
      </c>
      <c r="F284" s="8">
        <f t="shared" si="243"/>
        <v>0</v>
      </c>
      <c r="G284" s="8">
        <f t="shared" si="243"/>
        <v>0</v>
      </c>
      <c r="H284" s="8">
        <f t="shared" si="243"/>
        <v>0</v>
      </c>
      <c r="I284" s="8">
        <f t="shared" si="243"/>
        <v>0</v>
      </c>
      <c r="J284" s="8">
        <f t="shared" si="243"/>
        <v>1</v>
      </c>
      <c r="K284" s="8">
        <f t="shared" si="243"/>
        <v>0</v>
      </c>
      <c r="L284" s="8">
        <f t="shared" si="243"/>
        <v>0</v>
      </c>
      <c r="M284" s="8">
        <f t="shared" si="243"/>
        <v>0</v>
      </c>
      <c r="N284" s="8">
        <f t="shared" si="243"/>
        <v>1</v>
      </c>
      <c r="O284" s="8">
        <f t="shared" si="243"/>
        <v>0</v>
      </c>
      <c r="P284" s="8">
        <f t="shared" si="243"/>
        <v>1</v>
      </c>
      <c r="Q284" s="8">
        <f t="shared" si="243"/>
        <v>1</v>
      </c>
      <c r="R284" s="8">
        <f t="shared" si="243"/>
        <v>0</v>
      </c>
      <c r="S284" s="8">
        <f t="shared" si="243"/>
        <v>2</v>
      </c>
      <c r="T284" s="8">
        <f t="shared" si="243"/>
        <v>0</v>
      </c>
      <c r="U284" s="8">
        <f t="shared" si="243"/>
        <v>0</v>
      </c>
      <c r="V284" s="8">
        <f t="shared" si="243"/>
        <v>1</v>
      </c>
      <c r="W284" s="8">
        <f t="shared" si="243"/>
        <v>0</v>
      </c>
      <c r="X284" s="8">
        <f t="shared" si="243"/>
        <v>0</v>
      </c>
      <c r="Y284" s="8">
        <f t="shared" si="243"/>
        <v>0</v>
      </c>
      <c r="Z284" s="8">
        <f t="shared" si="243"/>
        <v>0</v>
      </c>
      <c r="AA284" s="8">
        <f t="shared" si="243"/>
        <v>0</v>
      </c>
      <c r="AB284" s="8">
        <f t="shared" si="243"/>
        <v>0</v>
      </c>
      <c r="AC284" s="8">
        <f t="shared" si="243"/>
        <v>0</v>
      </c>
      <c r="AD284" s="8">
        <f t="shared" si="243"/>
        <v>0</v>
      </c>
      <c r="AE284" s="8">
        <f t="shared" si="243"/>
        <v>0</v>
      </c>
      <c r="AF284" s="8">
        <f t="shared" si="243"/>
        <v>0</v>
      </c>
      <c r="AG284" s="8">
        <f t="shared" si="243"/>
        <v>0</v>
      </c>
      <c r="AH284" s="8">
        <f t="shared" si="243"/>
        <v>0</v>
      </c>
      <c r="AI284" s="8">
        <f t="shared" si="243"/>
        <v>0</v>
      </c>
      <c r="AJ284" s="8">
        <f t="shared" si="243"/>
        <v>0</v>
      </c>
      <c r="AK284" s="8">
        <f t="shared" si="243"/>
        <v>0</v>
      </c>
      <c r="AL284" s="8">
        <f t="shared" si="243"/>
        <v>0</v>
      </c>
      <c r="AM284" s="8">
        <f t="shared" si="243"/>
        <v>0</v>
      </c>
      <c r="AN284" s="8">
        <f t="shared" si="243"/>
        <v>0</v>
      </c>
      <c r="AO284" s="8">
        <f t="shared" si="243"/>
        <v>0</v>
      </c>
      <c r="AP284" s="8">
        <f t="shared" si="243"/>
        <v>0</v>
      </c>
      <c r="AQ284" s="8">
        <f t="shared" si="243"/>
        <v>0</v>
      </c>
      <c r="AR284" s="8">
        <f t="shared" si="243"/>
        <v>0</v>
      </c>
      <c r="AS284" s="8">
        <f t="shared" si="243"/>
        <v>0</v>
      </c>
      <c r="AT284" s="8">
        <f t="shared" si="243"/>
        <v>0</v>
      </c>
      <c r="AU284" s="8">
        <f t="shared" si="243"/>
        <v>0</v>
      </c>
      <c r="AV284" s="8">
        <f t="shared" si="243"/>
        <v>0</v>
      </c>
      <c r="AW284" s="8">
        <f t="shared" si="243"/>
        <v>0</v>
      </c>
      <c r="AX284" s="8">
        <f t="shared" si="243"/>
        <v>0</v>
      </c>
      <c r="AY284" s="8">
        <f t="shared" si="243"/>
        <v>0</v>
      </c>
      <c r="AZ284" s="8">
        <f t="shared" si="243"/>
        <v>0</v>
      </c>
      <c r="BA284" s="8">
        <f t="shared" si="243"/>
        <v>0</v>
      </c>
      <c r="BB284" s="8">
        <f t="shared" si="243"/>
        <v>0</v>
      </c>
      <c r="BC284" s="8">
        <f t="shared" si="243"/>
        <v>0</v>
      </c>
    </row>
    <row r="285" spans="1:296" x14ac:dyDescent="0.25">
      <c r="B285" s="8" t="s">
        <v>93</v>
      </c>
      <c r="C285" s="8">
        <f>QUARTILE(C244:C248,2)</f>
        <v>0</v>
      </c>
      <c r="D285" s="8">
        <f t="shared" ref="D285:BC285" si="244">QUARTILE(D244:D248,2)</f>
        <v>0</v>
      </c>
      <c r="E285" s="8">
        <f t="shared" si="244"/>
        <v>0</v>
      </c>
      <c r="F285" s="8">
        <f t="shared" si="244"/>
        <v>0</v>
      </c>
      <c r="G285" s="8">
        <f t="shared" si="244"/>
        <v>1</v>
      </c>
      <c r="H285" s="8">
        <f t="shared" si="244"/>
        <v>0</v>
      </c>
      <c r="I285" s="8">
        <f t="shared" si="244"/>
        <v>0</v>
      </c>
      <c r="J285" s="8">
        <f t="shared" si="244"/>
        <v>1</v>
      </c>
      <c r="K285" s="8">
        <f t="shared" si="244"/>
        <v>2</v>
      </c>
      <c r="L285" s="8">
        <f t="shared" si="244"/>
        <v>1</v>
      </c>
      <c r="M285" s="8">
        <f t="shared" si="244"/>
        <v>0</v>
      </c>
      <c r="N285" s="8">
        <f t="shared" si="244"/>
        <v>2</v>
      </c>
      <c r="O285" s="8">
        <f t="shared" si="244"/>
        <v>1</v>
      </c>
      <c r="P285" s="8">
        <f t="shared" si="244"/>
        <v>1</v>
      </c>
      <c r="Q285" s="8">
        <f t="shared" si="244"/>
        <v>2</v>
      </c>
      <c r="R285" s="8">
        <f t="shared" si="244"/>
        <v>0</v>
      </c>
      <c r="S285" s="8">
        <f t="shared" si="244"/>
        <v>3</v>
      </c>
      <c r="T285" s="8">
        <f t="shared" si="244"/>
        <v>1</v>
      </c>
      <c r="U285" s="8">
        <f t="shared" si="244"/>
        <v>1</v>
      </c>
      <c r="V285" s="8">
        <f t="shared" si="244"/>
        <v>2</v>
      </c>
      <c r="W285" s="8">
        <f t="shared" si="244"/>
        <v>0</v>
      </c>
      <c r="X285" s="8">
        <f t="shared" si="244"/>
        <v>0</v>
      </c>
      <c r="Y285" s="8">
        <f t="shared" si="244"/>
        <v>0</v>
      </c>
      <c r="Z285" s="8">
        <f t="shared" si="244"/>
        <v>0</v>
      </c>
      <c r="AA285" s="8">
        <f t="shared" si="244"/>
        <v>0</v>
      </c>
      <c r="AB285" s="8">
        <f t="shared" si="244"/>
        <v>0</v>
      </c>
      <c r="AC285" s="8">
        <f t="shared" si="244"/>
        <v>0</v>
      </c>
      <c r="AD285" s="8">
        <f t="shared" si="244"/>
        <v>0</v>
      </c>
      <c r="AE285" s="8">
        <f t="shared" si="244"/>
        <v>0</v>
      </c>
      <c r="AF285" s="8">
        <f t="shared" si="244"/>
        <v>0</v>
      </c>
      <c r="AG285" s="8">
        <f t="shared" si="244"/>
        <v>0</v>
      </c>
      <c r="AH285" s="8">
        <f t="shared" si="244"/>
        <v>0</v>
      </c>
      <c r="AI285" s="8">
        <f t="shared" si="244"/>
        <v>0</v>
      </c>
      <c r="AJ285" s="8">
        <f t="shared" si="244"/>
        <v>0</v>
      </c>
      <c r="AK285" s="8">
        <f t="shared" si="244"/>
        <v>0</v>
      </c>
      <c r="AL285" s="8">
        <f t="shared" si="244"/>
        <v>0</v>
      </c>
      <c r="AM285" s="8">
        <f t="shared" si="244"/>
        <v>0</v>
      </c>
      <c r="AN285" s="8">
        <f t="shared" si="244"/>
        <v>0</v>
      </c>
      <c r="AO285" s="8">
        <f t="shared" si="244"/>
        <v>0</v>
      </c>
      <c r="AP285" s="8">
        <f t="shared" si="244"/>
        <v>0</v>
      </c>
      <c r="AQ285" s="8">
        <f t="shared" si="244"/>
        <v>0</v>
      </c>
      <c r="AR285" s="8">
        <f t="shared" si="244"/>
        <v>0</v>
      </c>
      <c r="AS285" s="8">
        <f t="shared" si="244"/>
        <v>0</v>
      </c>
      <c r="AT285" s="8">
        <f t="shared" si="244"/>
        <v>0</v>
      </c>
      <c r="AU285" s="8">
        <f t="shared" si="244"/>
        <v>0</v>
      </c>
      <c r="AV285" s="8">
        <f t="shared" si="244"/>
        <v>0</v>
      </c>
      <c r="AW285" s="8">
        <f t="shared" si="244"/>
        <v>0</v>
      </c>
      <c r="AX285" s="8">
        <f t="shared" si="244"/>
        <v>0</v>
      </c>
      <c r="AY285" s="8">
        <f t="shared" si="244"/>
        <v>0</v>
      </c>
      <c r="AZ285" s="8">
        <f t="shared" si="244"/>
        <v>1</v>
      </c>
      <c r="BA285" s="8">
        <f t="shared" si="244"/>
        <v>2</v>
      </c>
      <c r="BB285" s="8">
        <f t="shared" si="244"/>
        <v>2</v>
      </c>
      <c r="BC285" s="8">
        <f t="shared" si="244"/>
        <v>0</v>
      </c>
    </row>
    <row r="286" spans="1:296" x14ac:dyDescent="0.25">
      <c r="B286" s="8" t="s">
        <v>94</v>
      </c>
      <c r="C286" s="8">
        <f>QUARTILE(C244:C248,3)</f>
        <v>1</v>
      </c>
      <c r="D286" s="8">
        <f t="shared" ref="D286:BC286" si="245">QUARTILE(D244:D248,3)</f>
        <v>2</v>
      </c>
      <c r="E286" s="8">
        <f t="shared" si="245"/>
        <v>3</v>
      </c>
      <c r="F286" s="8">
        <f t="shared" si="245"/>
        <v>1</v>
      </c>
      <c r="G286" s="8">
        <f t="shared" si="245"/>
        <v>1</v>
      </c>
      <c r="H286" s="8">
        <f t="shared" si="245"/>
        <v>1</v>
      </c>
      <c r="I286" s="8">
        <f t="shared" si="245"/>
        <v>1</v>
      </c>
      <c r="J286" s="8">
        <f t="shared" si="245"/>
        <v>4</v>
      </c>
      <c r="K286" s="8">
        <f t="shared" si="245"/>
        <v>9</v>
      </c>
      <c r="L286" s="8">
        <f t="shared" si="245"/>
        <v>14</v>
      </c>
      <c r="M286" s="8">
        <f t="shared" si="245"/>
        <v>15</v>
      </c>
      <c r="N286" s="8">
        <f t="shared" si="245"/>
        <v>8</v>
      </c>
      <c r="O286" s="8">
        <f t="shared" si="245"/>
        <v>3</v>
      </c>
      <c r="P286" s="8">
        <f t="shared" si="245"/>
        <v>6</v>
      </c>
      <c r="Q286" s="8">
        <f t="shared" si="245"/>
        <v>3</v>
      </c>
      <c r="R286" s="8">
        <f t="shared" si="245"/>
        <v>4</v>
      </c>
      <c r="S286" s="8">
        <f t="shared" si="245"/>
        <v>13</v>
      </c>
      <c r="T286" s="8">
        <f t="shared" si="245"/>
        <v>4</v>
      </c>
      <c r="U286" s="8">
        <f t="shared" si="245"/>
        <v>8</v>
      </c>
      <c r="V286" s="8">
        <f t="shared" si="245"/>
        <v>6</v>
      </c>
      <c r="W286" s="8">
        <f t="shared" si="245"/>
        <v>0</v>
      </c>
      <c r="X286" s="8">
        <f t="shared" si="245"/>
        <v>0</v>
      </c>
      <c r="Y286" s="8">
        <f t="shared" si="245"/>
        <v>0</v>
      </c>
      <c r="Z286" s="8">
        <f t="shared" si="245"/>
        <v>1</v>
      </c>
      <c r="AA286" s="8">
        <f t="shared" si="245"/>
        <v>0</v>
      </c>
      <c r="AB286" s="8">
        <f t="shared" si="245"/>
        <v>0</v>
      </c>
      <c r="AC286" s="8">
        <f t="shared" si="245"/>
        <v>0</v>
      </c>
      <c r="AD286" s="8">
        <f t="shared" si="245"/>
        <v>0</v>
      </c>
      <c r="AE286" s="8">
        <f t="shared" si="245"/>
        <v>0</v>
      </c>
      <c r="AF286" s="8">
        <f t="shared" si="245"/>
        <v>0</v>
      </c>
      <c r="AG286" s="8">
        <f t="shared" si="245"/>
        <v>0</v>
      </c>
      <c r="AH286" s="8">
        <f t="shared" si="245"/>
        <v>0</v>
      </c>
      <c r="AI286" s="8">
        <f t="shared" si="245"/>
        <v>0</v>
      </c>
      <c r="AJ286" s="8">
        <f t="shared" si="245"/>
        <v>0</v>
      </c>
      <c r="AK286" s="8">
        <f t="shared" si="245"/>
        <v>0</v>
      </c>
      <c r="AL286" s="8">
        <f t="shared" si="245"/>
        <v>0</v>
      </c>
      <c r="AM286" s="8">
        <f t="shared" si="245"/>
        <v>0</v>
      </c>
      <c r="AN286" s="8">
        <f t="shared" si="245"/>
        <v>0</v>
      </c>
      <c r="AO286" s="8">
        <f t="shared" si="245"/>
        <v>0</v>
      </c>
      <c r="AP286" s="8">
        <f t="shared" si="245"/>
        <v>0</v>
      </c>
      <c r="AQ286" s="8">
        <f t="shared" si="245"/>
        <v>0</v>
      </c>
      <c r="AR286" s="8">
        <f t="shared" si="245"/>
        <v>0</v>
      </c>
      <c r="AS286" s="8">
        <f t="shared" si="245"/>
        <v>0</v>
      </c>
      <c r="AT286" s="8">
        <f t="shared" si="245"/>
        <v>0</v>
      </c>
      <c r="AU286" s="8">
        <f t="shared" si="245"/>
        <v>0</v>
      </c>
      <c r="AV286" s="8">
        <f t="shared" si="245"/>
        <v>0</v>
      </c>
      <c r="AW286" s="8">
        <f t="shared" si="245"/>
        <v>0</v>
      </c>
      <c r="AX286" s="8">
        <f t="shared" si="245"/>
        <v>0</v>
      </c>
      <c r="AY286" s="8">
        <f t="shared" si="245"/>
        <v>0</v>
      </c>
      <c r="AZ286" s="8">
        <f t="shared" si="245"/>
        <v>1</v>
      </c>
      <c r="BA286" s="8">
        <f t="shared" si="245"/>
        <v>2</v>
      </c>
      <c r="BB286" s="8">
        <f t="shared" si="245"/>
        <v>2</v>
      </c>
      <c r="BC286" s="8">
        <f t="shared" si="245"/>
        <v>0</v>
      </c>
    </row>
    <row r="287" spans="1:296" x14ac:dyDescent="0.25">
      <c r="A287" s="43" t="s">
        <v>96</v>
      </c>
      <c r="B287" s="44" t="s">
        <v>140</v>
      </c>
      <c r="C287" s="8">
        <f t="shared" ref="C287:AH287" si="246">B33</f>
        <v>4</v>
      </c>
      <c r="D287" s="8">
        <f t="shared" si="246"/>
        <v>2</v>
      </c>
      <c r="E287" s="8">
        <f t="shared" si="246"/>
        <v>11</v>
      </c>
      <c r="F287" s="8">
        <f t="shared" si="246"/>
        <v>21</v>
      </c>
      <c r="G287" s="8">
        <f t="shared" si="246"/>
        <v>57</v>
      </c>
      <c r="H287" s="8">
        <f t="shared" si="246"/>
        <v>78</v>
      </c>
      <c r="I287" s="8">
        <f t="shared" si="246"/>
        <v>97</v>
      </c>
      <c r="J287" s="8">
        <f t="shared" si="246"/>
        <v>88</v>
      </c>
      <c r="K287" s="8">
        <f t="shared" si="246"/>
        <v>78</v>
      </c>
      <c r="L287" s="8">
        <f t="shared" si="246"/>
        <v>175</v>
      </c>
      <c r="M287" s="8">
        <f t="shared" si="246"/>
        <v>130</v>
      </c>
      <c r="N287" s="8">
        <f t="shared" si="246"/>
        <v>283</v>
      </c>
      <c r="O287" s="8">
        <f t="shared" si="246"/>
        <v>140</v>
      </c>
      <c r="P287" s="8">
        <f t="shared" si="246"/>
        <v>194</v>
      </c>
      <c r="Q287" s="8">
        <f t="shared" si="246"/>
        <v>220</v>
      </c>
      <c r="R287" s="8">
        <f t="shared" si="246"/>
        <v>170</v>
      </c>
      <c r="S287" s="8">
        <f t="shared" si="246"/>
        <v>86</v>
      </c>
      <c r="T287" s="8">
        <f t="shared" si="246"/>
        <v>98</v>
      </c>
      <c r="U287" s="8">
        <f t="shared" si="246"/>
        <v>37</v>
      </c>
      <c r="V287" s="8">
        <f t="shared" si="246"/>
        <v>24</v>
      </c>
      <c r="W287" s="8">
        <f t="shared" si="246"/>
        <v>21</v>
      </c>
      <c r="X287" s="8">
        <f t="shared" si="246"/>
        <v>21</v>
      </c>
      <c r="Y287" s="8">
        <f t="shared" si="246"/>
        <v>19</v>
      </c>
      <c r="Z287" s="8">
        <f t="shared" si="246"/>
        <v>9</v>
      </c>
      <c r="AA287" s="8">
        <f t="shared" si="246"/>
        <v>2</v>
      </c>
      <c r="AB287" s="8">
        <f t="shared" si="246"/>
        <v>3</v>
      </c>
      <c r="AC287" s="8">
        <f t="shared" si="246"/>
        <v>4</v>
      </c>
      <c r="AD287" s="8">
        <f t="shared" si="246"/>
        <v>2</v>
      </c>
      <c r="AE287" s="8">
        <f t="shared" si="246"/>
        <v>0</v>
      </c>
      <c r="AF287" s="8">
        <f t="shared" si="246"/>
        <v>0</v>
      </c>
      <c r="AG287" s="8">
        <f t="shared" si="246"/>
        <v>1</v>
      </c>
      <c r="AH287" s="8">
        <f t="shared" si="246"/>
        <v>0</v>
      </c>
      <c r="AI287" s="8">
        <f t="shared" ref="AI287:BB287" si="247">AH33</f>
        <v>0</v>
      </c>
      <c r="AJ287" s="8">
        <f t="shared" si="247"/>
        <v>0</v>
      </c>
      <c r="AK287" s="8">
        <f t="shared" si="247"/>
        <v>0</v>
      </c>
      <c r="AL287" s="8">
        <f t="shared" si="247"/>
        <v>0</v>
      </c>
      <c r="AM287" s="8">
        <f t="shared" si="247"/>
        <v>0</v>
      </c>
      <c r="AN287" s="8">
        <f t="shared" si="247"/>
        <v>0</v>
      </c>
      <c r="AO287" s="8">
        <f t="shared" si="247"/>
        <v>0</v>
      </c>
      <c r="AP287" s="8">
        <f t="shared" si="247"/>
        <v>0</v>
      </c>
      <c r="AQ287" s="8">
        <f t="shared" si="247"/>
        <v>0</v>
      </c>
      <c r="AR287" s="8">
        <f t="shared" si="247"/>
        <v>0</v>
      </c>
      <c r="AS287" s="8">
        <f t="shared" si="247"/>
        <v>0</v>
      </c>
      <c r="AT287" s="8">
        <f t="shared" si="247"/>
        <v>0</v>
      </c>
      <c r="AU287" s="8">
        <f t="shared" si="247"/>
        <v>0</v>
      </c>
      <c r="AV287" s="8">
        <f t="shared" si="247"/>
        <v>1</v>
      </c>
      <c r="AW287" s="8">
        <f t="shared" si="247"/>
        <v>0</v>
      </c>
      <c r="AX287" s="8">
        <f t="shared" si="247"/>
        <v>0</v>
      </c>
      <c r="AY287" s="8">
        <f t="shared" si="247"/>
        <v>0</v>
      </c>
      <c r="AZ287" s="8">
        <f t="shared" si="247"/>
        <v>0</v>
      </c>
      <c r="BA287" s="8">
        <f t="shared" si="247"/>
        <v>1</v>
      </c>
      <c r="BB287" s="8">
        <f t="shared" si="247"/>
        <v>0</v>
      </c>
      <c r="BD287" s="8">
        <f>SUM(C287:BC287)</f>
        <v>2077</v>
      </c>
    </row>
    <row r="289" spans="1:296" x14ac:dyDescent="0.25">
      <c r="B289" s="8" t="s">
        <v>83</v>
      </c>
    </row>
    <row r="290" spans="1:296" s="114" customFormat="1" x14ac:dyDescent="0.25">
      <c r="B290" s="54" t="s">
        <v>143</v>
      </c>
      <c r="C290" s="8" t="s">
        <v>7</v>
      </c>
      <c r="D290" s="114" t="s">
        <v>8</v>
      </c>
      <c r="E290" s="114" t="s">
        <v>9</v>
      </c>
      <c r="F290" s="114" t="s">
        <v>10</v>
      </c>
      <c r="G290" s="114" t="s">
        <v>11</v>
      </c>
      <c r="H290" s="114" t="s">
        <v>12</v>
      </c>
      <c r="I290" s="114" t="s">
        <v>13</v>
      </c>
      <c r="J290" s="114" t="s">
        <v>14</v>
      </c>
      <c r="K290" s="114" t="s">
        <v>15</v>
      </c>
      <c r="L290" s="114" t="s">
        <v>16</v>
      </c>
      <c r="M290" s="114" t="s">
        <v>17</v>
      </c>
      <c r="N290" s="114" t="s">
        <v>18</v>
      </c>
      <c r="O290" s="114" t="s">
        <v>19</v>
      </c>
      <c r="P290" s="114" t="s">
        <v>20</v>
      </c>
      <c r="Q290" s="114" t="s">
        <v>21</v>
      </c>
      <c r="R290" s="114" t="s">
        <v>22</v>
      </c>
      <c r="S290" s="114" t="s">
        <v>23</v>
      </c>
      <c r="T290" s="114" t="s">
        <v>24</v>
      </c>
      <c r="U290" s="114" t="s">
        <v>25</v>
      </c>
      <c r="V290" s="114" t="s">
        <v>26</v>
      </c>
      <c r="W290" s="114" t="s">
        <v>27</v>
      </c>
      <c r="X290" s="114" t="s">
        <v>28</v>
      </c>
      <c r="Y290" s="114" t="s">
        <v>29</v>
      </c>
      <c r="Z290" s="114" t="s">
        <v>30</v>
      </c>
      <c r="AA290" s="114" t="s">
        <v>31</v>
      </c>
      <c r="AB290" s="114" t="s">
        <v>32</v>
      </c>
      <c r="AC290" s="114">
        <v>27</v>
      </c>
      <c r="AD290" s="114" t="s">
        <v>33</v>
      </c>
      <c r="AE290" s="114" t="s">
        <v>34</v>
      </c>
      <c r="AF290" s="114">
        <v>30</v>
      </c>
      <c r="AG290" s="114">
        <v>31</v>
      </c>
      <c r="AH290" s="114" t="s">
        <v>35</v>
      </c>
      <c r="AI290" s="114" t="s">
        <v>36</v>
      </c>
      <c r="AJ290" s="114" t="s">
        <v>37</v>
      </c>
      <c r="AK290" s="114">
        <v>35</v>
      </c>
      <c r="AL290" s="114" t="s">
        <v>38</v>
      </c>
      <c r="AM290" s="114" t="s">
        <v>39</v>
      </c>
      <c r="AN290" s="114">
        <v>38</v>
      </c>
      <c r="AO290" s="114">
        <v>39</v>
      </c>
      <c r="AP290" s="114" t="s">
        <v>40</v>
      </c>
      <c r="AQ290" s="114" t="s">
        <v>41</v>
      </c>
      <c r="AR290" s="114" t="s">
        <v>42</v>
      </c>
      <c r="AS290" s="114" t="s">
        <v>43</v>
      </c>
      <c r="AT290" s="114" t="s">
        <v>44</v>
      </c>
      <c r="AU290" s="114">
        <v>45</v>
      </c>
      <c r="AV290" s="114" t="s">
        <v>45</v>
      </c>
      <c r="AW290" s="114" t="s">
        <v>46</v>
      </c>
      <c r="AX290" s="114" t="s">
        <v>47</v>
      </c>
      <c r="AY290" s="114" t="s">
        <v>48</v>
      </c>
      <c r="AZ290" s="114" t="s">
        <v>49</v>
      </c>
      <c r="BA290" s="114" t="s">
        <v>50</v>
      </c>
      <c r="BB290" s="114">
        <v>52</v>
      </c>
      <c r="BC290" s="114">
        <v>53</v>
      </c>
      <c r="JV290" s="8"/>
      <c r="KJ290" s="8"/>
    </row>
    <row r="291" spans="1:296" x14ac:dyDescent="0.25">
      <c r="B291" s="8" t="s">
        <v>92</v>
      </c>
      <c r="C291" s="8">
        <f>QUARTILE(C245:C249,1)</f>
        <v>0</v>
      </c>
      <c r="D291" s="8">
        <f t="shared" ref="D291:BB291" si="248">QUARTILE(D245:D249,1)</f>
        <v>0</v>
      </c>
      <c r="E291" s="8">
        <f t="shared" si="248"/>
        <v>0</v>
      </c>
      <c r="F291" s="8">
        <f t="shared" si="248"/>
        <v>0</v>
      </c>
      <c r="G291" s="8">
        <f t="shared" si="248"/>
        <v>1</v>
      </c>
      <c r="H291" s="8">
        <f t="shared" si="248"/>
        <v>0</v>
      </c>
      <c r="I291" s="8">
        <f t="shared" si="248"/>
        <v>0</v>
      </c>
      <c r="J291" s="8">
        <f t="shared" si="248"/>
        <v>1</v>
      </c>
      <c r="K291" s="8">
        <f t="shared" si="248"/>
        <v>2</v>
      </c>
      <c r="L291" s="8">
        <f t="shared" si="248"/>
        <v>1</v>
      </c>
      <c r="M291" s="8">
        <f t="shared" si="248"/>
        <v>0</v>
      </c>
      <c r="N291" s="8">
        <f t="shared" si="248"/>
        <v>1</v>
      </c>
      <c r="O291" s="8">
        <f t="shared" si="248"/>
        <v>0</v>
      </c>
      <c r="P291" s="8">
        <f t="shared" si="248"/>
        <v>1</v>
      </c>
      <c r="Q291" s="8">
        <f t="shared" si="248"/>
        <v>2</v>
      </c>
      <c r="R291" s="8">
        <f t="shared" si="248"/>
        <v>0</v>
      </c>
      <c r="S291" s="8">
        <f t="shared" si="248"/>
        <v>3</v>
      </c>
      <c r="T291" s="8">
        <f t="shared" si="248"/>
        <v>0</v>
      </c>
      <c r="U291" s="8">
        <f t="shared" si="248"/>
        <v>1</v>
      </c>
      <c r="V291" s="8">
        <f t="shared" si="248"/>
        <v>1</v>
      </c>
      <c r="W291" s="8">
        <f t="shared" si="248"/>
        <v>0</v>
      </c>
      <c r="X291" s="8">
        <f t="shared" si="248"/>
        <v>0</v>
      </c>
      <c r="Y291" s="8">
        <f t="shared" si="248"/>
        <v>0</v>
      </c>
      <c r="Z291" s="8">
        <f t="shared" si="248"/>
        <v>0</v>
      </c>
      <c r="AA291" s="8">
        <f t="shared" si="248"/>
        <v>0</v>
      </c>
      <c r="AB291" s="8">
        <f t="shared" si="248"/>
        <v>0</v>
      </c>
      <c r="AC291" s="8">
        <f t="shared" si="248"/>
        <v>0</v>
      </c>
      <c r="AD291" s="8">
        <f t="shared" si="248"/>
        <v>0</v>
      </c>
      <c r="AE291" s="8">
        <f t="shared" si="248"/>
        <v>0</v>
      </c>
      <c r="AF291" s="8">
        <f t="shared" si="248"/>
        <v>0</v>
      </c>
      <c r="AG291" s="8">
        <f t="shared" si="248"/>
        <v>0</v>
      </c>
      <c r="AH291" s="8">
        <f t="shared" si="248"/>
        <v>0</v>
      </c>
      <c r="AI291" s="8">
        <f t="shared" si="248"/>
        <v>0</v>
      </c>
      <c r="AJ291" s="8">
        <f t="shared" si="248"/>
        <v>0</v>
      </c>
      <c r="AK291" s="8">
        <f t="shared" si="248"/>
        <v>0</v>
      </c>
      <c r="AL291" s="8">
        <f t="shared" si="248"/>
        <v>0</v>
      </c>
      <c r="AM291" s="8">
        <f t="shared" si="248"/>
        <v>0</v>
      </c>
      <c r="AN291" s="8">
        <f t="shared" si="248"/>
        <v>0</v>
      </c>
      <c r="AO291" s="8">
        <f t="shared" si="248"/>
        <v>0</v>
      </c>
      <c r="AP291" s="8">
        <f t="shared" si="248"/>
        <v>0</v>
      </c>
      <c r="AQ291" s="8">
        <f t="shared" si="248"/>
        <v>0</v>
      </c>
      <c r="AR291" s="8">
        <f t="shared" si="248"/>
        <v>0</v>
      </c>
      <c r="AS291" s="8">
        <f t="shared" si="248"/>
        <v>0</v>
      </c>
      <c r="AT291" s="8">
        <f t="shared" si="248"/>
        <v>0</v>
      </c>
      <c r="AU291" s="8">
        <f t="shared" si="248"/>
        <v>0</v>
      </c>
      <c r="AV291" s="8">
        <f t="shared" si="248"/>
        <v>0</v>
      </c>
      <c r="AW291" s="8">
        <f t="shared" si="248"/>
        <v>0</v>
      </c>
      <c r="AX291" s="8">
        <f t="shared" si="248"/>
        <v>0</v>
      </c>
      <c r="AY291" s="8">
        <f t="shared" si="248"/>
        <v>0</v>
      </c>
      <c r="AZ291" s="8">
        <f t="shared" si="248"/>
        <v>0</v>
      </c>
      <c r="BA291" s="8">
        <f t="shared" si="248"/>
        <v>1</v>
      </c>
      <c r="BB291" s="8">
        <f t="shared" si="248"/>
        <v>0</v>
      </c>
      <c r="BC291" s="8">
        <f t="shared" ref="BC291" si="249">QUARTILE(BC267:BC271,1)</f>
        <v>0</v>
      </c>
    </row>
    <row r="292" spans="1:296" x14ac:dyDescent="0.25">
      <c r="B292" s="8" t="s">
        <v>93</v>
      </c>
      <c r="C292" s="8">
        <f>QUARTILE(C245:C249,2)</f>
        <v>1</v>
      </c>
      <c r="D292" s="8">
        <f t="shared" ref="D292:BB292" si="250">QUARTILE(D245:D249,2)</f>
        <v>2</v>
      </c>
      <c r="E292" s="8">
        <f t="shared" si="250"/>
        <v>3</v>
      </c>
      <c r="F292" s="8">
        <f t="shared" si="250"/>
        <v>1</v>
      </c>
      <c r="G292" s="8">
        <f t="shared" si="250"/>
        <v>1</v>
      </c>
      <c r="H292" s="8">
        <f t="shared" si="250"/>
        <v>1</v>
      </c>
      <c r="I292" s="8">
        <f t="shared" si="250"/>
        <v>1</v>
      </c>
      <c r="J292" s="8">
        <f t="shared" si="250"/>
        <v>4</v>
      </c>
      <c r="K292" s="8">
        <f t="shared" si="250"/>
        <v>9</v>
      </c>
      <c r="L292" s="8">
        <f t="shared" si="250"/>
        <v>14</v>
      </c>
      <c r="M292" s="8">
        <f t="shared" si="250"/>
        <v>15</v>
      </c>
      <c r="N292" s="8">
        <f t="shared" si="250"/>
        <v>8</v>
      </c>
      <c r="O292" s="8">
        <f t="shared" si="250"/>
        <v>3</v>
      </c>
      <c r="P292" s="8">
        <f t="shared" si="250"/>
        <v>6</v>
      </c>
      <c r="Q292" s="8">
        <f t="shared" si="250"/>
        <v>3</v>
      </c>
      <c r="R292" s="8">
        <f t="shared" si="250"/>
        <v>4</v>
      </c>
      <c r="S292" s="8">
        <f t="shared" si="250"/>
        <v>13</v>
      </c>
      <c r="T292" s="8">
        <f t="shared" si="250"/>
        <v>4</v>
      </c>
      <c r="U292" s="8">
        <f t="shared" si="250"/>
        <v>8</v>
      </c>
      <c r="V292" s="8">
        <f t="shared" si="250"/>
        <v>6</v>
      </c>
      <c r="W292" s="8">
        <f t="shared" si="250"/>
        <v>0</v>
      </c>
      <c r="X292" s="8">
        <f t="shared" si="250"/>
        <v>0</v>
      </c>
      <c r="Y292" s="8">
        <f t="shared" si="250"/>
        <v>0</v>
      </c>
      <c r="Z292" s="8">
        <f t="shared" si="250"/>
        <v>1</v>
      </c>
      <c r="AA292" s="8">
        <f t="shared" si="250"/>
        <v>0</v>
      </c>
      <c r="AB292" s="8">
        <f t="shared" si="250"/>
        <v>0</v>
      </c>
      <c r="AC292" s="8">
        <f t="shared" si="250"/>
        <v>0</v>
      </c>
      <c r="AD292" s="8">
        <f t="shared" si="250"/>
        <v>0</v>
      </c>
      <c r="AE292" s="8">
        <f t="shared" si="250"/>
        <v>0</v>
      </c>
      <c r="AF292" s="8">
        <f t="shared" si="250"/>
        <v>0</v>
      </c>
      <c r="AG292" s="8">
        <f t="shared" si="250"/>
        <v>0</v>
      </c>
      <c r="AH292" s="8">
        <f t="shared" si="250"/>
        <v>0</v>
      </c>
      <c r="AI292" s="8">
        <f t="shared" si="250"/>
        <v>0</v>
      </c>
      <c r="AJ292" s="8">
        <f t="shared" si="250"/>
        <v>0</v>
      </c>
      <c r="AK292" s="8">
        <f t="shared" si="250"/>
        <v>0</v>
      </c>
      <c r="AL292" s="8">
        <f t="shared" si="250"/>
        <v>0</v>
      </c>
      <c r="AM292" s="8">
        <f t="shared" si="250"/>
        <v>0</v>
      </c>
      <c r="AN292" s="8">
        <f t="shared" si="250"/>
        <v>0</v>
      </c>
      <c r="AO292" s="8">
        <f t="shared" si="250"/>
        <v>0</v>
      </c>
      <c r="AP292" s="8">
        <f t="shared" si="250"/>
        <v>0</v>
      </c>
      <c r="AQ292" s="8">
        <f t="shared" si="250"/>
        <v>0</v>
      </c>
      <c r="AR292" s="8">
        <f t="shared" si="250"/>
        <v>0</v>
      </c>
      <c r="AS292" s="8">
        <f t="shared" si="250"/>
        <v>0</v>
      </c>
      <c r="AT292" s="8">
        <f t="shared" si="250"/>
        <v>0</v>
      </c>
      <c r="AU292" s="8">
        <f t="shared" si="250"/>
        <v>0</v>
      </c>
      <c r="AV292" s="8">
        <f t="shared" si="250"/>
        <v>0</v>
      </c>
      <c r="AW292" s="8">
        <f t="shared" si="250"/>
        <v>0</v>
      </c>
      <c r="AX292" s="8">
        <f t="shared" si="250"/>
        <v>0</v>
      </c>
      <c r="AY292" s="8">
        <f t="shared" si="250"/>
        <v>0</v>
      </c>
      <c r="AZ292" s="8">
        <f t="shared" si="250"/>
        <v>1</v>
      </c>
      <c r="BA292" s="8">
        <f t="shared" si="250"/>
        <v>2</v>
      </c>
      <c r="BB292" s="8">
        <f t="shared" si="250"/>
        <v>2</v>
      </c>
      <c r="BC292" s="8">
        <f t="shared" ref="BC292" si="251">QUARTILE(BC267:BC271,2)</f>
        <v>0</v>
      </c>
    </row>
    <row r="293" spans="1:296" x14ac:dyDescent="0.25">
      <c r="B293" s="8" t="s">
        <v>94</v>
      </c>
      <c r="C293" s="8">
        <f>QUARTILE(C245:C249,3)</f>
        <v>4</v>
      </c>
      <c r="D293" s="8">
        <f t="shared" ref="D293:BB293" si="252">QUARTILE(D245:D249,3)</f>
        <v>2</v>
      </c>
      <c r="E293" s="8">
        <f t="shared" si="252"/>
        <v>11</v>
      </c>
      <c r="F293" s="8">
        <f t="shared" si="252"/>
        <v>21</v>
      </c>
      <c r="G293" s="8">
        <f t="shared" si="252"/>
        <v>57</v>
      </c>
      <c r="H293" s="8">
        <f t="shared" si="252"/>
        <v>78</v>
      </c>
      <c r="I293" s="8">
        <f t="shared" si="252"/>
        <v>97</v>
      </c>
      <c r="J293" s="8">
        <f t="shared" si="252"/>
        <v>88</v>
      </c>
      <c r="K293" s="8">
        <f t="shared" si="252"/>
        <v>78</v>
      </c>
      <c r="L293" s="8">
        <f t="shared" si="252"/>
        <v>116</v>
      </c>
      <c r="M293" s="8">
        <f t="shared" si="252"/>
        <v>130</v>
      </c>
      <c r="N293" s="8">
        <f t="shared" si="252"/>
        <v>152</v>
      </c>
      <c r="O293" s="8">
        <f t="shared" si="252"/>
        <v>128</v>
      </c>
      <c r="P293" s="8">
        <f t="shared" si="252"/>
        <v>157</v>
      </c>
      <c r="Q293" s="8">
        <f t="shared" si="252"/>
        <v>178</v>
      </c>
      <c r="R293" s="8">
        <f t="shared" si="252"/>
        <v>87</v>
      </c>
      <c r="S293" s="8">
        <f t="shared" si="252"/>
        <v>68</v>
      </c>
      <c r="T293" s="8">
        <f t="shared" si="252"/>
        <v>32</v>
      </c>
      <c r="U293" s="8">
        <f t="shared" si="252"/>
        <v>33</v>
      </c>
      <c r="V293" s="8">
        <f t="shared" si="252"/>
        <v>19</v>
      </c>
      <c r="W293" s="8">
        <f t="shared" si="252"/>
        <v>9</v>
      </c>
      <c r="X293" s="8">
        <f t="shared" si="252"/>
        <v>6</v>
      </c>
      <c r="Y293" s="8">
        <f t="shared" si="252"/>
        <v>2</v>
      </c>
      <c r="Z293" s="8">
        <f t="shared" si="252"/>
        <v>2</v>
      </c>
      <c r="AA293" s="8">
        <f t="shared" si="252"/>
        <v>2</v>
      </c>
      <c r="AB293" s="8">
        <f t="shared" si="252"/>
        <v>0</v>
      </c>
      <c r="AC293" s="8">
        <f t="shared" si="252"/>
        <v>0</v>
      </c>
      <c r="AD293" s="8">
        <f t="shared" si="252"/>
        <v>1</v>
      </c>
      <c r="AE293" s="8">
        <f t="shared" si="252"/>
        <v>0</v>
      </c>
      <c r="AF293" s="8">
        <f t="shared" si="252"/>
        <v>0</v>
      </c>
      <c r="AG293" s="8">
        <f t="shared" si="252"/>
        <v>0</v>
      </c>
      <c r="AH293" s="8">
        <f t="shared" si="252"/>
        <v>0</v>
      </c>
      <c r="AI293" s="8">
        <f t="shared" si="252"/>
        <v>0</v>
      </c>
      <c r="AJ293" s="8">
        <f t="shared" si="252"/>
        <v>0</v>
      </c>
      <c r="AK293" s="8">
        <f t="shared" si="252"/>
        <v>0</v>
      </c>
      <c r="AL293" s="8">
        <f t="shared" si="252"/>
        <v>0</v>
      </c>
      <c r="AM293" s="8">
        <f t="shared" si="252"/>
        <v>0</v>
      </c>
      <c r="AN293" s="8">
        <f t="shared" si="252"/>
        <v>0</v>
      </c>
      <c r="AO293" s="8">
        <f t="shared" si="252"/>
        <v>0</v>
      </c>
      <c r="AP293" s="8">
        <f t="shared" si="252"/>
        <v>0</v>
      </c>
      <c r="AQ293" s="8">
        <f t="shared" si="252"/>
        <v>0</v>
      </c>
      <c r="AR293" s="8">
        <f t="shared" si="252"/>
        <v>0</v>
      </c>
      <c r="AS293" s="8">
        <f t="shared" si="252"/>
        <v>0</v>
      </c>
      <c r="AT293" s="8">
        <f t="shared" si="252"/>
        <v>0</v>
      </c>
      <c r="AU293" s="8">
        <f t="shared" si="252"/>
        <v>0</v>
      </c>
      <c r="AV293" s="8">
        <f t="shared" si="252"/>
        <v>0</v>
      </c>
      <c r="AW293" s="8">
        <f t="shared" si="252"/>
        <v>0</v>
      </c>
      <c r="AX293" s="8">
        <f t="shared" si="252"/>
        <v>0</v>
      </c>
      <c r="AY293" s="8">
        <f t="shared" si="252"/>
        <v>0</v>
      </c>
      <c r="AZ293" s="8">
        <f t="shared" si="252"/>
        <v>1</v>
      </c>
      <c r="BA293" s="8">
        <f t="shared" si="252"/>
        <v>2</v>
      </c>
      <c r="BB293" s="8">
        <f t="shared" si="252"/>
        <v>2</v>
      </c>
      <c r="BC293" s="8">
        <f t="shared" ref="BC293" si="253">QUARTILE(BC267:BC271,3)</f>
        <v>13.25</v>
      </c>
    </row>
    <row r="294" spans="1:296" x14ac:dyDescent="0.25">
      <c r="A294" s="43" t="s">
        <v>96</v>
      </c>
      <c r="B294" s="44" t="s">
        <v>170</v>
      </c>
      <c r="C294" s="8">
        <f t="shared" ref="C294:AH294" si="254">B37</f>
        <v>1</v>
      </c>
      <c r="D294" s="8">
        <f t="shared" si="254"/>
        <v>2</v>
      </c>
      <c r="E294" s="8">
        <f t="shared" si="254"/>
        <v>1</v>
      </c>
      <c r="F294" s="8">
        <f t="shared" si="254"/>
        <v>0</v>
      </c>
      <c r="G294" s="8">
        <f t="shared" si="254"/>
        <v>3</v>
      </c>
      <c r="H294" s="8">
        <f t="shared" si="254"/>
        <v>1</v>
      </c>
      <c r="I294" s="8">
        <f t="shared" si="254"/>
        <v>7</v>
      </c>
      <c r="J294" s="8">
        <f t="shared" si="254"/>
        <v>2</v>
      </c>
      <c r="K294" s="8">
        <f t="shared" si="254"/>
        <v>3</v>
      </c>
      <c r="L294" s="8">
        <f t="shared" si="254"/>
        <v>1</v>
      </c>
      <c r="M294" s="8">
        <f t="shared" si="254"/>
        <v>9</v>
      </c>
      <c r="N294" s="8">
        <f t="shared" si="254"/>
        <v>12</v>
      </c>
      <c r="O294" s="8">
        <f t="shared" si="254"/>
        <v>13</v>
      </c>
      <c r="P294" s="8">
        <f t="shared" si="254"/>
        <v>43</v>
      </c>
      <c r="Q294" s="8">
        <f t="shared" si="254"/>
        <v>33</v>
      </c>
      <c r="R294" s="8">
        <f t="shared" si="254"/>
        <v>42</v>
      </c>
      <c r="S294" s="8">
        <f t="shared" si="254"/>
        <v>23</v>
      </c>
      <c r="T294" s="8">
        <f t="shared" si="254"/>
        <v>31</v>
      </c>
      <c r="U294" s="8">
        <f t="shared" si="254"/>
        <v>39</v>
      </c>
      <c r="V294" s="8">
        <f t="shared" si="254"/>
        <v>22</v>
      </c>
      <c r="W294" s="8">
        <f t="shared" si="254"/>
        <v>12</v>
      </c>
      <c r="X294" s="8">
        <f t="shared" si="254"/>
        <v>7</v>
      </c>
      <c r="Y294" s="8">
        <f t="shared" si="254"/>
        <v>1</v>
      </c>
      <c r="Z294" s="8">
        <f t="shared" si="254"/>
        <v>0</v>
      </c>
      <c r="AA294" s="8">
        <f t="shared" si="254"/>
        <v>8</v>
      </c>
      <c r="AB294" s="8">
        <f t="shared" si="254"/>
        <v>5</v>
      </c>
      <c r="AC294" s="8">
        <f t="shared" si="254"/>
        <v>1</v>
      </c>
      <c r="AD294" s="8">
        <f t="shared" si="254"/>
        <v>2</v>
      </c>
      <c r="AE294" s="8">
        <f t="shared" si="254"/>
        <v>1</v>
      </c>
      <c r="AF294" s="8">
        <f t="shared" si="254"/>
        <v>0</v>
      </c>
      <c r="AG294" s="8">
        <f t="shared" si="254"/>
        <v>0</v>
      </c>
      <c r="AH294" s="8">
        <f t="shared" si="254"/>
        <v>0</v>
      </c>
      <c r="AI294" s="8">
        <f t="shared" ref="AI294:BB294" si="255">AH37</f>
        <v>0</v>
      </c>
      <c r="AJ294" s="8">
        <f t="shared" si="255"/>
        <v>0</v>
      </c>
      <c r="AK294" s="8">
        <f t="shared" si="255"/>
        <v>0</v>
      </c>
      <c r="AL294" s="8">
        <f t="shared" si="255"/>
        <v>0</v>
      </c>
      <c r="AM294" s="8">
        <f t="shared" si="255"/>
        <v>0</v>
      </c>
      <c r="AN294" s="8">
        <f t="shared" si="255"/>
        <v>0</v>
      </c>
      <c r="AO294" s="8">
        <f t="shared" si="255"/>
        <v>0</v>
      </c>
      <c r="AP294" s="8">
        <f t="shared" si="255"/>
        <v>0</v>
      </c>
      <c r="AQ294" s="8">
        <f t="shared" si="255"/>
        <v>0</v>
      </c>
      <c r="AR294" s="8">
        <f t="shared" si="255"/>
        <v>0</v>
      </c>
      <c r="AS294" s="8">
        <f t="shared" si="255"/>
        <v>0</v>
      </c>
      <c r="AT294" s="8">
        <f t="shared" si="255"/>
        <v>0</v>
      </c>
      <c r="AU294" s="8">
        <f t="shared" si="255"/>
        <v>0</v>
      </c>
      <c r="AV294" s="8">
        <f t="shared" si="255"/>
        <v>0</v>
      </c>
      <c r="AW294" s="8">
        <f t="shared" si="255"/>
        <v>0</v>
      </c>
      <c r="AX294" s="8">
        <f t="shared" si="255"/>
        <v>0</v>
      </c>
      <c r="AY294" s="8">
        <f t="shared" si="255"/>
        <v>0</v>
      </c>
      <c r="AZ294" s="8">
        <f t="shared" si="255"/>
        <v>0</v>
      </c>
      <c r="BA294" s="8">
        <f t="shared" si="255"/>
        <v>0</v>
      </c>
      <c r="BB294" s="8">
        <f t="shared" si="255"/>
        <v>0</v>
      </c>
      <c r="BD294" s="8">
        <f>SUM(C294:BC294)</f>
        <v>325</v>
      </c>
    </row>
    <row r="296" spans="1:296" x14ac:dyDescent="0.25">
      <c r="B296" s="8" t="s">
        <v>83</v>
      </c>
    </row>
    <row r="297" spans="1:296" s="114" customFormat="1" x14ac:dyDescent="0.25">
      <c r="B297" s="54" t="s">
        <v>143</v>
      </c>
      <c r="C297" s="8" t="s">
        <v>7</v>
      </c>
      <c r="D297" s="114" t="s">
        <v>8</v>
      </c>
      <c r="E297" s="114" t="s">
        <v>9</v>
      </c>
      <c r="F297" s="114" t="s">
        <v>10</v>
      </c>
      <c r="G297" s="114" t="s">
        <v>11</v>
      </c>
      <c r="H297" s="114" t="s">
        <v>12</v>
      </c>
      <c r="I297" s="114" t="s">
        <v>13</v>
      </c>
      <c r="J297" s="114" t="s">
        <v>14</v>
      </c>
      <c r="K297" s="114" t="s">
        <v>15</v>
      </c>
      <c r="L297" s="114" t="s">
        <v>16</v>
      </c>
      <c r="M297" s="114" t="s">
        <v>17</v>
      </c>
      <c r="N297" s="114" t="s">
        <v>18</v>
      </c>
      <c r="O297" s="114" t="s">
        <v>19</v>
      </c>
      <c r="P297" s="114" t="s">
        <v>20</v>
      </c>
      <c r="Q297" s="114" t="s">
        <v>21</v>
      </c>
      <c r="R297" s="114" t="s">
        <v>22</v>
      </c>
      <c r="S297" s="114" t="s">
        <v>23</v>
      </c>
      <c r="T297" s="114" t="s">
        <v>24</v>
      </c>
      <c r="U297" s="114" t="s">
        <v>25</v>
      </c>
      <c r="V297" s="114" t="s">
        <v>26</v>
      </c>
      <c r="W297" s="114" t="s">
        <v>27</v>
      </c>
      <c r="X297" s="114" t="s">
        <v>28</v>
      </c>
      <c r="Y297" s="114" t="s">
        <v>29</v>
      </c>
      <c r="Z297" s="114" t="s">
        <v>30</v>
      </c>
      <c r="AA297" s="114" t="s">
        <v>31</v>
      </c>
      <c r="AB297" s="114" t="s">
        <v>32</v>
      </c>
      <c r="AC297" s="114">
        <v>27</v>
      </c>
      <c r="AD297" s="114" t="s">
        <v>33</v>
      </c>
      <c r="AE297" s="114" t="s">
        <v>34</v>
      </c>
      <c r="AF297" s="114">
        <v>30</v>
      </c>
      <c r="AG297" s="114">
        <v>31</v>
      </c>
      <c r="AH297" s="114" t="s">
        <v>35</v>
      </c>
      <c r="AI297" s="114" t="s">
        <v>36</v>
      </c>
      <c r="AJ297" s="114" t="s">
        <v>37</v>
      </c>
      <c r="AK297" s="114">
        <v>35</v>
      </c>
      <c r="AL297" s="114" t="s">
        <v>38</v>
      </c>
      <c r="AM297" s="114" t="s">
        <v>39</v>
      </c>
      <c r="AN297" s="114">
        <v>38</v>
      </c>
      <c r="AO297" s="114">
        <v>39</v>
      </c>
      <c r="AP297" s="114" t="s">
        <v>40</v>
      </c>
      <c r="AQ297" s="114" t="s">
        <v>41</v>
      </c>
      <c r="AR297" s="114" t="s">
        <v>42</v>
      </c>
      <c r="AS297" s="114" t="s">
        <v>43</v>
      </c>
      <c r="AT297" s="114" t="s">
        <v>44</v>
      </c>
      <c r="AU297" s="114">
        <v>45</v>
      </c>
      <c r="AV297" s="114" t="s">
        <v>45</v>
      </c>
      <c r="AW297" s="114" t="s">
        <v>46</v>
      </c>
      <c r="AX297" s="114" t="s">
        <v>47</v>
      </c>
      <c r="AY297" s="114" t="s">
        <v>48</v>
      </c>
      <c r="AZ297" s="114" t="s">
        <v>49</v>
      </c>
      <c r="BA297" s="114" t="s">
        <v>50</v>
      </c>
      <c r="BB297" s="114">
        <v>52</v>
      </c>
      <c r="BC297" s="114">
        <v>53</v>
      </c>
      <c r="JV297" s="8"/>
      <c r="KJ297" s="8"/>
    </row>
    <row r="298" spans="1:296" x14ac:dyDescent="0.25">
      <c r="B298" s="8" t="s">
        <v>92</v>
      </c>
      <c r="C298" s="8">
        <f>QUARTILE(C244:C250,1)</f>
        <v>0</v>
      </c>
      <c r="D298" s="8">
        <f t="shared" ref="D298:BC298" si="256">QUARTILE(D244:D250,1)</f>
        <v>0</v>
      </c>
      <c r="E298" s="8">
        <f t="shared" si="256"/>
        <v>0</v>
      </c>
      <c r="F298" s="8">
        <f t="shared" si="256"/>
        <v>0</v>
      </c>
      <c r="G298" s="8">
        <f t="shared" si="256"/>
        <v>0.5</v>
      </c>
      <c r="H298" s="8">
        <f t="shared" si="256"/>
        <v>0</v>
      </c>
      <c r="I298" s="8">
        <f t="shared" si="256"/>
        <v>0</v>
      </c>
      <c r="J298" s="8">
        <f t="shared" si="256"/>
        <v>1</v>
      </c>
      <c r="K298" s="8">
        <f t="shared" si="256"/>
        <v>1</v>
      </c>
      <c r="L298" s="8">
        <f t="shared" si="256"/>
        <v>0.5</v>
      </c>
      <c r="M298" s="8">
        <f t="shared" si="256"/>
        <v>0</v>
      </c>
      <c r="N298" s="8">
        <f t="shared" si="256"/>
        <v>1.5</v>
      </c>
      <c r="O298" s="8">
        <f t="shared" si="256"/>
        <v>0.5</v>
      </c>
      <c r="P298" s="8">
        <f t="shared" si="256"/>
        <v>1</v>
      </c>
      <c r="Q298" s="8">
        <f t="shared" si="256"/>
        <v>1.5</v>
      </c>
      <c r="R298" s="8">
        <f t="shared" si="256"/>
        <v>0</v>
      </c>
      <c r="S298" s="8">
        <f t="shared" si="256"/>
        <v>2.5</v>
      </c>
      <c r="T298" s="8">
        <f t="shared" si="256"/>
        <v>0.5</v>
      </c>
      <c r="U298" s="8">
        <f t="shared" si="256"/>
        <v>0.5</v>
      </c>
      <c r="V298" s="8">
        <f t="shared" si="256"/>
        <v>1.5</v>
      </c>
      <c r="W298" s="8">
        <f t="shared" si="256"/>
        <v>0</v>
      </c>
      <c r="X298" s="8">
        <f t="shared" si="256"/>
        <v>0</v>
      </c>
      <c r="Y298" s="8">
        <f t="shared" si="256"/>
        <v>0</v>
      </c>
      <c r="Z298" s="8">
        <f t="shared" si="256"/>
        <v>0</v>
      </c>
      <c r="AA298" s="8">
        <f t="shared" si="256"/>
        <v>0</v>
      </c>
      <c r="AB298" s="8">
        <f t="shared" si="256"/>
        <v>0</v>
      </c>
      <c r="AC298" s="8">
        <f t="shared" si="256"/>
        <v>0</v>
      </c>
      <c r="AD298" s="8">
        <f t="shared" si="256"/>
        <v>0</v>
      </c>
      <c r="AE298" s="8">
        <f t="shared" si="256"/>
        <v>0</v>
      </c>
      <c r="AF298" s="8">
        <f t="shared" si="256"/>
        <v>0</v>
      </c>
      <c r="AG298" s="8">
        <f t="shared" si="256"/>
        <v>0</v>
      </c>
      <c r="AH298" s="8">
        <f t="shared" si="256"/>
        <v>0</v>
      </c>
      <c r="AI298" s="8">
        <f t="shared" si="256"/>
        <v>0</v>
      </c>
      <c r="AJ298" s="8">
        <f t="shared" si="256"/>
        <v>0</v>
      </c>
      <c r="AK298" s="8">
        <f t="shared" si="256"/>
        <v>0</v>
      </c>
      <c r="AL298" s="8">
        <f t="shared" si="256"/>
        <v>0</v>
      </c>
      <c r="AM298" s="8">
        <f t="shared" si="256"/>
        <v>0</v>
      </c>
      <c r="AN298" s="8">
        <f t="shared" si="256"/>
        <v>0</v>
      </c>
      <c r="AO298" s="8">
        <f t="shared" si="256"/>
        <v>0</v>
      </c>
      <c r="AP298" s="8">
        <f t="shared" si="256"/>
        <v>0</v>
      </c>
      <c r="AQ298" s="8">
        <f t="shared" si="256"/>
        <v>0</v>
      </c>
      <c r="AR298" s="8">
        <f t="shared" si="256"/>
        <v>0</v>
      </c>
      <c r="AS298" s="8">
        <f t="shared" si="256"/>
        <v>0</v>
      </c>
      <c r="AT298" s="8">
        <f t="shared" si="256"/>
        <v>0</v>
      </c>
      <c r="AU298" s="8">
        <f t="shared" si="256"/>
        <v>0</v>
      </c>
      <c r="AV298" s="8">
        <f t="shared" si="256"/>
        <v>0</v>
      </c>
      <c r="AW298" s="8">
        <f t="shared" si="256"/>
        <v>0</v>
      </c>
      <c r="AX298" s="8">
        <f t="shared" si="256"/>
        <v>0</v>
      </c>
      <c r="AY298" s="8">
        <f t="shared" si="256"/>
        <v>0</v>
      </c>
      <c r="AZ298" s="8">
        <f t="shared" si="256"/>
        <v>0</v>
      </c>
      <c r="BA298" s="8">
        <f t="shared" si="256"/>
        <v>0</v>
      </c>
      <c r="BB298" s="8">
        <f t="shared" si="256"/>
        <v>0</v>
      </c>
      <c r="BC298" s="8">
        <f t="shared" si="256"/>
        <v>0</v>
      </c>
    </row>
    <row r="299" spans="1:296" x14ac:dyDescent="0.25">
      <c r="B299" s="8" t="s">
        <v>93</v>
      </c>
      <c r="C299" s="8">
        <f>QUARTILE(C244:C250,2)</f>
        <v>1</v>
      </c>
      <c r="D299" s="8">
        <f t="shared" ref="D299:BC299" si="257">QUARTILE(D244:D250,2)</f>
        <v>2</v>
      </c>
      <c r="E299" s="8">
        <f t="shared" si="257"/>
        <v>1</v>
      </c>
      <c r="F299" s="8">
        <f t="shared" si="257"/>
        <v>0</v>
      </c>
      <c r="G299" s="8">
        <f t="shared" si="257"/>
        <v>1</v>
      </c>
      <c r="H299" s="8">
        <f t="shared" si="257"/>
        <v>1</v>
      </c>
      <c r="I299" s="8">
        <f t="shared" si="257"/>
        <v>1</v>
      </c>
      <c r="J299" s="8">
        <f t="shared" si="257"/>
        <v>2</v>
      </c>
      <c r="K299" s="8">
        <f t="shared" si="257"/>
        <v>3</v>
      </c>
      <c r="L299" s="8">
        <f t="shared" si="257"/>
        <v>1</v>
      </c>
      <c r="M299" s="8">
        <f t="shared" si="257"/>
        <v>9</v>
      </c>
      <c r="N299" s="8">
        <f t="shared" si="257"/>
        <v>8</v>
      </c>
      <c r="O299" s="8">
        <f t="shared" si="257"/>
        <v>3</v>
      </c>
      <c r="P299" s="8">
        <f t="shared" si="257"/>
        <v>6</v>
      </c>
      <c r="Q299" s="8">
        <f t="shared" si="257"/>
        <v>3</v>
      </c>
      <c r="R299" s="8">
        <f t="shared" si="257"/>
        <v>4</v>
      </c>
      <c r="S299" s="8">
        <f t="shared" si="257"/>
        <v>13</v>
      </c>
      <c r="T299" s="8">
        <f t="shared" si="257"/>
        <v>4</v>
      </c>
      <c r="U299" s="8">
        <f t="shared" si="257"/>
        <v>8</v>
      </c>
      <c r="V299" s="8">
        <f t="shared" si="257"/>
        <v>6</v>
      </c>
      <c r="W299" s="8">
        <f t="shared" si="257"/>
        <v>0</v>
      </c>
      <c r="X299" s="8">
        <f t="shared" si="257"/>
        <v>0</v>
      </c>
      <c r="Y299" s="8">
        <f t="shared" si="257"/>
        <v>0</v>
      </c>
      <c r="Z299" s="8">
        <f t="shared" si="257"/>
        <v>0</v>
      </c>
      <c r="AA299" s="8">
        <f t="shared" si="257"/>
        <v>0</v>
      </c>
      <c r="AB299" s="8">
        <f t="shared" si="257"/>
        <v>0</v>
      </c>
      <c r="AC299" s="8">
        <f t="shared" si="257"/>
        <v>0</v>
      </c>
      <c r="AD299" s="8">
        <f t="shared" si="257"/>
        <v>0</v>
      </c>
      <c r="AE299" s="8">
        <f t="shared" si="257"/>
        <v>0</v>
      </c>
      <c r="AF299" s="8">
        <f t="shared" si="257"/>
        <v>0</v>
      </c>
      <c r="AG299" s="8">
        <f t="shared" si="257"/>
        <v>0</v>
      </c>
      <c r="AH299" s="8">
        <f t="shared" si="257"/>
        <v>0</v>
      </c>
      <c r="AI299" s="8">
        <f t="shared" si="257"/>
        <v>0</v>
      </c>
      <c r="AJ299" s="8">
        <f t="shared" si="257"/>
        <v>0</v>
      </c>
      <c r="AK299" s="8">
        <f t="shared" si="257"/>
        <v>0</v>
      </c>
      <c r="AL299" s="8">
        <f t="shared" si="257"/>
        <v>0</v>
      </c>
      <c r="AM299" s="8">
        <f t="shared" si="257"/>
        <v>0</v>
      </c>
      <c r="AN299" s="8">
        <f t="shared" si="257"/>
        <v>0</v>
      </c>
      <c r="AO299" s="8">
        <f t="shared" si="257"/>
        <v>0</v>
      </c>
      <c r="AP299" s="8">
        <f t="shared" si="257"/>
        <v>0</v>
      </c>
      <c r="AQ299" s="8">
        <f t="shared" si="257"/>
        <v>0</v>
      </c>
      <c r="AR299" s="8">
        <f t="shared" si="257"/>
        <v>0</v>
      </c>
      <c r="AS299" s="8">
        <f t="shared" si="257"/>
        <v>0</v>
      </c>
      <c r="AT299" s="8">
        <f t="shared" si="257"/>
        <v>0</v>
      </c>
      <c r="AU299" s="8">
        <f t="shared" si="257"/>
        <v>0</v>
      </c>
      <c r="AV299" s="8">
        <f t="shared" si="257"/>
        <v>0</v>
      </c>
      <c r="AW299" s="8">
        <f t="shared" si="257"/>
        <v>0</v>
      </c>
      <c r="AX299" s="8">
        <f t="shared" si="257"/>
        <v>0</v>
      </c>
      <c r="AY299" s="8">
        <f t="shared" si="257"/>
        <v>0</v>
      </c>
      <c r="AZ299" s="8">
        <f t="shared" si="257"/>
        <v>0</v>
      </c>
      <c r="BA299" s="8">
        <f t="shared" si="257"/>
        <v>1</v>
      </c>
      <c r="BB299" s="8">
        <f t="shared" si="257"/>
        <v>0</v>
      </c>
      <c r="BC299" s="8">
        <f t="shared" si="257"/>
        <v>0</v>
      </c>
    </row>
    <row r="300" spans="1:296" x14ac:dyDescent="0.25">
      <c r="B300" s="8" t="s">
        <v>94</v>
      </c>
      <c r="C300" s="8">
        <f>QUARTILE(C244:C250,3)</f>
        <v>2.5</v>
      </c>
      <c r="D300" s="8">
        <f t="shared" ref="D300:BC300" si="258">QUARTILE(D244:D250,3)</f>
        <v>2</v>
      </c>
      <c r="E300" s="8">
        <f t="shared" si="258"/>
        <v>7</v>
      </c>
      <c r="F300" s="8">
        <f t="shared" si="258"/>
        <v>11</v>
      </c>
      <c r="G300" s="8">
        <f t="shared" si="258"/>
        <v>30</v>
      </c>
      <c r="H300" s="8">
        <f t="shared" si="258"/>
        <v>39.5</v>
      </c>
      <c r="I300" s="8">
        <f t="shared" si="258"/>
        <v>52</v>
      </c>
      <c r="J300" s="8">
        <f t="shared" si="258"/>
        <v>46</v>
      </c>
      <c r="K300" s="8">
        <f t="shared" si="258"/>
        <v>43.5</v>
      </c>
      <c r="L300" s="8">
        <f t="shared" si="258"/>
        <v>65</v>
      </c>
      <c r="M300" s="8">
        <f t="shared" si="258"/>
        <v>72.5</v>
      </c>
      <c r="N300" s="8">
        <f t="shared" si="258"/>
        <v>82</v>
      </c>
      <c r="O300" s="8">
        <f t="shared" si="258"/>
        <v>70.5</v>
      </c>
      <c r="P300" s="8">
        <f t="shared" si="258"/>
        <v>100</v>
      </c>
      <c r="Q300" s="8">
        <f t="shared" si="258"/>
        <v>105.5</v>
      </c>
      <c r="R300" s="8">
        <f t="shared" si="258"/>
        <v>64.5</v>
      </c>
      <c r="S300" s="8">
        <f t="shared" si="258"/>
        <v>45.5</v>
      </c>
      <c r="T300" s="8">
        <f t="shared" si="258"/>
        <v>31.5</v>
      </c>
      <c r="U300" s="8">
        <f t="shared" si="258"/>
        <v>35</v>
      </c>
      <c r="V300" s="8">
        <f t="shared" si="258"/>
        <v>20.5</v>
      </c>
      <c r="W300" s="8">
        <f t="shared" si="258"/>
        <v>10.5</v>
      </c>
      <c r="X300" s="8">
        <f t="shared" si="258"/>
        <v>6.5</v>
      </c>
      <c r="Y300" s="8">
        <f t="shared" si="258"/>
        <v>1.5</v>
      </c>
      <c r="Z300" s="8">
        <f t="shared" si="258"/>
        <v>1.5</v>
      </c>
      <c r="AA300" s="8">
        <f t="shared" si="258"/>
        <v>2</v>
      </c>
      <c r="AB300" s="8">
        <f t="shared" si="258"/>
        <v>1.5</v>
      </c>
      <c r="AC300" s="8">
        <f t="shared" si="258"/>
        <v>0.5</v>
      </c>
      <c r="AD300" s="8">
        <f t="shared" si="258"/>
        <v>1.5</v>
      </c>
      <c r="AE300" s="8">
        <f t="shared" si="258"/>
        <v>0</v>
      </c>
      <c r="AF300" s="8">
        <f t="shared" si="258"/>
        <v>0</v>
      </c>
      <c r="AG300" s="8">
        <f t="shared" si="258"/>
        <v>0</v>
      </c>
      <c r="AH300" s="8">
        <f t="shared" si="258"/>
        <v>0</v>
      </c>
      <c r="AI300" s="8">
        <f t="shared" si="258"/>
        <v>0</v>
      </c>
      <c r="AJ300" s="8">
        <f t="shared" si="258"/>
        <v>0</v>
      </c>
      <c r="AK300" s="8">
        <f t="shared" si="258"/>
        <v>0</v>
      </c>
      <c r="AL300" s="8">
        <f t="shared" si="258"/>
        <v>0</v>
      </c>
      <c r="AM300" s="8">
        <f t="shared" si="258"/>
        <v>0</v>
      </c>
      <c r="AN300" s="8">
        <f t="shared" si="258"/>
        <v>0</v>
      </c>
      <c r="AO300" s="8">
        <f t="shared" si="258"/>
        <v>0</v>
      </c>
      <c r="AP300" s="8">
        <f t="shared" si="258"/>
        <v>0</v>
      </c>
      <c r="AQ300" s="8">
        <f t="shared" si="258"/>
        <v>0</v>
      </c>
      <c r="AR300" s="8">
        <f t="shared" si="258"/>
        <v>0</v>
      </c>
      <c r="AS300" s="8">
        <f t="shared" si="258"/>
        <v>0</v>
      </c>
      <c r="AT300" s="8">
        <f t="shared" si="258"/>
        <v>0</v>
      </c>
      <c r="AU300" s="8">
        <f t="shared" si="258"/>
        <v>0</v>
      </c>
      <c r="AV300" s="8">
        <f t="shared" si="258"/>
        <v>0</v>
      </c>
      <c r="AW300" s="8">
        <f t="shared" si="258"/>
        <v>0</v>
      </c>
      <c r="AX300" s="8">
        <f t="shared" si="258"/>
        <v>0</v>
      </c>
      <c r="AY300" s="8">
        <f t="shared" si="258"/>
        <v>0</v>
      </c>
      <c r="AZ300" s="8">
        <f t="shared" si="258"/>
        <v>1</v>
      </c>
      <c r="BA300" s="8">
        <f t="shared" si="258"/>
        <v>2</v>
      </c>
      <c r="BB300" s="8">
        <f t="shared" si="258"/>
        <v>2</v>
      </c>
      <c r="BC300" s="8">
        <f t="shared" si="258"/>
        <v>0</v>
      </c>
    </row>
    <row r="301" spans="1:296" x14ac:dyDescent="0.25">
      <c r="A301" s="43" t="s">
        <v>96</v>
      </c>
      <c r="B301" s="44" t="s">
        <v>187</v>
      </c>
      <c r="C301" s="8">
        <f t="shared" ref="C301:AE301" si="259">B41</f>
        <v>0</v>
      </c>
      <c r="D301" s="8">
        <f t="shared" si="259"/>
        <v>0</v>
      </c>
      <c r="E301" s="8">
        <f t="shared" si="259"/>
        <v>0</v>
      </c>
      <c r="F301" s="8">
        <f t="shared" si="259"/>
        <v>1</v>
      </c>
      <c r="G301" s="8">
        <f t="shared" si="259"/>
        <v>0</v>
      </c>
      <c r="H301" s="8">
        <f t="shared" si="259"/>
        <v>0</v>
      </c>
      <c r="I301" s="8">
        <f t="shared" si="259"/>
        <v>1</v>
      </c>
      <c r="J301" s="8">
        <f t="shared" si="259"/>
        <v>2</v>
      </c>
      <c r="K301" s="8">
        <f t="shared" si="259"/>
        <v>4</v>
      </c>
      <c r="L301" s="8">
        <f t="shared" si="259"/>
        <v>5</v>
      </c>
      <c r="M301" s="8">
        <f t="shared" si="259"/>
        <v>13</v>
      </c>
      <c r="N301" s="8">
        <f t="shared" si="259"/>
        <v>12</v>
      </c>
      <c r="O301" s="8">
        <f t="shared" si="259"/>
        <v>20</v>
      </c>
      <c r="P301" s="8">
        <f t="shared" si="259"/>
        <v>18</v>
      </c>
      <c r="Q301" s="8">
        <f t="shared" si="259"/>
        <v>12</v>
      </c>
      <c r="R301" s="8">
        <f t="shared" si="259"/>
        <v>5</v>
      </c>
      <c r="S301" s="8">
        <f t="shared" si="259"/>
        <v>3</v>
      </c>
      <c r="T301" s="8">
        <f t="shared" si="259"/>
        <v>4</v>
      </c>
      <c r="U301" s="8">
        <f t="shared" si="259"/>
        <v>5</v>
      </c>
      <c r="V301" s="8">
        <f t="shared" si="259"/>
        <v>7</v>
      </c>
      <c r="W301" s="8">
        <f t="shared" si="259"/>
        <v>4</v>
      </c>
      <c r="X301" s="8">
        <f t="shared" si="259"/>
        <v>4</v>
      </c>
      <c r="Y301" s="8">
        <f t="shared" si="259"/>
        <v>1</v>
      </c>
      <c r="Z301" s="8">
        <f t="shared" si="259"/>
        <v>0</v>
      </c>
      <c r="AA301" s="8">
        <f t="shared" si="259"/>
        <v>0</v>
      </c>
      <c r="AB301" s="8">
        <f t="shared" si="259"/>
        <v>0</v>
      </c>
      <c r="AC301" s="8">
        <f t="shared" si="259"/>
        <v>1</v>
      </c>
      <c r="AD301" s="8">
        <f t="shared" si="259"/>
        <v>1</v>
      </c>
      <c r="AE301" s="8">
        <f t="shared" si="259"/>
        <v>0</v>
      </c>
      <c r="AF301" s="8">
        <f t="shared" ref="AF301:AX301" si="260">AE41</f>
        <v>0</v>
      </c>
      <c r="AG301" s="8">
        <f t="shared" si="260"/>
        <v>0</v>
      </c>
      <c r="AH301" s="8">
        <f t="shared" si="260"/>
        <v>0</v>
      </c>
      <c r="AI301" s="8">
        <f t="shared" si="260"/>
        <v>0</v>
      </c>
      <c r="AJ301" s="8">
        <f t="shared" si="260"/>
        <v>0</v>
      </c>
      <c r="AK301" s="8">
        <f t="shared" si="260"/>
        <v>0</v>
      </c>
      <c r="AL301" s="8">
        <f t="shared" si="260"/>
        <v>0</v>
      </c>
      <c r="AM301" s="8">
        <f t="shared" si="260"/>
        <v>0</v>
      </c>
      <c r="AN301" s="8">
        <f t="shared" si="260"/>
        <v>0</v>
      </c>
      <c r="AO301" s="8">
        <f t="shared" si="260"/>
        <v>0</v>
      </c>
      <c r="AP301" s="8">
        <f t="shared" si="260"/>
        <v>0</v>
      </c>
      <c r="AQ301" s="8">
        <f t="shared" si="260"/>
        <v>0</v>
      </c>
      <c r="AR301" s="8">
        <f t="shared" si="260"/>
        <v>0</v>
      </c>
      <c r="AS301" s="8">
        <f t="shared" si="260"/>
        <v>0</v>
      </c>
      <c r="AT301" s="8">
        <f t="shared" si="260"/>
        <v>0</v>
      </c>
      <c r="AU301" s="8">
        <f t="shared" si="260"/>
        <v>0</v>
      </c>
      <c r="AV301" s="8">
        <f t="shared" si="260"/>
        <v>0</v>
      </c>
      <c r="AW301" s="8">
        <f t="shared" si="260"/>
        <v>0</v>
      </c>
      <c r="AX301" s="8">
        <f t="shared" si="260"/>
        <v>0</v>
      </c>
      <c r="AY301" s="8"/>
      <c r="AZ301" s="8"/>
      <c r="BA301" s="8"/>
      <c r="BB301" s="8"/>
      <c r="BD301" s="8">
        <f>SUM(C301:BC301)</f>
        <v>123</v>
      </c>
    </row>
    <row r="306" spans="1:296" x14ac:dyDescent="0.25">
      <c r="B306" s="8" t="s">
        <v>172</v>
      </c>
    </row>
    <row r="307" spans="1:296" s="114" customFormat="1" x14ac:dyDescent="0.25">
      <c r="B307" s="54" t="s">
        <v>143</v>
      </c>
      <c r="C307" s="8" t="s">
        <v>7</v>
      </c>
      <c r="D307" s="114" t="s">
        <v>8</v>
      </c>
      <c r="E307" s="114" t="s">
        <v>9</v>
      </c>
      <c r="F307" s="114" t="s">
        <v>10</v>
      </c>
      <c r="G307" s="114" t="s">
        <v>11</v>
      </c>
      <c r="H307" s="114" t="s">
        <v>12</v>
      </c>
      <c r="I307" s="114" t="s">
        <v>13</v>
      </c>
      <c r="J307" s="114" t="s">
        <v>14</v>
      </c>
      <c r="K307" s="114" t="s">
        <v>15</v>
      </c>
      <c r="L307" s="114" t="s">
        <v>16</v>
      </c>
      <c r="M307" s="114" t="s">
        <v>17</v>
      </c>
      <c r="N307" s="114" t="s">
        <v>18</v>
      </c>
      <c r="O307" s="114" t="s">
        <v>19</v>
      </c>
      <c r="P307" s="114" t="s">
        <v>20</v>
      </c>
      <c r="Q307" s="114" t="s">
        <v>21</v>
      </c>
      <c r="R307" s="114" t="s">
        <v>22</v>
      </c>
      <c r="S307" s="114" t="s">
        <v>23</v>
      </c>
      <c r="T307" s="114" t="s">
        <v>24</v>
      </c>
      <c r="U307" s="114" t="s">
        <v>25</v>
      </c>
      <c r="V307" s="114" t="s">
        <v>26</v>
      </c>
      <c r="W307" s="114" t="s">
        <v>27</v>
      </c>
      <c r="X307" s="114" t="s">
        <v>28</v>
      </c>
      <c r="Y307" s="114" t="s">
        <v>29</v>
      </c>
      <c r="Z307" s="114" t="s">
        <v>30</v>
      </c>
      <c r="AA307" s="114" t="s">
        <v>31</v>
      </c>
      <c r="AB307" s="114" t="s">
        <v>32</v>
      </c>
      <c r="AC307" s="114">
        <v>27</v>
      </c>
      <c r="AD307" s="114" t="s">
        <v>33</v>
      </c>
      <c r="AE307" s="114" t="s">
        <v>34</v>
      </c>
      <c r="AF307" s="114">
        <v>30</v>
      </c>
      <c r="AG307" s="114">
        <v>31</v>
      </c>
      <c r="AH307" s="114" t="s">
        <v>35</v>
      </c>
      <c r="AI307" s="114" t="s">
        <v>36</v>
      </c>
      <c r="AJ307" s="114" t="s">
        <v>37</v>
      </c>
      <c r="AK307" s="114">
        <v>35</v>
      </c>
      <c r="AL307" s="114" t="s">
        <v>38</v>
      </c>
      <c r="AM307" s="114" t="s">
        <v>39</v>
      </c>
      <c r="AN307" s="114">
        <v>38</v>
      </c>
      <c r="AO307" s="114">
        <v>39</v>
      </c>
      <c r="AP307" s="114" t="s">
        <v>40</v>
      </c>
      <c r="AQ307" s="114" t="s">
        <v>41</v>
      </c>
      <c r="AR307" s="114" t="s">
        <v>42</v>
      </c>
      <c r="AS307" s="114" t="s">
        <v>43</v>
      </c>
      <c r="AT307" s="114" t="s">
        <v>44</v>
      </c>
      <c r="AU307" s="114">
        <v>45</v>
      </c>
      <c r="AV307" s="114" t="s">
        <v>45</v>
      </c>
      <c r="AW307" s="114" t="s">
        <v>46</v>
      </c>
      <c r="AX307" s="114" t="s">
        <v>47</v>
      </c>
      <c r="AY307" s="114" t="s">
        <v>48</v>
      </c>
      <c r="AZ307" s="114" t="s">
        <v>49</v>
      </c>
      <c r="BA307" s="114" t="s">
        <v>50</v>
      </c>
      <c r="BB307" s="114">
        <v>52</v>
      </c>
      <c r="BC307" s="114">
        <v>53</v>
      </c>
      <c r="JV307" s="8"/>
      <c r="KJ307" s="8"/>
    </row>
    <row r="308" spans="1:296" x14ac:dyDescent="0.25">
      <c r="B308" s="8" t="s">
        <v>92</v>
      </c>
      <c r="C308" s="8">
        <f>QUARTILE(C255:C259,1)</f>
        <v>0</v>
      </c>
      <c r="D308" s="8">
        <f t="shared" ref="D308:BB308" si="261">QUARTILE(D255:D259,1)</f>
        <v>0</v>
      </c>
      <c r="E308" s="8">
        <f t="shared" si="261"/>
        <v>0</v>
      </c>
      <c r="F308" s="8">
        <f t="shared" si="261"/>
        <v>0</v>
      </c>
      <c r="G308" s="8">
        <f t="shared" si="261"/>
        <v>0</v>
      </c>
      <c r="H308" s="8">
        <f t="shared" si="261"/>
        <v>0</v>
      </c>
      <c r="I308" s="8">
        <f t="shared" si="261"/>
        <v>0</v>
      </c>
      <c r="J308" s="8">
        <f t="shared" si="261"/>
        <v>0</v>
      </c>
      <c r="K308" s="8">
        <f t="shared" si="261"/>
        <v>0</v>
      </c>
      <c r="L308" s="8">
        <f t="shared" si="261"/>
        <v>0</v>
      </c>
      <c r="M308" s="8">
        <f t="shared" si="261"/>
        <v>0</v>
      </c>
      <c r="N308" s="8">
        <f t="shared" si="261"/>
        <v>0</v>
      </c>
      <c r="O308" s="8">
        <f t="shared" si="261"/>
        <v>0</v>
      </c>
      <c r="P308" s="8">
        <f t="shared" si="261"/>
        <v>1</v>
      </c>
      <c r="Q308" s="8">
        <f t="shared" si="261"/>
        <v>0</v>
      </c>
      <c r="R308" s="8">
        <f t="shared" si="261"/>
        <v>0</v>
      </c>
      <c r="S308" s="8">
        <f t="shared" si="261"/>
        <v>0</v>
      </c>
      <c r="T308" s="8">
        <f t="shared" si="261"/>
        <v>0</v>
      </c>
      <c r="U308" s="8">
        <f t="shared" si="261"/>
        <v>0</v>
      </c>
      <c r="V308" s="8">
        <f t="shared" si="261"/>
        <v>0</v>
      </c>
      <c r="W308" s="8">
        <f t="shared" si="261"/>
        <v>0</v>
      </c>
      <c r="X308" s="8">
        <f t="shared" si="261"/>
        <v>0</v>
      </c>
      <c r="Y308" s="8">
        <f t="shared" si="261"/>
        <v>0</v>
      </c>
      <c r="Z308" s="8">
        <f t="shared" si="261"/>
        <v>0</v>
      </c>
      <c r="AA308" s="8">
        <f t="shared" si="261"/>
        <v>0</v>
      </c>
      <c r="AB308" s="8">
        <f t="shared" si="261"/>
        <v>0</v>
      </c>
      <c r="AC308" s="8">
        <f t="shared" si="261"/>
        <v>0</v>
      </c>
      <c r="AD308" s="8">
        <f t="shared" si="261"/>
        <v>0</v>
      </c>
      <c r="AE308" s="8">
        <f t="shared" si="261"/>
        <v>0</v>
      </c>
      <c r="AF308" s="8">
        <f t="shared" si="261"/>
        <v>0</v>
      </c>
      <c r="AG308" s="8">
        <f t="shared" si="261"/>
        <v>0</v>
      </c>
      <c r="AH308" s="8">
        <f t="shared" si="261"/>
        <v>0</v>
      </c>
      <c r="AI308" s="8">
        <f t="shared" si="261"/>
        <v>0</v>
      </c>
      <c r="AJ308" s="8">
        <f t="shared" si="261"/>
        <v>0</v>
      </c>
      <c r="AK308" s="8">
        <f t="shared" si="261"/>
        <v>0</v>
      </c>
      <c r="AL308" s="8">
        <f t="shared" si="261"/>
        <v>0</v>
      </c>
      <c r="AM308" s="8">
        <f t="shared" si="261"/>
        <v>0</v>
      </c>
      <c r="AN308" s="8">
        <f t="shared" si="261"/>
        <v>0</v>
      </c>
      <c r="AO308" s="8">
        <f t="shared" si="261"/>
        <v>0</v>
      </c>
      <c r="AP308" s="8">
        <f t="shared" si="261"/>
        <v>0</v>
      </c>
      <c r="AQ308" s="8">
        <f t="shared" si="261"/>
        <v>0</v>
      </c>
      <c r="AR308" s="8">
        <f t="shared" si="261"/>
        <v>0</v>
      </c>
      <c r="AS308" s="8">
        <f t="shared" si="261"/>
        <v>0</v>
      </c>
      <c r="AT308" s="8">
        <f t="shared" si="261"/>
        <v>0</v>
      </c>
      <c r="AU308" s="8">
        <f t="shared" si="261"/>
        <v>0</v>
      </c>
      <c r="AV308" s="8">
        <f t="shared" si="261"/>
        <v>0</v>
      </c>
      <c r="AW308" s="8">
        <f t="shared" si="261"/>
        <v>0</v>
      </c>
      <c r="AX308" s="8">
        <f t="shared" si="261"/>
        <v>0</v>
      </c>
      <c r="AY308" s="8">
        <f t="shared" si="261"/>
        <v>0</v>
      </c>
      <c r="AZ308" s="8">
        <f t="shared" si="261"/>
        <v>0</v>
      </c>
      <c r="BA308" s="8">
        <f t="shared" si="261"/>
        <v>0</v>
      </c>
      <c r="BB308" s="8">
        <f t="shared" si="261"/>
        <v>0</v>
      </c>
      <c r="BC308" s="8">
        <f t="shared" ref="BC308" si="262">QUARTILE(BC276:BC280,1)</f>
        <v>0</v>
      </c>
    </row>
    <row r="309" spans="1:296" x14ac:dyDescent="0.25">
      <c r="B309" s="8" t="s">
        <v>93</v>
      </c>
      <c r="C309" s="8">
        <f>QUARTILE(C255:C259,2)</f>
        <v>0</v>
      </c>
      <c r="D309" s="8">
        <f t="shared" ref="D309:BB309" si="263">QUARTILE(D255:D259,2)</f>
        <v>0</v>
      </c>
      <c r="E309" s="8">
        <f t="shared" si="263"/>
        <v>0</v>
      </c>
      <c r="F309" s="8">
        <f t="shared" si="263"/>
        <v>0</v>
      </c>
      <c r="G309" s="8">
        <f t="shared" si="263"/>
        <v>1</v>
      </c>
      <c r="H309" s="8">
        <f t="shared" si="263"/>
        <v>0</v>
      </c>
      <c r="I309" s="8">
        <f t="shared" si="263"/>
        <v>0</v>
      </c>
      <c r="J309" s="8">
        <f t="shared" si="263"/>
        <v>0</v>
      </c>
      <c r="K309" s="8">
        <f t="shared" si="263"/>
        <v>2</v>
      </c>
      <c r="L309" s="8">
        <f t="shared" si="263"/>
        <v>0</v>
      </c>
      <c r="M309" s="8">
        <f t="shared" si="263"/>
        <v>3</v>
      </c>
      <c r="N309" s="8">
        <f t="shared" si="263"/>
        <v>4</v>
      </c>
      <c r="O309" s="8">
        <f t="shared" si="263"/>
        <v>1</v>
      </c>
      <c r="P309" s="8">
        <f t="shared" si="263"/>
        <v>1</v>
      </c>
      <c r="Q309" s="8">
        <f t="shared" si="263"/>
        <v>1</v>
      </c>
      <c r="R309" s="8">
        <f t="shared" si="263"/>
        <v>0</v>
      </c>
      <c r="S309" s="8">
        <f t="shared" si="263"/>
        <v>0</v>
      </c>
      <c r="T309" s="8">
        <f t="shared" si="263"/>
        <v>1</v>
      </c>
      <c r="U309" s="8">
        <f t="shared" si="263"/>
        <v>1</v>
      </c>
      <c r="V309" s="8">
        <f t="shared" si="263"/>
        <v>0</v>
      </c>
      <c r="W309" s="8">
        <f t="shared" si="263"/>
        <v>0</v>
      </c>
      <c r="X309" s="8">
        <f t="shared" si="263"/>
        <v>0</v>
      </c>
      <c r="Y309" s="8">
        <f t="shared" si="263"/>
        <v>0</v>
      </c>
      <c r="Z309" s="8">
        <f t="shared" si="263"/>
        <v>0</v>
      </c>
      <c r="AA309" s="8">
        <f t="shared" si="263"/>
        <v>0</v>
      </c>
      <c r="AB309" s="8">
        <f t="shared" si="263"/>
        <v>0</v>
      </c>
      <c r="AC309" s="8">
        <f t="shared" si="263"/>
        <v>0</v>
      </c>
      <c r="AD309" s="8">
        <f t="shared" si="263"/>
        <v>0</v>
      </c>
      <c r="AE309" s="8">
        <f t="shared" si="263"/>
        <v>0</v>
      </c>
      <c r="AF309" s="8">
        <f t="shared" si="263"/>
        <v>0</v>
      </c>
      <c r="AG309" s="8">
        <f t="shared" si="263"/>
        <v>0</v>
      </c>
      <c r="AH309" s="8">
        <f t="shared" si="263"/>
        <v>0</v>
      </c>
      <c r="AI309" s="8">
        <f t="shared" si="263"/>
        <v>0</v>
      </c>
      <c r="AJ309" s="8">
        <f t="shared" si="263"/>
        <v>0</v>
      </c>
      <c r="AK309" s="8">
        <f t="shared" si="263"/>
        <v>0</v>
      </c>
      <c r="AL309" s="8">
        <f t="shared" si="263"/>
        <v>0</v>
      </c>
      <c r="AM309" s="8">
        <f t="shared" si="263"/>
        <v>0</v>
      </c>
      <c r="AN309" s="8">
        <f t="shared" si="263"/>
        <v>0</v>
      </c>
      <c r="AO309" s="8">
        <f t="shared" si="263"/>
        <v>0</v>
      </c>
      <c r="AP309" s="8">
        <f t="shared" si="263"/>
        <v>0</v>
      </c>
      <c r="AQ309" s="8">
        <f t="shared" si="263"/>
        <v>0</v>
      </c>
      <c r="AR309" s="8">
        <f t="shared" si="263"/>
        <v>0</v>
      </c>
      <c r="AS309" s="8">
        <f t="shared" si="263"/>
        <v>0</v>
      </c>
      <c r="AT309" s="8">
        <f t="shared" si="263"/>
        <v>0</v>
      </c>
      <c r="AU309" s="8">
        <f t="shared" si="263"/>
        <v>0</v>
      </c>
      <c r="AV309" s="8">
        <f t="shared" si="263"/>
        <v>0</v>
      </c>
      <c r="AW309" s="8">
        <f t="shared" si="263"/>
        <v>0</v>
      </c>
      <c r="AX309" s="8">
        <f t="shared" si="263"/>
        <v>0</v>
      </c>
      <c r="AY309" s="8">
        <f t="shared" si="263"/>
        <v>0</v>
      </c>
      <c r="AZ309" s="8">
        <f t="shared" si="263"/>
        <v>0</v>
      </c>
      <c r="BA309" s="8">
        <f t="shared" si="263"/>
        <v>1</v>
      </c>
      <c r="BB309" s="8">
        <f t="shared" si="263"/>
        <v>0</v>
      </c>
      <c r="BC309" s="8">
        <f t="shared" ref="BC309" si="264">QUARTILE(BC276:BC280,2)</f>
        <v>0</v>
      </c>
    </row>
    <row r="310" spans="1:296" x14ac:dyDescent="0.25">
      <c r="B310" s="8" t="s">
        <v>94</v>
      </c>
      <c r="C310" s="8">
        <f>QUARTILE(C255:C259,3)</f>
        <v>0</v>
      </c>
      <c r="D310" s="8">
        <f t="shared" ref="D310:BB310" si="265">QUARTILE(D255:D259,3)</f>
        <v>0</v>
      </c>
      <c r="E310" s="8">
        <f t="shared" si="265"/>
        <v>3</v>
      </c>
      <c r="F310" s="8">
        <f t="shared" si="265"/>
        <v>8</v>
      </c>
      <c r="G310" s="8">
        <f t="shared" si="265"/>
        <v>17</v>
      </c>
      <c r="H310" s="8">
        <f t="shared" si="265"/>
        <v>31</v>
      </c>
      <c r="I310" s="8">
        <f t="shared" si="265"/>
        <v>28</v>
      </c>
      <c r="J310" s="8">
        <f t="shared" si="265"/>
        <v>18</v>
      </c>
      <c r="K310" s="8">
        <f t="shared" si="265"/>
        <v>16</v>
      </c>
      <c r="L310" s="8">
        <f t="shared" si="265"/>
        <v>15</v>
      </c>
      <c r="M310" s="8">
        <f t="shared" si="265"/>
        <v>16</v>
      </c>
      <c r="N310" s="8">
        <f t="shared" si="265"/>
        <v>20</v>
      </c>
      <c r="O310" s="8">
        <f t="shared" si="265"/>
        <v>15</v>
      </c>
      <c r="P310" s="8">
        <f t="shared" si="265"/>
        <v>14</v>
      </c>
      <c r="Q310" s="8">
        <f t="shared" si="265"/>
        <v>12</v>
      </c>
      <c r="R310" s="8">
        <f t="shared" si="265"/>
        <v>14</v>
      </c>
      <c r="S310" s="8">
        <f t="shared" si="265"/>
        <v>20</v>
      </c>
      <c r="T310" s="8">
        <f t="shared" si="265"/>
        <v>7</v>
      </c>
      <c r="U310" s="8">
        <f t="shared" si="265"/>
        <v>5</v>
      </c>
      <c r="V310" s="8">
        <f t="shared" si="265"/>
        <v>0</v>
      </c>
      <c r="W310" s="8">
        <f t="shared" si="265"/>
        <v>1</v>
      </c>
      <c r="X310" s="8">
        <f t="shared" si="265"/>
        <v>0</v>
      </c>
      <c r="Y310" s="8">
        <f t="shared" si="265"/>
        <v>0</v>
      </c>
      <c r="Z310" s="8">
        <f t="shared" si="265"/>
        <v>0</v>
      </c>
      <c r="AA310" s="8">
        <f t="shared" si="265"/>
        <v>0</v>
      </c>
      <c r="AB310" s="8">
        <f t="shared" si="265"/>
        <v>0</v>
      </c>
      <c r="AC310" s="8">
        <f t="shared" si="265"/>
        <v>0</v>
      </c>
      <c r="AD310" s="8">
        <f t="shared" si="265"/>
        <v>0</v>
      </c>
      <c r="AE310" s="8">
        <f t="shared" si="265"/>
        <v>0</v>
      </c>
      <c r="AF310" s="8">
        <f t="shared" si="265"/>
        <v>0</v>
      </c>
      <c r="AG310" s="8">
        <f t="shared" si="265"/>
        <v>0</v>
      </c>
      <c r="AH310" s="8">
        <f t="shared" si="265"/>
        <v>0</v>
      </c>
      <c r="AI310" s="8">
        <f t="shared" si="265"/>
        <v>0</v>
      </c>
      <c r="AJ310" s="8">
        <f t="shared" si="265"/>
        <v>0</v>
      </c>
      <c r="AK310" s="8">
        <f t="shared" si="265"/>
        <v>0</v>
      </c>
      <c r="AL310" s="8">
        <f t="shared" si="265"/>
        <v>0</v>
      </c>
      <c r="AM310" s="8">
        <f t="shared" si="265"/>
        <v>0</v>
      </c>
      <c r="AN310" s="8">
        <f t="shared" si="265"/>
        <v>0</v>
      </c>
      <c r="AO310" s="8">
        <f t="shared" si="265"/>
        <v>0</v>
      </c>
      <c r="AP310" s="8">
        <f t="shared" si="265"/>
        <v>0</v>
      </c>
      <c r="AQ310" s="8">
        <f t="shared" si="265"/>
        <v>0</v>
      </c>
      <c r="AR310" s="8">
        <f t="shared" si="265"/>
        <v>0</v>
      </c>
      <c r="AS310" s="8">
        <f t="shared" si="265"/>
        <v>0</v>
      </c>
      <c r="AT310" s="8">
        <f t="shared" si="265"/>
        <v>0</v>
      </c>
      <c r="AU310" s="8">
        <f t="shared" si="265"/>
        <v>0</v>
      </c>
      <c r="AV310" s="8">
        <f t="shared" si="265"/>
        <v>0</v>
      </c>
      <c r="AW310" s="8">
        <f t="shared" si="265"/>
        <v>0</v>
      </c>
      <c r="AX310" s="8">
        <f t="shared" si="265"/>
        <v>0</v>
      </c>
      <c r="AY310" s="8">
        <f t="shared" si="265"/>
        <v>0</v>
      </c>
      <c r="AZ310" s="8">
        <f t="shared" si="265"/>
        <v>0</v>
      </c>
      <c r="BA310" s="8">
        <f t="shared" si="265"/>
        <v>1</v>
      </c>
      <c r="BB310" s="8">
        <f t="shared" si="265"/>
        <v>1</v>
      </c>
      <c r="BC310" s="8">
        <f t="shared" ref="BC310" si="266">QUARTILE(BC276:BC280,3)</f>
        <v>13.25</v>
      </c>
    </row>
    <row r="311" spans="1:296" x14ac:dyDescent="0.25">
      <c r="A311" s="43" t="s">
        <v>96</v>
      </c>
      <c r="B311" s="44" t="s">
        <v>170</v>
      </c>
      <c r="C311" s="8">
        <f>C260</f>
        <v>0</v>
      </c>
      <c r="D311" s="8">
        <f t="shared" ref="D311:H311" si="267">D260</f>
        <v>1</v>
      </c>
      <c r="E311" s="8">
        <f t="shared" si="267"/>
        <v>1</v>
      </c>
      <c r="F311" s="8">
        <f t="shared" si="267"/>
        <v>0</v>
      </c>
      <c r="G311" s="8">
        <f t="shared" si="267"/>
        <v>5</v>
      </c>
      <c r="H311" s="8">
        <f t="shared" si="267"/>
        <v>1</v>
      </c>
      <c r="I311" s="8">
        <f>I260</f>
        <v>7</v>
      </c>
      <c r="J311" s="8">
        <f t="shared" ref="J311:O311" si="268">J260</f>
        <v>0</v>
      </c>
      <c r="K311" s="8">
        <f t="shared" si="268"/>
        <v>0</v>
      </c>
      <c r="L311" s="8">
        <f t="shared" si="268"/>
        <v>0</v>
      </c>
      <c r="M311" s="8">
        <f t="shared" si="268"/>
        <v>0</v>
      </c>
      <c r="N311" s="8">
        <f t="shared" si="268"/>
        <v>0</v>
      </c>
      <c r="O311" s="8">
        <f t="shared" si="268"/>
        <v>0</v>
      </c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D311" s="8">
        <f>SUM(C311:BC311)</f>
        <v>15</v>
      </c>
    </row>
  </sheetData>
  <mergeCells count="10">
    <mergeCell ref="JC83:LC83"/>
    <mergeCell ref="B63:S63"/>
    <mergeCell ref="T63:X63"/>
    <mergeCell ref="HC83:JB83"/>
    <mergeCell ref="LD83:MK83"/>
    <mergeCell ref="A83:A84"/>
    <mergeCell ref="DB83:FA83"/>
    <mergeCell ref="FB83:HB83"/>
    <mergeCell ref="B83:BA83"/>
    <mergeCell ref="BB83:DA83"/>
  </mergeCells>
  <pageMargins left="0.7" right="0.7" top="0.75" bottom="0.75" header="0.3" footer="0.3"/>
  <pageSetup paperSize="9" orientation="portrait" horizontalDpi="360" verticalDpi="360" r:id="rId1"/>
  <ignoredErrors>
    <ignoredError sqref="B2:BA2 B90:BA91 B9:D9 F9 B166:BA168 C97:F97 T9 B94:BA95 B93:AZ93 B10:BA10 B98:BA98 BC177 B100:BA100 B12:BA12 H9:R9 H97:U97 B4:BA6 B170:BA172 B7:I7 K7:BA7 B104:BA104 B181:BA181 C44:T44 B177:BA177 C84:BA84 CW84:DT84 BY84:CV84 BC84:BX84 G213:T213 C209:S209 C213:D217 G217:S217" numberStoredAsText="1"/>
    <ignoredError sqref="BD10:BD12 BD15 BD98:BD100 BD166:BD172 BD175 BD90:BD95 BD10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5"/>
  <sheetViews>
    <sheetView workbookViewId="0">
      <selection activeCell="Q70" sqref="Q70"/>
    </sheetView>
  </sheetViews>
  <sheetFormatPr defaultColWidth="11.44140625" defaultRowHeight="13.8" x14ac:dyDescent="0.25"/>
  <cols>
    <col min="1" max="1" width="11.44140625" style="83"/>
    <col min="2" max="2" width="15.109375" style="83" customWidth="1"/>
    <col min="3" max="3" width="12.88671875" style="83" customWidth="1"/>
    <col min="4" max="4" width="12" style="83" customWidth="1"/>
    <col min="5" max="5" width="12.6640625" style="83" customWidth="1"/>
    <col min="6" max="6" width="7.44140625" style="83" customWidth="1"/>
    <col min="7" max="7" width="9.88671875" style="83" customWidth="1"/>
    <col min="8" max="15" width="7.44140625" style="83" customWidth="1"/>
    <col min="16" max="16384" width="11.44140625" style="83"/>
  </cols>
  <sheetData>
    <row r="1" spans="2:4" s="80" customFormat="1" x14ac:dyDescent="0.3">
      <c r="B1" s="81"/>
      <c r="C1" s="81"/>
      <c r="D1" s="82"/>
    </row>
    <row r="2" spans="2:4" s="80" customFormat="1" x14ac:dyDescent="0.25">
      <c r="B2" s="78" t="s">
        <v>2</v>
      </c>
      <c r="C2" s="83"/>
      <c r="D2" s="83"/>
    </row>
    <row r="3" spans="2:4" s="80" customFormat="1" ht="14.4" x14ac:dyDescent="0.3">
      <c r="B3" s="73" t="s">
        <v>58</v>
      </c>
      <c r="C3" s="74" t="s">
        <v>53</v>
      </c>
      <c r="D3" s="74" t="s">
        <v>54</v>
      </c>
    </row>
    <row r="4" spans="2:4" s="80" customFormat="1" x14ac:dyDescent="0.25">
      <c r="B4" s="75" t="s">
        <v>59</v>
      </c>
      <c r="C4" s="76">
        <v>18</v>
      </c>
      <c r="D4" s="77">
        <v>1</v>
      </c>
    </row>
    <row r="5" spans="2:4" s="80" customFormat="1" x14ac:dyDescent="0.25">
      <c r="B5" s="75" t="s">
        <v>0</v>
      </c>
      <c r="C5" s="76">
        <v>10</v>
      </c>
      <c r="D5" s="77">
        <v>1</v>
      </c>
    </row>
    <row r="6" spans="2:4" s="80" customFormat="1" x14ac:dyDescent="0.25">
      <c r="B6" s="75" t="s">
        <v>1</v>
      </c>
      <c r="C6" s="76">
        <v>3</v>
      </c>
      <c r="D6" s="77">
        <v>0</v>
      </c>
    </row>
    <row r="7" spans="2:4" s="80" customFormat="1" x14ac:dyDescent="0.25">
      <c r="B7" s="75" t="s">
        <v>60</v>
      </c>
      <c r="C7" s="76">
        <v>3</v>
      </c>
      <c r="D7" s="77">
        <v>0</v>
      </c>
    </row>
    <row r="8" spans="2:4" s="80" customFormat="1" x14ac:dyDescent="0.25">
      <c r="B8" s="75" t="s">
        <v>62</v>
      </c>
      <c r="C8" s="76">
        <v>4</v>
      </c>
      <c r="D8" s="77">
        <v>0</v>
      </c>
    </row>
    <row r="9" spans="2:4" s="80" customFormat="1" x14ac:dyDescent="0.25">
      <c r="B9" s="75" t="s">
        <v>88</v>
      </c>
      <c r="C9" s="76">
        <v>2</v>
      </c>
      <c r="D9" s="77">
        <v>0</v>
      </c>
    </row>
    <row r="10" spans="2:4" s="80" customFormat="1" x14ac:dyDescent="0.25">
      <c r="B10" s="75" t="s">
        <v>91</v>
      </c>
      <c r="C10" s="76">
        <v>1</v>
      </c>
      <c r="D10" s="77">
        <v>0</v>
      </c>
    </row>
    <row r="11" spans="2:4" s="80" customFormat="1" x14ac:dyDescent="0.3">
      <c r="B11" s="75" t="s">
        <v>82</v>
      </c>
      <c r="C11" s="76">
        <f>SUM(C4:C10)</f>
        <v>41</v>
      </c>
      <c r="D11" s="76">
        <f>SUM(D4:D10)</f>
        <v>2</v>
      </c>
    </row>
    <row r="12" spans="2:4" s="80" customFormat="1" x14ac:dyDescent="0.3">
      <c r="B12" s="79"/>
    </row>
    <row r="13" spans="2:4" s="80" customFormat="1" x14ac:dyDescent="0.3">
      <c r="B13" s="79"/>
    </row>
    <row r="14" spans="2:4" s="80" customFormat="1" x14ac:dyDescent="0.3">
      <c r="B14" s="79"/>
    </row>
    <row r="16" spans="2:4" x14ac:dyDescent="0.25">
      <c r="B16" s="83" t="s">
        <v>101</v>
      </c>
    </row>
    <row r="17" spans="2:4" ht="14.4" x14ac:dyDescent="0.3">
      <c r="B17" s="73" t="s">
        <v>58</v>
      </c>
      <c r="C17" s="74" t="s">
        <v>53</v>
      </c>
      <c r="D17" s="74" t="s">
        <v>54</v>
      </c>
    </row>
    <row r="18" spans="2:4" x14ac:dyDescent="0.25">
      <c r="B18" s="75" t="s">
        <v>60</v>
      </c>
      <c r="C18" s="76">
        <v>3</v>
      </c>
      <c r="D18" s="77">
        <v>0</v>
      </c>
    </row>
    <row r="19" spans="2:4" x14ac:dyDescent="0.25">
      <c r="B19" s="75" t="s">
        <v>62</v>
      </c>
      <c r="C19" s="76">
        <v>1</v>
      </c>
      <c r="D19" s="77">
        <v>0</v>
      </c>
    </row>
    <row r="20" spans="2:4" x14ac:dyDescent="0.25">
      <c r="B20" s="75" t="s">
        <v>59</v>
      </c>
      <c r="C20" s="76">
        <v>2</v>
      </c>
      <c r="D20" s="77">
        <v>0</v>
      </c>
    </row>
    <row r="21" spans="2:4" x14ac:dyDescent="0.25">
      <c r="B21" s="75" t="s">
        <v>1</v>
      </c>
      <c r="C21" s="76">
        <v>1</v>
      </c>
      <c r="D21" s="77">
        <v>0</v>
      </c>
    </row>
    <row r="22" spans="2:4" x14ac:dyDescent="0.25">
      <c r="B22" s="75" t="s">
        <v>82</v>
      </c>
      <c r="C22" s="76">
        <f>SUM(C18:C21)</f>
        <v>7</v>
      </c>
      <c r="D22" s="76">
        <f>SUM(D18:D21)</f>
        <v>0</v>
      </c>
    </row>
    <row r="23" spans="2:4" x14ac:dyDescent="0.25">
      <c r="B23" s="79"/>
      <c r="C23" s="80"/>
      <c r="D23" s="80"/>
    </row>
    <row r="24" spans="2:4" x14ac:dyDescent="0.25">
      <c r="B24" s="79"/>
      <c r="C24" s="80"/>
      <c r="D24" s="80"/>
    </row>
    <row r="26" spans="2:4" x14ac:dyDescent="0.25">
      <c r="B26" s="78" t="s">
        <v>3</v>
      </c>
    </row>
    <row r="27" spans="2:4" ht="14.4" x14ac:dyDescent="0.3">
      <c r="B27" s="73" t="s">
        <v>58</v>
      </c>
      <c r="C27" s="74" t="s">
        <v>53</v>
      </c>
      <c r="D27" s="74" t="s">
        <v>54</v>
      </c>
    </row>
    <row r="28" spans="2:4" x14ac:dyDescent="0.25">
      <c r="B28" s="75" t="s">
        <v>60</v>
      </c>
      <c r="C28" s="76">
        <v>3</v>
      </c>
      <c r="D28" s="77">
        <v>0</v>
      </c>
    </row>
    <row r="29" spans="2:4" x14ac:dyDescent="0.25">
      <c r="B29" s="75" t="s">
        <v>0</v>
      </c>
      <c r="C29" s="76">
        <v>2</v>
      </c>
      <c r="D29" s="77">
        <v>0</v>
      </c>
    </row>
    <row r="30" spans="2:4" x14ac:dyDescent="0.25">
      <c r="B30" s="75" t="s">
        <v>82</v>
      </c>
      <c r="C30" s="76">
        <f>SUM(C28:C29)</f>
        <v>5</v>
      </c>
      <c r="D30" s="76">
        <f>SUM(D28:D29)</f>
        <v>0</v>
      </c>
    </row>
    <row r="31" spans="2:4" x14ac:dyDescent="0.25">
      <c r="B31" s="79"/>
      <c r="C31" s="80"/>
      <c r="D31" s="80"/>
    </row>
    <row r="32" spans="2:4" x14ac:dyDescent="0.25">
      <c r="B32" s="79"/>
      <c r="C32" s="80"/>
      <c r="D32" s="80"/>
    </row>
    <row r="33" spans="2:5" x14ac:dyDescent="0.25">
      <c r="B33" s="79"/>
      <c r="C33" s="80"/>
      <c r="D33" s="80"/>
    </row>
    <row r="34" spans="2:5" x14ac:dyDescent="0.25">
      <c r="B34" s="79" t="s">
        <v>119</v>
      </c>
      <c r="C34" s="80"/>
      <c r="D34" s="80"/>
    </row>
    <row r="35" spans="2:5" ht="14.4" x14ac:dyDescent="0.3">
      <c r="B35" s="73" t="s">
        <v>58</v>
      </c>
      <c r="C35" s="74" t="s">
        <v>53</v>
      </c>
      <c r="D35" s="74" t="s">
        <v>54</v>
      </c>
    </row>
    <row r="36" spans="2:5" x14ac:dyDescent="0.25">
      <c r="B36" s="75" t="s">
        <v>0</v>
      </c>
      <c r="C36" s="76">
        <v>1</v>
      </c>
      <c r="D36" s="77">
        <v>0</v>
      </c>
    </row>
    <row r="37" spans="2:5" x14ac:dyDescent="0.25">
      <c r="B37" s="75" t="s">
        <v>82</v>
      </c>
      <c r="C37" s="76">
        <f>SUM(C36:C36)</f>
        <v>1</v>
      </c>
      <c r="D37" s="76">
        <f>SUM(D36:D36)</f>
        <v>0</v>
      </c>
    </row>
    <row r="40" spans="2:5" ht="14.4" x14ac:dyDescent="0.3">
      <c r="B40" s="84"/>
      <c r="C40" s="212" t="s">
        <v>105</v>
      </c>
      <c r="D40" s="213"/>
      <c r="E40" s="213"/>
    </row>
    <row r="41" spans="2:5" s="80" customFormat="1" ht="32.25" customHeight="1" x14ac:dyDescent="0.3">
      <c r="B41" s="90" t="s">
        <v>104</v>
      </c>
      <c r="C41" s="90" t="s">
        <v>87</v>
      </c>
      <c r="D41" s="90" t="s">
        <v>86</v>
      </c>
      <c r="E41" s="91" t="s">
        <v>82</v>
      </c>
    </row>
    <row r="42" spans="2:5" ht="14.4" x14ac:dyDescent="0.3">
      <c r="B42" s="86" t="s">
        <v>89</v>
      </c>
      <c r="C42" s="87">
        <v>1</v>
      </c>
      <c r="D42" s="88">
        <v>0</v>
      </c>
      <c r="E42" s="85">
        <f>C42+D42</f>
        <v>1</v>
      </c>
    </row>
    <row r="43" spans="2:5" ht="14.4" x14ac:dyDescent="0.3">
      <c r="B43" s="89" t="s">
        <v>107</v>
      </c>
      <c r="C43" s="87">
        <v>0</v>
      </c>
      <c r="D43" s="88">
        <v>0</v>
      </c>
      <c r="E43" s="85">
        <f>C43+D43</f>
        <v>0</v>
      </c>
    </row>
    <row r="44" spans="2:5" ht="14.4" x14ac:dyDescent="0.3">
      <c r="B44" s="86" t="s">
        <v>103</v>
      </c>
      <c r="C44" s="88">
        <v>0</v>
      </c>
      <c r="D44" s="87">
        <v>0</v>
      </c>
      <c r="E44" s="85">
        <f>C44+D44</f>
        <v>0</v>
      </c>
    </row>
    <row r="45" spans="2:5" ht="14.4" x14ac:dyDescent="0.3">
      <c r="B45" s="86" t="s">
        <v>106</v>
      </c>
      <c r="C45" s="88">
        <v>0</v>
      </c>
      <c r="D45" s="87">
        <v>1</v>
      </c>
      <c r="E45" s="85">
        <f>C45+D45</f>
        <v>1</v>
      </c>
    </row>
    <row r="46" spans="2:5" ht="14.4" x14ac:dyDescent="0.3">
      <c r="B46" s="101" t="s">
        <v>82</v>
      </c>
      <c r="C46" s="102">
        <f>SUM(C42:C45)</f>
        <v>1</v>
      </c>
      <c r="D46" s="102">
        <f>SUM(D42:D45)</f>
        <v>1</v>
      </c>
      <c r="E46" s="103">
        <f>C46+D46</f>
        <v>2</v>
      </c>
    </row>
    <row r="49" spans="1:5" x14ac:dyDescent="0.25">
      <c r="B49" s="104" t="s">
        <v>108</v>
      </c>
      <c r="C49" s="104"/>
    </row>
    <row r="50" spans="1:5" x14ac:dyDescent="0.25">
      <c r="A50" s="115" t="s">
        <v>64</v>
      </c>
      <c r="B50" s="99" t="s">
        <v>60</v>
      </c>
      <c r="C50" s="99">
        <v>1</v>
      </c>
    </row>
    <row r="51" spans="1:5" x14ac:dyDescent="0.25">
      <c r="A51" s="116" t="s">
        <v>65</v>
      </c>
      <c r="B51" s="99" t="s">
        <v>5</v>
      </c>
      <c r="C51" s="99">
        <v>1</v>
      </c>
    </row>
    <row r="52" spans="1:5" x14ac:dyDescent="0.25">
      <c r="B52" s="104" t="s">
        <v>52</v>
      </c>
      <c r="C52" s="104">
        <f>SUM(C50:C51)</f>
        <v>2</v>
      </c>
    </row>
    <row r="54" spans="1:5" x14ac:dyDescent="0.25">
      <c r="B54" s="83" t="s">
        <v>64</v>
      </c>
      <c r="C54" s="83">
        <f>C52-C55</f>
        <v>1</v>
      </c>
    </row>
    <row r="55" spans="1:5" x14ac:dyDescent="0.25">
      <c r="B55" s="83" t="s">
        <v>65</v>
      </c>
      <c r="C55" s="83">
        <f>C51</f>
        <v>1</v>
      </c>
    </row>
    <row r="58" spans="1:5" ht="31.2" x14ac:dyDescent="0.25">
      <c r="B58" s="93" t="s">
        <v>111</v>
      </c>
      <c r="C58" s="93" t="s">
        <v>54</v>
      </c>
      <c r="D58" s="94" t="s">
        <v>112</v>
      </c>
    </row>
    <row r="59" spans="1:5" ht="15.6" x14ac:dyDescent="0.25">
      <c r="B59" s="95" t="s">
        <v>97</v>
      </c>
      <c r="C59" s="96">
        <f>'Datos Semana'!BN56</f>
        <v>2630</v>
      </c>
      <c r="D59" s="97"/>
    </row>
    <row r="60" spans="1:5" ht="15.6" x14ac:dyDescent="0.25">
      <c r="B60" s="95" t="s">
        <v>100</v>
      </c>
      <c r="C60" s="96">
        <f>'Datos Semana'!BO56</f>
        <v>26</v>
      </c>
      <c r="D60" s="98">
        <f>C60/C59-1</f>
        <v>-0.99011406844106464</v>
      </c>
    </row>
    <row r="63" spans="1:5" x14ac:dyDescent="0.25">
      <c r="B63" s="214" t="s">
        <v>115</v>
      </c>
      <c r="C63" s="214"/>
      <c r="D63" s="214"/>
      <c r="E63" s="214"/>
    </row>
    <row r="64" spans="1:5" x14ac:dyDescent="0.25">
      <c r="B64" s="99" t="s">
        <v>114</v>
      </c>
      <c r="C64" s="77" t="s">
        <v>97</v>
      </c>
      <c r="D64" s="77" t="s">
        <v>100</v>
      </c>
      <c r="E64" s="77" t="s">
        <v>113</v>
      </c>
    </row>
    <row r="65" spans="2:5" x14ac:dyDescent="0.25">
      <c r="B65" s="99" t="s">
        <v>54</v>
      </c>
      <c r="C65" s="77">
        <f>C59</f>
        <v>2630</v>
      </c>
      <c r="D65" s="77">
        <f>C60</f>
        <v>26</v>
      </c>
      <c r="E65" s="100">
        <f>D60</f>
        <v>-0.99011406844106464</v>
      </c>
    </row>
  </sheetData>
  <mergeCells count="2">
    <mergeCell ref="C40:E40"/>
    <mergeCell ref="B63:E63"/>
  </mergeCells>
  <pageMargins left="0.7" right="0.7" top="0.75" bottom="0.75" header="0.3" footer="0.3"/>
  <ignoredErrors>
    <ignoredError sqref="B43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7</vt:i4>
      </vt:variant>
      <vt:variant>
        <vt:lpstr>차트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Reporte_Epi_gestion 2025</vt:lpstr>
      <vt:lpstr>Datos Gestiones</vt:lpstr>
      <vt:lpstr>Hoja1</vt:lpstr>
      <vt:lpstr>Datos 2025</vt:lpstr>
      <vt:lpstr>Hoja2</vt:lpstr>
      <vt:lpstr>Datos Semana</vt:lpstr>
      <vt:lpstr>Datos 2021-2022</vt:lpstr>
      <vt:lpstr>Gráf_CANAL_ENDEMICO_CUARTIL CHQ</vt:lpstr>
      <vt:lpstr>Gráf_CANAL_ENDEMICO_SUCRE</vt:lpstr>
      <vt:lpstr>Graf_Pos_SE_periodo_dengue</vt:lpstr>
      <vt:lpstr>TI-Dengue</vt:lpstr>
      <vt:lpstr>TI_Chikungunya</vt:lpstr>
      <vt:lpstr>TI_ZIka</vt:lpstr>
      <vt:lpstr>'Reporte_Epi_gestion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Bonilla</dc:creator>
  <cp:lastModifiedBy>HP</cp:lastModifiedBy>
  <cp:lastPrinted>2026-01-30T15:21:34Z</cp:lastPrinted>
  <dcterms:created xsi:type="dcterms:W3CDTF">2018-04-30T00:45:35Z</dcterms:created>
  <dcterms:modified xsi:type="dcterms:W3CDTF">2026-05-07T15:19:06Z</dcterms:modified>
</cp:coreProperties>
</file>